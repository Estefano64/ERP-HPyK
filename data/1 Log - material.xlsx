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d1b2ef89be02b02/Desktop/LOGISTICA 2026/FINAL/"/>
    </mc:Choice>
  </mc:AlternateContent>
  <xr:revisionPtr revIDLastSave="129" documentId="8_{A6FC8406-BABC-46D6-B17E-2492C104761C}" xr6:coauthVersionLast="47" xr6:coauthVersionMax="47" xr10:uidLastSave="{13C32640-972E-4434-A91C-23874C7651C3}"/>
  <bookViews>
    <workbookView xWindow="-108" yWindow="-108" windowWidth="23256" windowHeight="12456" xr2:uid="{00000000-000D-0000-FFFF-FFFF00000000}"/>
  </bookViews>
  <sheets>
    <sheet name="Sheet1" sheetId="1" r:id="rId1"/>
    <sheet name="Planta" sheetId="2" r:id="rId2"/>
    <sheet name="Area" sheetId="3" r:id="rId3"/>
    <sheet name="Categoria" sheetId="4" r:id="rId4"/>
    <sheet name="Clasificación" sheetId="5" r:id="rId5"/>
    <sheet name="Und Med" sheetId="6" r:id="rId6"/>
    <sheet name="Moneda" sheetId="7" r:id="rId7"/>
    <sheet name="Fabricante" sheetId="8" r:id="rId8"/>
  </sheets>
  <definedNames>
    <definedName name="_xlnm._FilterDatabase" localSheetId="0" hidden="1">Sheet1!$A$2:$O$725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6" i="1" l="1"/>
  <c r="L643" i="1"/>
  <c r="L713" i="1"/>
  <c r="L538" i="1" l="1"/>
  <c r="L532" i="1"/>
  <c r="L530" i="1"/>
  <c r="L528" i="1"/>
  <c r="L527" i="1"/>
  <c r="L515" i="1"/>
  <c r="L514" i="1"/>
  <c r="L513" i="1"/>
  <c r="L509" i="1"/>
  <c r="L507" i="1"/>
  <c r="L489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361" i="1" l="1"/>
  <c r="C358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0" i="1"/>
  <c r="C359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</calcChain>
</file>

<file path=xl/sharedStrings.xml><?xml version="1.0" encoding="utf-8"?>
<sst xmlns="http://schemas.openxmlformats.org/spreadsheetml/2006/main" count="8096" uniqueCount="1722">
  <si>
    <t>Todos</t>
  </si>
  <si>
    <t>Software</t>
  </si>
  <si>
    <t>TODOS</t>
  </si>
  <si>
    <t>Produccion</t>
  </si>
  <si>
    <t>Logistica</t>
  </si>
  <si>
    <t>Usuario</t>
  </si>
  <si>
    <t>Material</t>
  </si>
  <si>
    <t>Descripción</t>
  </si>
  <si>
    <t>Planta</t>
  </si>
  <si>
    <t>Area</t>
  </si>
  <si>
    <t>Categoría</t>
  </si>
  <si>
    <t>Clasificación</t>
  </si>
  <si>
    <t>Punto de Reposición</t>
  </si>
  <si>
    <t>Stock Máximo</t>
  </si>
  <si>
    <t>Und Met</t>
  </si>
  <si>
    <t>Plazo entrega</t>
  </si>
  <si>
    <t>Precio</t>
  </si>
  <si>
    <t>Moneda</t>
  </si>
  <si>
    <t>Fabricante</t>
  </si>
  <si>
    <t>NP</t>
  </si>
  <si>
    <t>AQPTA01</t>
  </si>
  <si>
    <t>Producción</t>
  </si>
  <si>
    <t>Repuesto</t>
  </si>
  <si>
    <t>USD</t>
  </si>
  <si>
    <t>CATERPILLAR</t>
  </si>
  <si>
    <t>148-2599</t>
  </si>
  <si>
    <t>Crítico</t>
  </si>
  <si>
    <t>Kit de sellos</t>
  </si>
  <si>
    <t>unidad</t>
  </si>
  <si>
    <t>SOL</t>
  </si>
  <si>
    <t>KOMATSU</t>
  </si>
  <si>
    <t>AK4307</t>
  </si>
  <si>
    <t>PC1686</t>
  </si>
  <si>
    <t>AK5239</t>
  </si>
  <si>
    <t>Cojinete</t>
  </si>
  <si>
    <t>PC0824</t>
  </si>
  <si>
    <t>Consumible</t>
  </si>
  <si>
    <t>Guia</t>
  </si>
  <si>
    <t>PC0903</t>
  </si>
  <si>
    <t>PC0902</t>
  </si>
  <si>
    <t>Fabricado</t>
  </si>
  <si>
    <t>Tapon</t>
  </si>
  <si>
    <t>TZ8637</t>
  </si>
  <si>
    <t>Seguros</t>
  </si>
  <si>
    <t>SV5921</t>
  </si>
  <si>
    <t>Aceite</t>
  </si>
  <si>
    <t>AK4063</t>
  </si>
  <si>
    <t>TY8879</t>
  </si>
  <si>
    <t>Sello</t>
  </si>
  <si>
    <t>ALTERNATIVO</t>
  </si>
  <si>
    <t>PS35 172.5 X 182.05 X 7.4 NBR</t>
  </si>
  <si>
    <t>Mantenimiento</t>
  </si>
  <si>
    <t>dia</t>
  </si>
  <si>
    <t>BWR01 171.65 X 180.05 X 13 PTFE C</t>
  </si>
  <si>
    <t>PS088 164.35 X 180.05 X 6 PTFE + NNBR</t>
  </si>
  <si>
    <t>PS08C - 151 X 180.05 X10.50 PTFE + NBR</t>
  </si>
  <si>
    <t>217-0162</t>
  </si>
  <si>
    <t>Suministros</t>
  </si>
  <si>
    <t>222-5765</t>
  </si>
  <si>
    <t>222-3785</t>
  </si>
  <si>
    <t>224-7262</t>
  </si>
  <si>
    <t>8C-3106</t>
  </si>
  <si>
    <t>Barras</t>
  </si>
  <si>
    <t>AQPTA02</t>
  </si>
  <si>
    <t>AQPTA03</t>
  </si>
  <si>
    <t>AQPTA04</t>
  </si>
  <si>
    <t>AQPTA05</t>
  </si>
  <si>
    <t>AQPTA06</t>
  </si>
  <si>
    <t>AQPTA07</t>
  </si>
  <si>
    <t>AQPTA08</t>
  </si>
  <si>
    <t>AQPTA09</t>
  </si>
  <si>
    <t>AQPTA10</t>
  </si>
  <si>
    <t>AQPTA11</t>
  </si>
  <si>
    <t>AQPTA12</t>
  </si>
  <si>
    <t>AQPTA13</t>
  </si>
  <si>
    <t>AQPTA14</t>
  </si>
  <si>
    <t>AQPTA15</t>
  </si>
  <si>
    <t>AQPTA16</t>
  </si>
  <si>
    <t>AQPTA17</t>
  </si>
  <si>
    <t>AQPTA18</t>
  </si>
  <si>
    <t>AQPTA19</t>
  </si>
  <si>
    <t>AQPTA20</t>
  </si>
  <si>
    <t>AQPTA21</t>
  </si>
  <si>
    <t>AQPTA22</t>
  </si>
  <si>
    <t>AQPTA23</t>
  </si>
  <si>
    <t>AQPTA24</t>
  </si>
  <si>
    <t>AQPTA25</t>
  </si>
  <si>
    <t>AQPTA26</t>
  </si>
  <si>
    <t>AQPTA27</t>
  </si>
  <si>
    <t>AQPTA28</t>
  </si>
  <si>
    <t>AQPTA29</t>
  </si>
  <si>
    <t>AQPTA30</t>
  </si>
  <si>
    <t>AQPTA31</t>
  </si>
  <si>
    <t>AQPTA32</t>
  </si>
  <si>
    <t>AQPTA33</t>
  </si>
  <si>
    <t>AQPTA34</t>
  </si>
  <si>
    <t>AQPTA35</t>
  </si>
  <si>
    <t>AQPTA36</t>
  </si>
  <si>
    <t>AQPTA37</t>
  </si>
  <si>
    <t>AQPTA38</t>
  </si>
  <si>
    <t>AQPTA39</t>
  </si>
  <si>
    <t>AQPTA40</t>
  </si>
  <si>
    <t>AQPTA41</t>
  </si>
  <si>
    <t>AQPTA42</t>
  </si>
  <si>
    <t>AQPTA43</t>
  </si>
  <si>
    <t>AQPTA44</t>
  </si>
  <si>
    <t>AQPTA45</t>
  </si>
  <si>
    <t>AQPTA46</t>
  </si>
  <si>
    <t>AQPTA47</t>
  </si>
  <si>
    <t>AQPTA48</t>
  </si>
  <si>
    <t>AQPTA49</t>
  </si>
  <si>
    <t>AQPTA50</t>
  </si>
  <si>
    <t>AQPTA51</t>
  </si>
  <si>
    <t>AQPTA52</t>
  </si>
  <si>
    <t>AQPTA53</t>
  </si>
  <si>
    <t>AQPTA54</t>
  </si>
  <si>
    <t>AQPTA55</t>
  </si>
  <si>
    <t>AQPTA56</t>
  </si>
  <si>
    <t>AQPTA57</t>
  </si>
  <si>
    <t>AQPTA58</t>
  </si>
  <si>
    <t>AQPTA59</t>
  </si>
  <si>
    <t>AQPTA60</t>
  </si>
  <si>
    <t>AQPTA61</t>
  </si>
  <si>
    <t>AQPTA62</t>
  </si>
  <si>
    <t>AQPTA63</t>
  </si>
  <si>
    <t>AQPTA64</t>
  </si>
  <si>
    <t>AQPTA65</t>
  </si>
  <si>
    <t>AQPTA66</t>
  </si>
  <si>
    <t>AQPTA67</t>
  </si>
  <si>
    <t>AQPTA68</t>
  </si>
  <si>
    <t>AQPTA69</t>
  </si>
  <si>
    <t>AQPTA70</t>
  </si>
  <si>
    <t>AQPTA71</t>
  </si>
  <si>
    <t>AQPTA72</t>
  </si>
  <si>
    <t>AQPTA73</t>
  </si>
  <si>
    <t>AQPTA74</t>
  </si>
  <si>
    <t>AQPTA75</t>
  </si>
  <si>
    <t>AQPTA76</t>
  </si>
  <si>
    <t>AQPTA77</t>
  </si>
  <si>
    <t>AQPTA78</t>
  </si>
  <si>
    <t>AQPTA79</t>
  </si>
  <si>
    <t>AQPTA80</t>
  </si>
  <si>
    <t>AQPTA81</t>
  </si>
  <si>
    <t>AQPTA82</t>
  </si>
  <si>
    <t>AQPTA83</t>
  </si>
  <si>
    <t>AQPTA84</t>
  </si>
  <si>
    <t>AQPTA85</t>
  </si>
  <si>
    <t>AQPTA86</t>
  </si>
  <si>
    <t>AQPTA87</t>
  </si>
  <si>
    <t>AQPTA88</t>
  </si>
  <si>
    <t>AQPTA89</t>
  </si>
  <si>
    <t>AQPTA90</t>
  </si>
  <si>
    <t>AQPTA91</t>
  </si>
  <si>
    <t>AQPTA92</t>
  </si>
  <si>
    <t>AQPTA93</t>
  </si>
  <si>
    <t>AQPTA94</t>
  </si>
  <si>
    <t>AQPTA95</t>
  </si>
  <si>
    <t>AQPTA96</t>
  </si>
  <si>
    <t>AQPTA97</t>
  </si>
  <si>
    <t>AQPTA98</t>
  </si>
  <si>
    <t>AQPTA99</t>
  </si>
  <si>
    <t>AQPTA100</t>
  </si>
  <si>
    <t>AQPTA101</t>
  </si>
  <si>
    <t>AQPTA102</t>
  </si>
  <si>
    <t>AQPTA103</t>
  </si>
  <si>
    <t>AQPTA104</t>
  </si>
  <si>
    <t>AQPTA105</t>
  </si>
  <si>
    <t>AQPTA106</t>
  </si>
  <si>
    <t>AQPTA107</t>
  </si>
  <si>
    <t>AQPTA108</t>
  </si>
  <si>
    <t>AQPTA109</t>
  </si>
  <si>
    <t>AQPTA110</t>
  </si>
  <si>
    <t>AQPTA111</t>
  </si>
  <si>
    <t>AQPTA112</t>
  </si>
  <si>
    <t>AQPTA113</t>
  </si>
  <si>
    <t>AQPTA114</t>
  </si>
  <si>
    <t>AQPTA115</t>
  </si>
  <si>
    <t>AQPTA116</t>
  </si>
  <si>
    <t>AQPTA117</t>
  </si>
  <si>
    <t>AQPTA118</t>
  </si>
  <si>
    <t>AQPTA119</t>
  </si>
  <si>
    <t>AQPTA120</t>
  </si>
  <si>
    <t>AQPTA121</t>
  </si>
  <si>
    <t>AQPTA122</t>
  </si>
  <si>
    <t>AQPTA123</t>
  </si>
  <si>
    <t>AQPTA124</t>
  </si>
  <si>
    <t>AQPTA125</t>
  </si>
  <si>
    <t>AQPTA126</t>
  </si>
  <si>
    <t>AQPTA127</t>
  </si>
  <si>
    <t>AQPTA128</t>
  </si>
  <si>
    <t>AQPTA129</t>
  </si>
  <si>
    <t>AQPTA130</t>
  </si>
  <si>
    <t>AQPTA131</t>
  </si>
  <si>
    <t>AQPTA132</t>
  </si>
  <si>
    <t>AQPTA133</t>
  </si>
  <si>
    <t>AQPTA134</t>
  </si>
  <si>
    <t>AQPTA135</t>
  </si>
  <si>
    <t>AQPTA136</t>
  </si>
  <si>
    <t>AQPTA137</t>
  </si>
  <si>
    <t>AQPTA138</t>
  </si>
  <si>
    <t>AQPTA139</t>
  </si>
  <si>
    <t>AQPTA140</t>
  </si>
  <si>
    <t>AQPTA141</t>
  </si>
  <si>
    <t>AQPTA142</t>
  </si>
  <si>
    <t>AQPTA143</t>
  </si>
  <si>
    <t>AQPTA144</t>
  </si>
  <si>
    <t>AQPTA145</t>
  </si>
  <si>
    <t>AQPTA146</t>
  </si>
  <si>
    <t>AQPTA147</t>
  </si>
  <si>
    <t>AQPTA148</t>
  </si>
  <si>
    <t>AQPTA149</t>
  </si>
  <si>
    <t>AQPTA150</t>
  </si>
  <si>
    <t>AQPTA151</t>
  </si>
  <si>
    <t>AQPTA152</t>
  </si>
  <si>
    <t>AQPTA153</t>
  </si>
  <si>
    <t>AQPTA154</t>
  </si>
  <si>
    <t>AQPTA155</t>
  </si>
  <si>
    <t>AQPTA156</t>
  </si>
  <si>
    <t>AQPTA157</t>
  </si>
  <si>
    <t>AQPTA158</t>
  </si>
  <si>
    <t>AQPTA159</t>
  </si>
  <si>
    <t>AQPTA160</t>
  </si>
  <si>
    <t>AQPTA161</t>
  </si>
  <si>
    <t>AQPTA162</t>
  </si>
  <si>
    <t>AQPTA163</t>
  </si>
  <si>
    <t>AQPTA164</t>
  </si>
  <si>
    <t>AQPTA165</t>
  </si>
  <si>
    <t>AQPTA166</t>
  </si>
  <si>
    <t>AQPTA167</t>
  </si>
  <si>
    <t>AQPTA168</t>
  </si>
  <si>
    <t>AQPTA169</t>
  </si>
  <si>
    <t>AQPTA170</t>
  </si>
  <si>
    <t>AQPTA171</t>
  </si>
  <si>
    <t>AQPTA172</t>
  </si>
  <si>
    <t>AQPTA173</t>
  </si>
  <si>
    <t>AQPTA174</t>
  </si>
  <si>
    <t>AQPTA175</t>
  </si>
  <si>
    <t>AQPTA176</t>
  </si>
  <si>
    <t>AQPTA177</t>
  </si>
  <si>
    <t>AQPTA178</t>
  </si>
  <si>
    <t>AQPTA179</t>
  </si>
  <si>
    <t>AQPTA180</t>
  </si>
  <si>
    <t>AQPTA181</t>
  </si>
  <si>
    <t>AQPTA182</t>
  </si>
  <si>
    <t>AQPTA183</t>
  </si>
  <si>
    <t>AQPTA184</t>
  </si>
  <si>
    <t>AQPTA185</t>
  </si>
  <si>
    <t>AQPTA186</t>
  </si>
  <si>
    <t>AQPTA187</t>
  </si>
  <si>
    <t>AQPTA188</t>
  </si>
  <si>
    <t>AQPTA189</t>
  </si>
  <si>
    <t>AQPTA190</t>
  </si>
  <si>
    <t>AQPTA191</t>
  </si>
  <si>
    <t>AQPTA192</t>
  </si>
  <si>
    <t>AQPTA193</t>
  </si>
  <si>
    <t>AQPTA194</t>
  </si>
  <si>
    <t>AQPTA195</t>
  </si>
  <si>
    <t>AQPTA196</t>
  </si>
  <si>
    <t>AQPTA197</t>
  </si>
  <si>
    <t>AQPTA198</t>
  </si>
  <si>
    <t>AQPTA199</t>
  </si>
  <si>
    <t>AQPTA200</t>
  </si>
  <si>
    <t>AQPTA201</t>
  </si>
  <si>
    <t>AQPTA202</t>
  </si>
  <si>
    <t>AQPTA203</t>
  </si>
  <si>
    <t>AQPTA204</t>
  </si>
  <si>
    <t>AQPTA205</t>
  </si>
  <si>
    <t>AQPTA206</t>
  </si>
  <si>
    <t>AQPTA207</t>
  </si>
  <si>
    <t>AQPTA208</t>
  </si>
  <si>
    <t>AQPTA209</t>
  </si>
  <si>
    <t>AQPTA210</t>
  </si>
  <si>
    <t>AQPTA211</t>
  </si>
  <si>
    <t>AQPTA212</t>
  </si>
  <si>
    <t>AQPTA213</t>
  </si>
  <si>
    <t>AQPTA214</t>
  </si>
  <si>
    <t>AQPTA215</t>
  </si>
  <si>
    <t>AQPTA216</t>
  </si>
  <si>
    <t>AQPTA217</t>
  </si>
  <si>
    <t>AQPTA218</t>
  </si>
  <si>
    <t>AQPTA219</t>
  </si>
  <si>
    <t>AQPTA220</t>
  </si>
  <si>
    <t>AQPTA221</t>
  </si>
  <si>
    <t>AQPTA222</t>
  </si>
  <si>
    <t>AQPTA223</t>
  </si>
  <si>
    <t>AQPTA224</t>
  </si>
  <si>
    <t>AQPTA225</t>
  </si>
  <si>
    <t>AQPTA226</t>
  </si>
  <si>
    <t>AQPTA227</t>
  </si>
  <si>
    <t>AQPTA228</t>
  </si>
  <si>
    <t>AQPTA229</t>
  </si>
  <si>
    <t>AQPTA230</t>
  </si>
  <si>
    <t>AQPTA231</t>
  </si>
  <si>
    <t>AQPTA232</t>
  </si>
  <si>
    <t>AQPTA233</t>
  </si>
  <si>
    <t>AQPTA234</t>
  </si>
  <si>
    <t>AQPTA235</t>
  </si>
  <si>
    <t>AQPTA236</t>
  </si>
  <si>
    <t>AQPTA237</t>
  </si>
  <si>
    <t>AQPTA238</t>
  </si>
  <si>
    <t>AQPTA239</t>
  </si>
  <si>
    <t>AQPTA240</t>
  </si>
  <si>
    <t>AQPTA241</t>
  </si>
  <si>
    <t>AQPTA242</t>
  </si>
  <si>
    <t>AQPTA243</t>
  </si>
  <si>
    <t>AQPTA244</t>
  </si>
  <si>
    <t>AQPTA245</t>
  </si>
  <si>
    <t>AQPTA246</t>
  </si>
  <si>
    <t>AQPTA247</t>
  </si>
  <si>
    <t>AQPTA248</t>
  </si>
  <si>
    <t>AQPTA249</t>
  </si>
  <si>
    <t>AQPTA250</t>
  </si>
  <si>
    <t>AQPTA251</t>
  </si>
  <si>
    <t>AQPTA252</t>
  </si>
  <si>
    <t>AQPTA253</t>
  </si>
  <si>
    <t>AQPTA254</t>
  </si>
  <si>
    <t>AQPTA255</t>
  </si>
  <si>
    <t>AQPTA256</t>
  </si>
  <si>
    <t>AQPTA257</t>
  </si>
  <si>
    <t>AQPTA258</t>
  </si>
  <si>
    <t>AQPTA259</t>
  </si>
  <si>
    <t>AQPTA260</t>
  </si>
  <si>
    <t>AQPTA261</t>
  </si>
  <si>
    <t>AQPTA262</t>
  </si>
  <si>
    <t>AQPTA263</t>
  </si>
  <si>
    <t>AQPTA264</t>
  </si>
  <si>
    <t>AQPTA265</t>
  </si>
  <si>
    <t>AQPTA266</t>
  </si>
  <si>
    <t>AQPTA267</t>
  </si>
  <si>
    <t>AQPTA268</t>
  </si>
  <si>
    <t>AQPTA269</t>
  </si>
  <si>
    <t>AQPTA270</t>
  </si>
  <si>
    <t>AQPTA271</t>
  </si>
  <si>
    <t>AQPTA272</t>
  </si>
  <si>
    <t>AQPTA273</t>
  </si>
  <si>
    <t>AQPTA274</t>
  </si>
  <si>
    <t>AQPTA275</t>
  </si>
  <si>
    <t>AQPTA276</t>
  </si>
  <si>
    <t>AQPTA277</t>
  </si>
  <si>
    <t>AQPTA278</t>
  </si>
  <si>
    <t>AQPTA279</t>
  </si>
  <si>
    <t>AQPTA280</t>
  </si>
  <si>
    <t>AQPTA281</t>
  </si>
  <si>
    <t>AQPTA282</t>
  </si>
  <si>
    <t>AQPTA283</t>
  </si>
  <si>
    <t>AQPTA284</t>
  </si>
  <si>
    <t>AQPTA285</t>
  </si>
  <si>
    <t>AQPTA286</t>
  </si>
  <si>
    <t>AQPTA287</t>
  </si>
  <si>
    <t>AQPTA288</t>
  </si>
  <si>
    <t>AQPTA289</t>
  </si>
  <si>
    <t>AQPTA290</t>
  </si>
  <si>
    <t>AQPTA291</t>
  </si>
  <si>
    <t>AQPTA292</t>
  </si>
  <si>
    <t>AQPTA293</t>
  </si>
  <si>
    <t>AQPTA294</t>
  </si>
  <si>
    <t>AQPTA295</t>
  </si>
  <si>
    <t>AQPTA296</t>
  </si>
  <si>
    <t>AQPTA297</t>
  </si>
  <si>
    <t>AQPTA298</t>
  </si>
  <si>
    <t>AQPTA299</t>
  </si>
  <si>
    <t>AQPTA300</t>
  </si>
  <si>
    <t>AQPTA301</t>
  </si>
  <si>
    <t>AQPTA302</t>
  </si>
  <si>
    <t>AQPTA303</t>
  </si>
  <si>
    <t>AQPTA304</t>
  </si>
  <si>
    <t>AQPTA305</t>
  </si>
  <si>
    <t>AQPTA306</t>
  </si>
  <si>
    <t>AQPTA307</t>
  </si>
  <si>
    <t>AQPTA308</t>
  </si>
  <si>
    <t>AQPTA309</t>
  </si>
  <si>
    <t>AQPTA310</t>
  </si>
  <si>
    <t>AQPTA311</t>
  </si>
  <si>
    <t>AQPTA312</t>
  </si>
  <si>
    <t>AQPTA313</t>
  </si>
  <si>
    <t>AQPTA314</t>
  </si>
  <si>
    <t>AQPTA315</t>
  </si>
  <si>
    <t>AQPTA316</t>
  </si>
  <si>
    <t>AQPTA317</t>
  </si>
  <si>
    <t>AQPTA318</t>
  </si>
  <si>
    <t>AQPTA319</t>
  </si>
  <si>
    <t>AQPTA320</t>
  </si>
  <si>
    <t>AQPTA321</t>
  </si>
  <si>
    <t>AQPTA322</t>
  </si>
  <si>
    <t>AQPTA323</t>
  </si>
  <si>
    <t>AQPTA324</t>
  </si>
  <si>
    <t>AQPTA325</t>
  </si>
  <si>
    <t>AQPTA326</t>
  </si>
  <si>
    <t>7 caracteres: 3 Ciudad &amp; 2 Descripción &amp; 2 número</t>
  </si>
  <si>
    <t>Codigo</t>
  </si>
  <si>
    <t>Descripcion</t>
  </si>
  <si>
    <t>2 caracteres: DD descripcion</t>
  </si>
  <si>
    <t>PR</t>
  </si>
  <si>
    <t>SG</t>
  </si>
  <si>
    <t>Seguridad</t>
  </si>
  <si>
    <t>LG</t>
  </si>
  <si>
    <t>MT</t>
  </si>
  <si>
    <t>AD</t>
  </si>
  <si>
    <t>Administración</t>
  </si>
  <si>
    <t>3 caracteres: DDD descripcion</t>
  </si>
  <si>
    <t>CON</t>
  </si>
  <si>
    <t>CRI</t>
  </si>
  <si>
    <t>REP</t>
  </si>
  <si>
    <t>CAP</t>
  </si>
  <si>
    <t>Capital</t>
  </si>
  <si>
    <t xml:space="preserve">&gt;$5,000 </t>
  </si>
  <si>
    <t>OBS</t>
  </si>
  <si>
    <t>Obsoleto</t>
  </si>
  <si>
    <t>baja</t>
  </si>
  <si>
    <t>FAB</t>
  </si>
  <si>
    <t>4 caracteres: DDDD descripcion</t>
  </si>
  <si>
    <t>KITS</t>
  </si>
  <si>
    <t>ROTU</t>
  </si>
  <si>
    <t>LIMP</t>
  </si>
  <si>
    <t>COJI</t>
  </si>
  <si>
    <t>SELL</t>
  </si>
  <si>
    <t>BARR</t>
  </si>
  <si>
    <t>TUBO</t>
  </si>
  <si>
    <t>Tubos</t>
  </si>
  <si>
    <t>PERN</t>
  </si>
  <si>
    <t>ARAN</t>
  </si>
  <si>
    <t>TUER</t>
  </si>
  <si>
    <t>DISC</t>
  </si>
  <si>
    <t>Discos</t>
  </si>
  <si>
    <t>SENS</t>
  </si>
  <si>
    <t>Sensores</t>
  </si>
  <si>
    <t>GUIA</t>
  </si>
  <si>
    <t>TAPO</t>
  </si>
  <si>
    <t>INSE</t>
  </si>
  <si>
    <t>SUMI</t>
  </si>
  <si>
    <t>TAPA</t>
  </si>
  <si>
    <t>Tapa</t>
  </si>
  <si>
    <t>EPPS</t>
  </si>
  <si>
    <t>Equipo de seguridad</t>
  </si>
  <si>
    <t>UNIF</t>
  </si>
  <si>
    <t>Uniformes</t>
  </si>
  <si>
    <t>SEGU</t>
  </si>
  <si>
    <t>ACER</t>
  </si>
  <si>
    <t>Acero</t>
  </si>
  <si>
    <t>ACEI</t>
  </si>
  <si>
    <t>mm</t>
  </si>
  <si>
    <t>Milímetro</t>
  </si>
  <si>
    <t>cm</t>
  </si>
  <si>
    <t>Centímetro</t>
  </si>
  <si>
    <t>m</t>
  </si>
  <si>
    <t>Metro</t>
  </si>
  <si>
    <t>in</t>
  </si>
  <si>
    <t>Pulgada</t>
  </si>
  <si>
    <t>kg</t>
  </si>
  <si>
    <t>Kilogramo</t>
  </si>
  <si>
    <t>t</t>
  </si>
  <si>
    <t>Tonelada</t>
  </si>
  <si>
    <t>h</t>
  </si>
  <si>
    <t>Hora</t>
  </si>
  <si>
    <t>m2</t>
  </si>
  <si>
    <t>Metro cuadrado</t>
  </si>
  <si>
    <t>m3</t>
  </si>
  <si>
    <t>Metro cubico</t>
  </si>
  <si>
    <t>lt</t>
  </si>
  <si>
    <t>litro</t>
  </si>
  <si>
    <t>gl</t>
  </si>
  <si>
    <t>galones</t>
  </si>
  <si>
    <t>und</t>
  </si>
  <si>
    <t>cil</t>
  </si>
  <si>
    <t>cilindro</t>
  </si>
  <si>
    <t>año</t>
  </si>
  <si>
    <t>mes</t>
  </si>
  <si>
    <t>km</t>
  </si>
  <si>
    <t>Kilometros</t>
  </si>
  <si>
    <t>amp</t>
  </si>
  <si>
    <t>Amperaje</t>
  </si>
  <si>
    <t>lbf</t>
  </si>
  <si>
    <t>Libras Fuerza</t>
  </si>
  <si>
    <t>Dólar</t>
  </si>
  <si>
    <t>Soles</t>
  </si>
  <si>
    <t>Caterpillar</t>
  </si>
  <si>
    <t>Komatsu</t>
  </si>
  <si>
    <t>Alternativo</t>
  </si>
  <si>
    <t>MACHEN</t>
  </si>
  <si>
    <t>Machen</t>
  </si>
  <si>
    <t>VJ3911</t>
  </si>
  <si>
    <t>BOHLER</t>
  </si>
  <si>
    <t>Bohler</t>
  </si>
  <si>
    <t>ACERO H1045 1" X 1-1/4" X 2" LONG</t>
  </si>
  <si>
    <t>ACERO H1045 Ø1" X 1-1/4" LONG</t>
  </si>
  <si>
    <t>ACERO H1045 Ø3" X 2-1/4" LONG</t>
  </si>
  <si>
    <t>ACERO H1045 Ø3-1/4" X 1-1/4" LONG</t>
  </si>
  <si>
    <t>ACERO VCL Ø2" X 2-1/4" LONG</t>
  </si>
  <si>
    <t>ACERO VCL Ø2" X 4" LONG</t>
  </si>
  <si>
    <t>ACERO VCL OD 160 MM X 140 MM LONG</t>
  </si>
  <si>
    <t>ACERO VCL OD 140 MM X 140 MM LONG</t>
  </si>
  <si>
    <t>ACERO VCL OD 140 MM X 150 MM LONG</t>
  </si>
  <si>
    <t>ACERO VCL OD 90 MM X 115 MM LONG</t>
  </si>
  <si>
    <t>ACERO VCL OD 140 MM X 160 MM LONG</t>
  </si>
  <si>
    <t>ADAP</t>
  </si>
  <si>
    <t>Adaptador</t>
  </si>
  <si>
    <t>3B-8489</t>
  </si>
  <si>
    <t>478-8407</t>
  </si>
  <si>
    <t>7Y-4669</t>
  </si>
  <si>
    <t>107-6579</t>
  </si>
  <si>
    <t>119-3999</t>
  </si>
  <si>
    <t>155-9157</t>
  </si>
  <si>
    <t>173-3414</t>
  </si>
  <si>
    <t>3K-8692</t>
  </si>
  <si>
    <t>3S-2909</t>
  </si>
  <si>
    <t>533-4824</t>
  </si>
  <si>
    <t>Anillo</t>
  </si>
  <si>
    <t>ANIL</t>
  </si>
  <si>
    <t>186-5147</t>
  </si>
  <si>
    <t>188-4217</t>
  </si>
  <si>
    <t>1M-1571</t>
  </si>
  <si>
    <t>223-3356</t>
  </si>
  <si>
    <t>3G-3470</t>
  </si>
  <si>
    <t>4J-3745</t>
  </si>
  <si>
    <t>4J-4606</t>
  </si>
  <si>
    <t>570-1984</t>
  </si>
  <si>
    <t>7J-2087</t>
  </si>
  <si>
    <t>8C-3843</t>
  </si>
  <si>
    <t>8C-9101</t>
  </si>
  <si>
    <t>8C-9161</t>
  </si>
  <si>
    <t>8T-3330</t>
  </si>
  <si>
    <t>8T-3331</t>
  </si>
  <si>
    <t>9J-0711</t>
  </si>
  <si>
    <t>9X-3613</t>
  </si>
  <si>
    <t>Anillo de desgaste</t>
  </si>
  <si>
    <t>199-1474</t>
  </si>
  <si>
    <t>199-1475</t>
  </si>
  <si>
    <t>215-1942</t>
  </si>
  <si>
    <t>365-9197</t>
  </si>
  <si>
    <t>514-6719</t>
  </si>
  <si>
    <t>542-9983</t>
  </si>
  <si>
    <t>542-9985</t>
  </si>
  <si>
    <t>8T-8434</t>
  </si>
  <si>
    <t>Anillo de respaldo</t>
  </si>
  <si>
    <t>109-0119</t>
  </si>
  <si>
    <t>340-2378</t>
  </si>
  <si>
    <t>340-2381</t>
  </si>
  <si>
    <t>340-2383</t>
  </si>
  <si>
    <t>3J-8500</t>
  </si>
  <si>
    <t>438-1138</t>
  </si>
  <si>
    <t>5S-4455</t>
  </si>
  <si>
    <t>610-3657</t>
  </si>
  <si>
    <t>624-5476</t>
  </si>
  <si>
    <t>624-5719</t>
  </si>
  <si>
    <t>627-1958</t>
  </si>
  <si>
    <t>627-1960</t>
  </si>
  <si>
    <t>8T-9598</t>
  </si>
  <si>
    <t>Anillo de retención</t>
  </si>
  <si>
    <t>ANILRT</t>
  </si>
  <si>
    <t>ANILRD</t>
  </si>
  <si>
    <t>ANILDE</t>
  </si>
  <si>
    <t>21T-72-15860</t>
  </si>
  <si>
    <t>087-5397</t>
  </si>
  <si>
    <t>1K-7095</t>
  </si>
  <si>
    <t>2K-6830</t>
  </si>
  <si>
    <t>4J-9224</t>
  </si>
  <si>
    <t>3V-2431</t>
  </si>
  <si>
    <t>6V-5839</t>
  </si>
  <si>
    <t>7X-0531</t>
  </si>
  <si>
    <t>9X-8268</t>
  </si>
  <si>
    <t>3S-1349</t>
  </si>
  <si>
    <t>Arandela de goma</t>
  </si>
  <si>
    <t>ARANG</t>
  </si>
  <si>
    <t>Arandela</t>
  </si>
  <si>
    <t>102-2244</t>
  </si>
  <si>
    <t>8T-4223</t>
  </si>
  <si>
    <t>4K-0684</t>
  </si>
  <si>
    <t>WA0363</t>
  </si>
  <si>
    <t>WA5659</t>
  </si>
  <si>
    <t>2K-4096</t>
  </si>
  <si>
    <t>WA1456</t>
  </si>
  <si>
    <t>BACK</t>
  </si>
  <si>
    <t>Back Up</t>
  </si>
  <si>
    <t>AK4065</t>
  </si>
  <si>
    <t>04260-01270</t>
  </si>
  <si>
    <t>152-7554</t>
  </si>
  <si>
    <t>172-2848</t>
  </si>
  <si>
    <t>188-8697</t>
  </si>
  <si>
    <t>191-4427</t>
  </si>
  <si>
    <t>195-71-51254</t>
  </si>
  <si>
    <t>343-7794</t>
  </si>
  <si>
    <t>4T-1684</t>
  </si>
  <si>
    <t>581-63-22691</t>
  </si>
  <si>
    <t>58B-32-00910</t>
  </si>
  <si>
    <t>58B-50-00590</t>
  </si>
  <si>
    <t>5J-1446</t>
  </si>
  <si>
    <t>6Y-9379</t>
  </si>
  <si>
    <t>6Y-9380</t>
  </si>
  <si>
    <t>707-46-14010</t>
  </si>
  <si>
    <t>7J-1309</t>
  </si>
  <si>
    <t>7J-3297</t>
  </si>
  <si>
    <t>9M-1328</t>
  </si>
  <si>
    <t>GEZ 208ES- 2RS</t>
  </si>
  <si>
    <t>PB8931</t>
  </si>
  <si>
    <t>PC1682</t>
  </si>
  <si>
    <t>PC2053</t>
  </si>
  <si>
    <t>VL0094</t>
  </si>
  <si>
    <t>VL4293</t>
  </si>
  <si>
    <t>Rótula</t>
  </si>
  <si>
    <t>150-1890</t>
  </si>
  <si>
    <t>150-1889</t>
  </si>
  <si>
    <t>364-8484</t>
  </si>
  <si>
    <t>58B-60-01230</t>
  </si>
  <si>
    <t>PC2414</t>
  </si>
  <si>
    <t>58B-60-01240</t>
  </si>
  <si>
    <t>PC2413</t>
  </si>
  <si>
    <t>04260-00635</t>
  </si>
  <si>
    <t>382-5762</t>
  </si>
  <si>
    <t>4B-9786</t>
  </si>
  <si>
    <t>H2981</t>
  </si>
  <si>
    <t>BILL</t>
  </si>
  <si>
    <t>Billa</t>
  </si>
  <si>
    <t>707-46-16030</t>
  </si>
  <si>
    <t>3G-7624</t>
  </si>
  <si>
    <t>Anillo metálico</t>
  </si>
  <si>
    <t>ANILM</t>
  </si>
  <si>
    <t>707-46-16040</t>
  </si>
  <si>
    <t>167-2184</t>
  </si>
  <si>
    <t>167-2209</t>
  </si>
  <si>
    <t>167-2222</t>
  </si>
  <si>
    <t>289-2937</t>
  </si>
  <si>
    <t>324-6438</t>
  </si>
  <si>
    <t>346-5192</t>
  </si>
  <si>
    <t>346-9381</t>
  </si>
  <si>
    <t>367-3934</t>
  </si>
  <si>
    <t>BUFF</t>
  </si>
  <si>
    <t>Buffer</t>
  </si>
  <si>
    <t>4D-5642</t>
  </si>
  <si>
    <t>Calce</t>
  </si>
  <si>
    <t>CALC</t>
  </si>
  <si>
    <t>58B-32-00190</t>
  </si>
  <si>
    <t>Carrier Seal</t>
  </si>
  <si>
    <t>CARSE</t>
  </si>
  <si>
    <t>109-4670</t>
  </si>
  <si>
    <t>1J-8569</t>
  </si>
  <si>
    <t>1U-4074</t>
  </si>
  <si>
    <t>4Z-6422</t>
  </si>
  <si>
    <t>6E-1443</t>
  </si>
  <si>
    <t>9J-0521</t>
  </si>
  <si>
    <t>CASQ</t>
  </si>
  <si>
    <t>Casquillo</t>
  </si>
  <si>
    <t>087-5533</t>
  </si>
  <si>
    <t>087-5548</t>
  </si>
  <si>
    <t>118-2289</t>
  </si>
  <si>
    <t>126-6917</t>
  </si>
  <si>
    <t>135-3161</t>
  </si>
  <si>
    <t>152-3739</t>
  </si>
  <si>
    <t>152-3750</t>
  </si>
  <si>
    <t>1J-2192</t>
  </si>
  <si>
    <t>1U-2182</t>
  </si>
  <si>
    <t>1V-8241</t>
  </si>
  <si>
    <t>1V-8242</t>
  </si>
  <si>
    <t>200-3926</t>
  </si>
  <si>
    <t>241-7342</t>
  </si>
  <si>
    <t>2G-8635</t>
  </si>
  <si>
    <t>2K-4507</t>
  </si>
  <si>
    <t>308-8824</t>
  </si>
  <si>
    <t>3G-2582</t>
  </si>
  <si>
    <t>3G-2791</t>
  </si>
  <si>
    <t>3T-8459</t>
  </si>
  <si>
    <t>4D-0298</t>
  </si>
  <si>
    <t>5D-6297</t>
  </si>
  <si>
    <t>5D-6298</t>
  </si>
  <si>
    <t>610-3658</t>
  </si>
  <si>
    <t>6E-1166</t>
  </si>
  <si>
    <t>707-76-10130</t>
  </si>
  <si>
    <t>707-76-10140</t>
  </si>
  <si>
    <t>707-76-18040</t>
  </si>
  <si>
    <t>8J-9910</t>
  </si>
  <si>
    <t>9J-1175</t>
  </si>
  <si>
    <t>1V-7038</t>
  </si>
  <si>
    <t>244-4258</t>
  </si>
  <si>
    <t>420-5756</t>
  </si>
  <si>
    <t>471-1981</t>
  </si>
  <si>
    <t>4K-3128</t>
  </si>
  <si>
    <t>5J-1192</t>
  </si>
  <si>
    <t>6E-0804</t>
  </si>
  <si>
    <t>6E-1108</t>
  </si>
  <si>
    <t>707-76-18030</t>
  </si>
  <si>
    <t>8J-5654</t>
  </si>
  <si>
    <t>8J-9911</t>
  </si>
  <si>
    <t>198-5529</t>
  </si>
  <si>
    <t>234-3748</t>
  </si>
  <si>
    <t>420-5763</t>
  </si>
  <si>
    <t>462-2004</t>
  </si>
  <si>
    <t>471-1979</t>
  </si>
  <si>
    <t>4I-1520</t>
  </si>
  <si>
    <t>6E-1364</t>
  </si>
  <si>
    <t>8X-0742</t>
  </si>
  <si>
    <t>148-3381</t>
  </si>
  <si>
    <t>172-2997</t>
  </si>
  <si>
    <t>374-4658</t>
  </si>
  <si>
    <t>420-5764</t>
  </si>
  <si>
    <t>471-1977</t>
  </si>
  <si>
    <t>4E-8078</t>
  </si>
  <si>
    <t>6E-0813</t>
  </si>
  <si>
    <t>8X-0743</t>
  </si>
  <si>
    <t>PB9996</t>
  </si>
  <si>
    <t>PC1130</t>
  </si>
  <si>
    <t>Cone Roller</t>
  </si>
  <si>
    <t>CONR</t>
  </si>
  <si>
    <t>Conjunto amortiguador</t>
  </si>
  <si>
    <t>CONJA</t>
  </si>
  <si>
    <t>5D-6328</t>
  </si>
  <si>
    <t>6V-7959</t>
  </si>
  <si>
    <t>Conjunto de enchufe</t>
  </si>
  <si>
    <t>CONJE</t>
  </si>
  <si>
    <t>435-3388</t>
  </si>
  <si>
    <t>593-6443</t>
  </si>
  <si>
    <t>610-5958</t>
  </si>
  <si>
    <t>Conjunto de imán</t>
  </si>
  <si>
    <t>CONJI</t>
  </si>
  <si>
    <t>CONJS</t>
  </si>
  <si>
    <t>Conjunto de sello</t>
  </si>
  <si>
    <t>192-1425</t>
  </si>
  <si>
    <t>192-1435</t>
  </si>
  <si>
    <t>495-8197</t>
  </si>
  <si>
    <t>4T-8054</t>
  </si>
  <si>
    <t>5J-5402</t>
  </si>
  <si>
    <t>8T-1794</t>
  </si>
  <si>
    <t>162-0177</t>
  </si>
  <si>
    <t>183-7263</t>
  </si>
  <si>
    <t>207-8218</t>
  </si>
  <si>
    <t>437-0783</t>
  </si>
  <si>
    <t>438-1137</t>
  </si>
  <si>
    <t>576-7429</t>
  </si>
  <si>
    <t>Conjunto de tapón</t>
  </si>
  <si>
    <t>CONJT</t>
  </si>
  <si>
    <t>CONJV</t>
  </si>
  <si>
    <t>Conjunto de válvula</t>
  </si>
  <si>
    <t>EC1015</t>
  </si>
  <si>
    <t>342-9553</t>
  </si>
  <si>
    <t>Conjunto de resorte</t>
  </si>
  <si>
    <t>CONJR</t>
  </si>
  <si>
    <t>5D-6296</t>
  </si>
  <si>
    <t>3J-6899</t>
  </si>
  <si>
    <t>5M-6667</t>
  </si>
  <si>
    <t>7J-9250</t>
  </si>
  <si>
    <t>CONT</t>
  </si>
  <si>
    <t>Contratuerca</t>
  </si>
  <si>
    <t>PC0002</t>
  </si>
  <si>
    <t>PC1131</t>
  </si>
  <si>
    <t>Cup Roller.</t>
  </si>
  <si>
    <t>CUPR</t>
  </si>
  <si>
    <t>EH-5308</t>
  </si>
  <si>
    <t>EM8371</t>
  </si>
  <si>
    <t>Damper</t>
  </si>
  <si>
    <t>DAMP</t>
  </si>
  <si>
    <t>466-3807</t>
  </si>
  <si>
    <t>9W-7018</t>
  </si>
  <si>
    <t>EH-5307</t>
  </si>
  <si>
    <t>EM8366</t>
  </si>
  <si>
    <t>Disco de fricción</t>
  </si>
  <si>
    <t>DISCF</t>
  </si>
  <si>
    <t>PC1427</t>
  </si>
  <si>
    <t>Dowel Spring</t>
  </si>
  <si>
    <t>DOWS</t>
  </si>
  <si>
    <t>166-8815</t>
  </si>
  <si>
    <t>PC-0651</t>
  </si>
  <si>
    <t>DUOC</t>
  </si>
  <si>
    <t>Duo cone</t>
  </si>
  <si>
    <t>1J-8568</t>
  </si>
  <si>
    <t>9T-3874</t>
  </si>
  <si>
    <t>9T-3875</t>
  </si>
  <si>
    <t>EMB</t>
  </si>
  <si>
    <t>Embolo</t>
  </si>
  <si>
    <t>4J-4955</t>
  </si>
  <si>
    <t>4T-2578</t>
  </si>
  <si>
    <t>6E-1444</t>
  </si>
  <si>
    <t>Espaciador</t>
  </si>
  <si>
    <t>159-0049</t>
  </si>
  <si>
    <t>470-0207</t>
  </si>
  <si>
    <t>Espiga</t>
  </si>
  <si>
    <t>ESPI</t>
  </si>
  <si>
    <t>ESPA</t>
  </si>
  <si>
    <t>WA0720</t>
  </si>
  <si>
    <t>221-3416</t>
  </si>
  <si>
    <t>267-5257</t>
  </si>
  <si>
    <t>271-6517</t>
  </si>
  <si>
    <t>384-8716</t>
  </si>
  <si>
    <t>494-4368</t>
  </si>
  <si>
    <t>589-7725</t>
  </si>
  <si>
    <t>Grupo de sensor</t>
  </si>
  <si>
    <t>VZ4269</t>
  </si>
  <si>
    <t>Protector de válvula</t>
  </si>
  <si>
    <t>PROV</t>
  </si>
  <si>
    <t>285-0612</t>
  </si>
  <si>
    <t>5T-6809</t>
  </si>
  <si>
    <t>105-7262</t>
  </si>
  <si>
    <t>541-6301</t>
  </si>
  <si>
    <t>626-4511</t>
  </si>
  <si>
    <t>626-4512</t>
  </si>
  <si>
    <t>626-7386</t>
  </si>
  <si>
    <t>8T-0785</t>
  </si>
  <si>
    <t>8T-8390</t>
  </si>
  <si>
    <t>9T-0094</t>
  </si>
  <si>
    <t>PC2584</t>
  </si>
  <si>
    <t>PC2585</t>
  </si>
  <si>
    <t>626-7385</t>
  </si>
  <si>
    <t>58B-60-01290</t>
  </si>
  <si>
    <t>58B-60-01280</t>
  </si>
  <si>
    <t>EJ6985</t>
  </si>
  <si>
    <t>214-1639</t>
  </si>
  <si>
    <t>217-3311</t>
  </si>
  <si>
    <t>217-3312</t>
  </si>
  <si>
    <t>Iman</t>
  </si>
  <si>
    <t>IMAN</t>
  </si>
  <si>
    <t>122-9351</t>
  </si>
  <si>
    <t>164-6426</t>
  </si>
  <si>
    <t>5J-2528</t>
  </si>
  <si>
    <t>9J-0520</t>
  </si>
  <si>
    <t>Insert</t>
  </si>
  <si>
    <t>INSER</t>
  </si>
  <si>
    <t>707-44-16910</t>
  </si>
  <si>
    <t>707-44-22920</t>
  </si>
  <si>
    <t>707-44-25910</t>
  </si>
  <si>
    <t>IRONC</t>
  </si>
  <si>
    <t>Iron Cast</t>
  </si>
  <si>
    <t>102-8804</t>
  </si>
  <si>
    <t>Juego de recptáculo</t>
  </si>
  <si>
    <t>JUREC</t>
  </si>
  <si>
    <t>KITB</t>
  </si>
  <si>
    <t>Kit de bladder</t>
  </si>
  <si>
    <t>XA4112</t>
  </si>
  <si>
    <t>XA4155</t>
  </si>
  <si>
    <t>227-5347</t>
  </si>
  <si>
    <t>227-5348</t>
  </si>
  <si>
    <t>228-1775</t>
  </si>
  <si>
    <t>229-2626</t>
  </si>
  <si>
    <t>229-5507</t>
  </si>
  <si>
    <t>229-5538</t>
  </si>
  <si>
    <t>229-5546</t>
  </si>
  <si>
    <t>229-5549</t>
  </si>
  <si>
    <t>229-7188</t>
  </si>
  <si>
    <t>233-9205</t>
  </si>
  <si>
    <t>234-1948</t>
  </si>
  <si>
    <t>234-1949</t>
  </si>
  <si>
    <t>235-0974</t>
  </si>
  <si>
    <t>244-2073</t>
  </si>
  <si>
    <t>245-6835</t>
  </si>
  <si>
    <t>245-9840</t>
  </si>
  <si>
    <t>246-0635</t>
  </si>
  <si>
    <t>246-0649</t>
  </si>
  <si>
    <t>246-3431</t>
  </si>
  <si>
    <t>248-1198</t>
  </si>
  <si>
    <t>252-5105</t>
  </si>
  <si>
    <t>261-8001</t>
  </si>
  <si>
    <t>295-9892</t>
  </si>
  <si>
    <t>307-6273</t>
  </si>
  <si>
    <t>317-6054</t>
  </si>
  <si>
    <t>319-8295</t>
  </si>
  <si>
    <t>323-4199</t>
  </si>
  <si>
    <t>326-0502</t>
  </si>
  <si>
    <t>333-8750</t>
  </si>
  <si>
    <t>336-7346</t>
  </si>
  <si>
    <t>350-7157</t>
  </si>
  <si>
    <t>370-1866</t>
  </si>
  <si>
    <t>370-1869</t>
  </si>
  <si>
    <t>370-1871</t>
  </si>
  <si>
    <t>370-1940</t>
  </si>
  <si>
    <t>380-2688</t>
  </si>
  <si>
    <t>423-2110</t>
  </si>
  <si>
    <t>424-5393</t>
  </si>
  <si>
    <t>425-1297</t>
  </si>
  <si>
    <t>425-2108</t>
  </si>
  <si>
    <t>437-3627</t>
  </si>
  <si>
    <t>438-8593</t>
  </si>
  <si>
    <t>452-7462</t>
  </si>
  <si>
    <t>455-4975</t>
  </si>
  <si>
    <t>457-6093</t>
  </si>
  <si>
    <t>471-0317</t>
  </si>
  <si>
    <t>477-9286</t>
  </si>
  <si>
    <t>518-5134</t>
  </si>
  <si>
    <t>518-5140</t>
  </si>
  <si>
    <t>570-1985</t>
  </si>
  <si>
    <t>580-7879</t>
  </si>
  <si>
    <t>58B-98-01320</t>
  </si>
  <si>
    <t>58B-FS-AK020</t>
  </si>
  <si>
    <t>58B-HC-AK020</t>
  </si>
  <si>
    <t>58B-RS-AK010</t>
  </si>
  <si>
    <t>58B-SC-AK030</t>
  </si>
  <si>
    <t>58F-HC-AK020</t>
  </si>
  <si>
    <t>590-5387</t>
  </si>
  <si>
    <t>598-1521</t>
  </si>
  <si>
    <t>622-9406</t>
  </si>
  <si>
    <t>622-9407</t>
  </si>
  <si>
    <t>622-9408</t>
  </si>
  <si>
    <t>622-9410</t>
  </si>
  <si>
    <t>651-0155</t>
  </si>
  <si>
    <t>707-99-53050</t>
  </si>
  <si>
    <t>707-99-67640</t>
  </si>
  <si>
    <t>707-99-72390</t>
  </si>
  <si>
    <t>707-99-75600</t>
  </si>
  <si>
    <t>707-99-77620</t>
  </si>
  <si>
    <t>707-99-78440</t>
  </si>
  <si>
    <t>707-99-84200</t>
  </si>
  <si>
    <t>707-99-85900</t>
  </si>
  <si>
    <t>707-99-96200</t>
  </si>
  <si>
    <t>721-98-02900</t>
  </si>
  <si>
    <t>721-98-03890</t>
  </si>
  <si>
    <t>AK0720</t>
  </si>
  <si>
    <t>AK-4308</t>
  </si>
  <si>
    <t>AK4370</t>
  </si>
  <si>
    <t>AK-4370</t>
  </si>
  <si>
    <t>AK4446</t>
  </si>
  <si>
    <t>AK4766</t>
  </si>
  <si>
    <t>AK4955</t>
  </si>
  <si>
    <t>AK5863</t>
  </si>
  <si>
    <t>520-3328</t>
  </si>
  <si>
    <t>331-9328</t>
  </si>
  <si>
    <t>204-2726</t>
  </si>
  <si>
    <t>593-3829</t>
  </si>
  <si>
    <t>381-2334</t>
  </si>
  <si>
    <t>425-1571</t>
  </si>
  <si>
    <t>07145-00110</t>
  </si>
  <si>
    <t>113-5950</t>
  </si>
  <si>
    <t>166-1495</t>
  </si>
  <si>
    <t>166-1496</t>
  </si>
  <si>
    <t>166-1497</t>
  </si>
  <si>
    <t>166-1498</t>
  </si>
  <si>
    <t>192-0943</t>
  </si>
  <si>
    <t>225-3285</t>
  </si>
  <si>
    <t>420-1507</t>
  </si>
  <si>
    <t>427-09-11120</t>
  </si>
  <si>
    <t>5P-2322</t>
  </si>
  <si>
    <t>5P-3193</t>
  </si>
  <si>
    <t>5P-8843</t>
  </si>
  <si>
    <t>7K-9204</t>
  </si>
  <si>
    <t>7K-9205</t>
  </si>
  <si>
    <t>7K-9211</t>
  </si>
  <si>
    <t>7K-9212</t>
  </si>
  <si>
    <t>7X-4786</t>
  </si>
  <si>
    <t>7X-4803</t>
  </si>
  <si>
    <t>8J-5962</t>
  </si>
  <si>
    <t>8T-7535</t>
  </si>
  <si>
    <t>9X-4597</t>
  </si>
  <si>
    <t>9X-4600</t>
  </si>
  <si>
    <t>9X-4601</t>
  </si>
  <si>
    <t>9X-7700</t>
  </si>
  <si>
    <t>9X-7703</t>
  </si>
  <si>
    <t>Limpiador</t>
  </si>
  <si>
    <t>Manguito</t>
  </si>
  <si>
    <t>MANG</t>
  </si>
  <si>
    <t>9X-1386</t>
  </si>
  <si>
    <t>175-7904</t>
  </si>
  <si>
    <t>1U-3174</t>
  </si>
  <si>
    <t>2H-6340</t>
  </si>
  <si>
    <t>2M-9780</t>
  </si>
  <si>
    <t>326-0547</t>
  </si>
  <si>
    <t>329-6113</t>
  </si>
  <si>
    <t>375-1155</t>
  </si>
  <si>
    <t>3J-1907</t>
  </si>
  <si>
    <t>3J-7354</t>
  </si>
  <si>
    <t>450-9217</t>
  </si>
  <si>
    <t>465-3715</t>
  </si>
  <si>
    <t>478-8406</t>
  </si>
  <si>
    <t>58B-98-01340</t>
  </si>
  <si>
    <t>58F-32-00180</t>
  </si>
  <si>
    <t>5D-7523</t>
  </si>
  <si>
    <t>6H-9691</t>
  </si>
  <si>
    <t>EH7190</t>
  </si>
  <si>
    <t>EH-7190</t>
  </si>
  <si>
    <t>EH-7192</t>
  </si>
  <si>
    <t>EH7194</t>
  </si>
  <si>
    <t>EH-7194</t>
  </si>
  <si>
    <t>EH7195</t>
  </si>
  <si>
    <t>EK3776</t>
  </si>
  <si>
    <t>VG9098</t>
  </si>
  <si>
    <t>WA0443</t>
  </si>
  <si>
    <t>WA0456</t>
  </si>
  <si>
    <t>ORING</t>
  </si>
  <si>
    <t>Sello anular</t>
  </si>
  <si>
    <t>0S-0130</t>
  </si>
  <si>
    <t>3B-4629</t>
  </si>
  <si>
    <t>6M-9155</t>
  </si>
  <si>
    <t>Pasador</t>
  </si>
  <si>
    <t>PASA</t>
  </si>
  <si>
    <t>290-7515</t>
  </si>
  <si>
    <t>2D-4534</t>
  </si>
  <si>
    <t>357-6019</t>
  </si>
  <si>
    <t>4S-5565</t>
  </si>
  <si>
    <t>6V-5696</t>
  </si>
  <si>
    <t>8T-0644</t>
  </si>
  <si>
    <t>8T-4184</t>
  </si>
  <si>
    <t>Perno</t>
  </si>
  <si>
    <t>5M-0544</t>
  </si>
  <si>
    <t>109-1393</t>
  </si>
  <si>
    <t>8T-8894</t>
  </si>
  <si>
    <t>3R-2300</t>
  </si>
  <si>
    <t>EH-0826</t>
  </si>
  <si>
    <t>VL-1222</t>
  </si>
  <si>
    <t>VN9141</t>
  </si>
  <si>
    <t>WA1589</t>
  </si>
  <si>
    <t>WA4817</t>
  </si>
  <si>
    <t>8T-0283</t>
  </si>
  <si>
    <t>199-4221</t>
  </si>
  <si>
    <t>249-3505</t>
  </si>
  <si>
    <t>274-9256</t>
  </si>
  <si>
    <t>Pista</t>
  </si>
  <si>
    <t>PISTA</t>
  </si>
  <si>
    <t>351-2190</t>
  </si>
  <si>
    <t>7D-7504</t>
  </si>
  <si>
    <t>212-0907</t>
  </si>
  <si>
    <t>Placa</t>
  </si>
  <si>
    <t>PLACA</t>
  </si>
  <si>
    <t>442-1902</t>
  </si>
  <si>
    <t>442-1905</t>
  </si>
  <si>
    <t>9T-5505</t>
  </si>
  <si>
    <t>EH-5306</t>
  </si>
  <si>
    <t>PLATE</t>
  </si>
  <si>
    <t>Plate</t>
  </si>
  <si>
    <t>EM8365</t>
  </si>
  <si>
    <t>07043-00108</t>
  </si>
  <si>
    <t>9S-8004</t>
  </si>
  <si>
    <t>VM0313</t>
  </si>
  <si>
    <t>Plug</t>
  </si>
  <si>
    <t>PLUG</t>
  </si>
  <si>
    <t>WB-1199</t>
  </si>
  <si>
    <t>WB1199</t>
  </si>
  <si>
    <t>221-5305</t>
  </si>
  <si>
    <t>260-6117</t>
  </si>
  <si>
    <t>438-1135</t>
  </si>
  <si>
    <t>8X-9620</t>
  </si>
  <si>
    <t>Prisionero de bola</t>
  </si>
  <si>
    <t>PRIB</t>
  </si>
  <si>
    <t>276-1816</t>
  </si>
  <si>
    <t>Protector</t>
  </si>
  <si>
    <t>PROT</t>
  </si>
  <si>
    <t>PS81 238.10 X 257.35 X 14.10 PA + NBR</t>
  </si>
  <si>
    <t>PS81 301.60 X 320. 80 X 14.10 PA + NBR</t>
  </si>
  <si>
    <t>PS81 365.15 X 384.30 X 14.10 PA + NBR</t>
  </si>
  <si>
    <t>506-2322</t>
  </si>
  <si>
    <t>9D-6093</t>
  </si>
  <si>
    <t>9D-6135</t>
  </si>
  <si>
    <t>PB-8864</t>
  </si>
  <si>
    <t>2G-5677</t>
  </si>
  <si>
    <t>2G-5681</t>
  </si>
  <si>
    <t>376-8250</t>
  </si>
  <si>
    <t>Resorte</t>
  </si>
  <si>
    <t>RESO</t>
  </si>
  <si>
    <t>118-4912</t>
  </si>
  <si>
    <t>Retenedor</t>
  </si>
  <si>
    <t>RETE</t>
  </si>
  <si>
    <t>243-3177</t>
  </si>
  <si>
    <t>246-9113</t>
  </si>
  <si>
    <t>480-7226</t>
  </si>
  <si>
    <t>Reten</t>
  </si>
  <si>
    <t>EK7088</t>
  </si>
  <si>
    <t>Ring Cushion</t>
  </si>
  <si>
    <t>RINC</t>
  </si>
  <si>
    <t>707-75-10512</t>
  </si>
  <si>
    <t>707-75-16110</t>
  </si>
  <si>
    <t>WA1443</t>
  </si>
  <si>
    <t>114-0762</t>
  </si>
  <si>
    <t>114-0763</t>
  </si>
  <si>
    <t>128-9261</t>
  </si>
  <si>
    <t>128-9262</t>
  </si>
  <si>
    <t>155-9100</t>
  </si>
  <si>
    <t>191-5644</t>
  </si>
  <si>
    <t>570-1983</t>
  </si>
  <si>
    <t>593-8316</t>
  </si>
  <si>
    <t>707-52-11610</t>
  </si>
  <si>
    <t>707-52-11631</t>
  </si>
  <si>
    <t>707-52-90521</t>
  </si>
  <si>
    <t>707-52-91341</t>
  </si>
  <si>
    <t>707-52-91351</t>
  </si>
  <si>
    <t>707-52-91451</t>
  </si>
  <si>
    <t>707-52-91550</t>
  </si>
  <si>
    <t>MDU 120 X 125 X 50</t>
  </si>
  <si>
    <t>MDU 140 X 145 X 50</t>
  </si>
  <si>
    <t>MDU 155 X 150 X 50</t>
  </si>
  <si>
    <t>MDU 65 X 70 X 30</t>
  </si>
  <si>
    <t>MDU ID 140 X 145 X 50</t>
  </si>
  <si>
    <t>Rod Bushing</t>
  </si>
  <si>
    <t>RODB</t>
  </si>
  <si>
    <t>581-50-11180</t>
  </si>
  <si>
    <t>581-50-11280</t>
  </si>
  <si>
    <t>MDU 110 X 115 X45</t>
  </si>
  <si>
    <t>Rodamiento</t>
  </si>
  <si>
    <t>RODA</t>
  </si>
  <si>
    <t>07137-06010</t>
  </si>
  <si>
    <t>480-6605</t>
  </si>
  <si>
    <t>4D-4431</t>
  </si>
  <si>
    <t>562-50-31450</t>
  </si>
  <si>
    <t>707-46-14050</t>
  </si>
  <si>
    <t>707-76-16030</t>
  </si>
  <si>
    <t>VA0538</t>
  </si>
  <si>
    <t>PB0027</t>
  </si>
  <si>
    <t>VF4319</t>
  </si>
  <si>
    <t>040-71-00135</t>
  </si>
  <si>
    <t>04071-00190</t>
  </si>
  <si>
    <t>1J-6472</t>
  </si>
  <si>
    <t>1K-6985</t>
  </si>
  <si>
    <t>1S-3311</t>
  </si>
  <si>
    <t>2H-5549</t>
  </si>
  <si>
    <t>340-2375</t>
  </si>
  <si>
    <t>340-2376</t>
  </si>
  <si>
    <t>340-2377</t>
  </si>
  <si>
    <t>58B-50-00080</t>
  </si>
  <si>
    <t>8J-8905</t>
  </si>
  <si>
    <t>8T-9044</t>
  </si>
  <si>
    <t>VN9350</t>
  </si>
  <si>
    <t>VN9351</t>
  </si>
  <si>
    <t>VN9353</t>
  </si>
  <si>
    <t>Tornillo</t>
  </si>
  <si>
    <t>TORN</t>
  </si>
  <si>
    <t>VN9346</t>
  </si>
  <si>
    <t>707-75-11512</t>
  </si>
  <si>
    <t>Seguro seager</t>
  </si>
  <si>
    <t>SEGS</t>
  </si>
  <si>
    <t>PC-1143</t>
  </si>
  <si>
    <t>PC-1144</t>
  </si>
  <si>
    <t>58B-33-00010</t>
  </si>
  <si>
    <t>58B-33-00170</t>
  </si>
  <si>
    <t>58B-33-00180</t>
  </si>
  <si>
    <t>PC0179</t>
  </si>
  <si>
    <t>PC-1431</t>
  </si>
  <si>
    <t>337-1943</t>
  </si>
  <si>
    <t>169-4812</t>
  </si>
  <si>
    <t>200-3620</t>
  </si>
  <si>
    <t>2G-9491</t>
  </si>
  <si>
    <t>3K-0360</t>
  </si>
  <si>
    <t>510-8794</t>
  </si>
  <si>
    <t>8C-4893</t>
  </si>
  <si>
    <t>9D-7987</t>
  </si>
  <si>
    <t>MCKBI 140 X 160 X 10</t>
  </si>
  <si>
    <t>RTUB25 - 3.00 - 37</t>
  </si>
  <si>
    <t>124-8364</t>
  </si>
  <si>
    <t>123-7265</t>
  </si>
  <si>
    <t>123-7266</t>
  </si>
  <si>
    <t>123-7267</t>
  </si>
  <si>
    <t>124-3520</t>
  </si>
  <si>
    <t>5P-6266</t>
  </si>
  <si>
    <t>5P-6268</t>
  </si>
  <si>
    <t>5P-6270</t>
  </si>
  <si>
    <t>Sello anillo</t>
  </si>
  <si>
    <t>033-6039</t>
  </si>
  <si>
    <t>114-3361</t>
  </si>
  <si>
    <t>188-2199</t>
  </si>
  <si>
    <t>192-4309</t>
  </si>
  <si>
    <t>2H-3932</t>
  </si>
  <si>
    <t>2H-4145</t>
  </si>
  <si>
    <t>320-6169</t>
  </si>
  <si>
    <t>365-9196</t>
  </si>
  <si>
    <t>476-7243</t>
  </si>
  <si>
    <t>4F-8824</t>
  </si>
  <si>
    <t>4J-7533</t>
  </si>
  <si>
    <t>5P-0840</t>
  </si>
  <si>
    <t>5P-2235</t>
  </si>
  <si>
    <t>6J-5541</t>
  </si>
  <si>
    <t>6V-6707</t>
  </si>
  <si>
    <t>7J-0204</t>
  </si>
  <si>
    <t>8J-4351</t>
  </si>
  <si>
    <t>9X-4611</t>
  </si>
  <si>
    <t>7J-8956</t>
  </si>
  <si>
    <t>312-4248</t>
  </si>
  <si>
    <t>Sello de culata</t>
  </si>
  <si>
    <t>SELC</t>
  </si>
  <si>
    <t>425-7486</t>
  </si>
  <si>
    <t>437-2053</t>
  </si>
  <si>
    <t>441-8164</t>
  </si>
  <si>
    <t>Sello de funda</t>
  </si>
  <si>
    <t>SELF</t>
  </si>
  <si>
    <t>165-9290</t>
  </si>
  <si>
    <t>225-3281</t>
  </si>
  <si>
    <t>346-5196</t>
  </si>
  <si>
    <t>514-6718</t>
  </si>
  <si>
    <t>346-9383</t>
  </si>
  <si>
    <t>289-2956</t>
  </si>
  <si>
    <t>312-4247</t>
  </si>
  <si>
    <t>346-5200</t>
  </si>
  <si>
    <t>367-3961</t>
  </si>
  <si>
    <t>Sello principal</t>
  </si>
  <si>
    <t>SELP</t>
  </si>
  <si>
    <t>4T-5173</t>
  </si>
  <si>
    <t>225-3294</t>
  </si>
  <si>
    <t>167-2339</t>
  </si>
  <si>
    <t>289-2948</t>
  </si>
  <si>
    <t>324-6439</t>
  </si>
  <si>
    <t>415-3212</t>
  </si>
  <si>
    <t>421-4025</t>
  </si>
  <si>
    <t>421-4026</t>
  </si>
  <si>
    <t>175-7902</t>
  </si>
  <si>
    <t>EK2731</t>
  </si>
  <si>
    <t>EK2732</t>
  </si>
  <si>
    <t>EK2733</t>
  </si>
  <si>
    <t>EL-2878</t>
  </si>
  <si>
    <t>EL-2876</t>
  </si>
  <si>
    <t>EL-2877</t>
  </si>
  <si>
    <t>EJ-7475</t>
  </si>
  <si>
    <t>SHIM</t>
  </si>
  <si>
    <t>Shim</t>
  </si>
  <si>
    <t>Sensor de velocidad</t>
  </si>
  <si>
    <t>SENSV</t>
  </si>
  <si>
    <t>164-3261</t>
  </si>
  <si>
    <t>EJ6986</t>
  </si>
  <si>
    <t>357-5257</t>
  </si>
  <si>
    <t>438-1136</t>
  </si>
  <si>
    <t>7D-5435</t>
  </si>
  <si>
    <t>5M-6213</t>
  </si>
  <si>
    <t>5M-6214</t>
  </si>
  <si>
    <t>5T-6503</t>
  </si>
  <si>
    <t>8T-6757</t>
  </si>
  <si>
    <t>9S-4182</t>
  </si>
  <si>
    <t>9S-8001</t>
  </si>
  <si>
    <t>9S-8005</t>
  </si>
  <si>
    <t>TAPON BOSS 6</t>
  </si>
  <si>
    <t>1N-5999</t>
  </si>
  <si>
    <t>8T-8737</t>
  </si>
  <si>
    <t>095-1265</t>
  </si>
  <si>
    <t>6V-8223</t>
  </si>
  <si>
    <t>8T-5070</t>
  </si>
  <si>
    <t>8T-9102</t>
  </si>
  <si>
    <t>9X-2609</t>
  </si>
  <si>
    <t>365-6133</t>
  </si>
  <si>
    <t>Trabador</t>
  </si>
  <si>
    <t>TRAB</t>
  </si>
  <si>
    <t>244-2306</t>
  </si>
  <si>
    <t>8B-1002</t>
  </si>
  <si>
    <t>Tuerca</t>
  </si>
  <si>
    <t>167-2318</t>
  </si>
  <si>
    <t>158-2336</t>
  </si>
  <si>
    <t>440-2667</t>
  </si>
  <si>
    <t>PB2194</t>
  </si>
  <si>
    <t>RK1887</t>
  </si>
  <si>
    <t>XA5153</t>
  </si>
  <si>
    <t>Válvula</t>
  </si>
  <si>
    <t>VALV</t>
  </si>
  <si>
    <t>5P-8245</t>
  </si>
  <si>
    <t>7X-0521</t>
  </si>
  <si>
    <t>TY1503</t>
  </si>
  <si>
    <t>6V-2360</t>
  </si>
  <si>
    <t>233-0621</t>
  </si>
  <si>
    <t>574 - 228</t>
  </si>
  <si>
    <t>574 - 448</t>
  </si>
  <si>
    <t>612 - 1000 - 100 - SC</t>
  </si>
  <si>
    <t>612 - 225- 100 - SC</t>
  </si>
  <si>
    <t>612 - 250 - 050 - SC</t>
  </si>
  <si>
    <t>612 - 400 - 100</t>
  </si>
  <si>
    <t>612 - 725 - 100 - SC</t>
  </si>
  <si>
    <t>BARRA CROMADA Ø1-1/4" X 7-1/2" LONG</t>
  </si>
  <si>
    <t>BWR01 128 X 135 X 25 ORCOTT MAQUINABLE</t>
  </si>
  <si>
    <t>CTC - 9J3497</t>
  </si>
  <si>
    <t>DRU37 - 7.00 - 62</t>
  </si>
  <si>
    <t>DSU18 - 1.25 - 25</t>
  </si>
  <si>
    <t>MBN 80 X 5 X 3</t>
  </si>
  <si>
    <t>MBU 80 X 2.5 X 1.3</t>
  </si>
  <si>
    <t>MCHD - 2006 - D</t>
  </si>
  <si>
    <t>MCN - 1254</t>
  </si>
  <si>
    <t>MCW 80 X 94 X 8</t>
  </si>
  <si>
    <t>MDU 80 X 85 X 30</t>
  </si>
  <si>
    <t>MGB 6 X 4 (3MT)</t>
  </si>
  <si>
    <t>MOR 80 X 2.5 - NBR 90</t>
  </si>
  <si>
    <t>MRTU 80 X 90 X 6</t>
  </si>
  <si>
    <t>MYR 80 X 95.5 X 5.9</t>
  </si>
  <si>
    <t>OR 2 - 218 NBR 70</t>
  </si>
  <si>
    <t>OR 2 - 241 NBR 70</t>
  </si>
  <si>
    <t>PERNO (GRADO 8) 1/2" X 3/4" - HILO CORRIENTE</t>
  </si>
  <si>
    <t>PRISIONERO 1/4" X 1/4" LONG</t>
  </si>
  <si>
    <t>PRISIONERO M10 X 15MM LONG</t>
  </si>
  <si>
    <t>PRISIONERO M12 X 32.18</t>
  </si>
  <si>
    <t>PS081 = 229.00 x 241.30 x 13.20 POM + NBR (MEDIDA FINAL)</t>
  </si>
  <si>
    <t>PS081 = 279.90 x 292.10 x 13.20 POM + NBR (MEDIDA FINAL)</t>
  </si>
  <si>
    <t>PS081 118.80 X 135 X 7.50 PTFE BRONCE + NBR</t>
  </si>
  <si>
    <t>PS35 129.80 X 135 X 5.60 PU GREY</t>
  </si>
  <si>
    <t>PS35 146.5 X 152.40 X 5.40 (PU RED)</t>
  </si>
  <si>
    <t>PS35 96 X 101.60 X 5.2 PU RED</t>
  </si>
  <si>
    <t>PS81 - 229.10 X 241.30 X 14.5 POM + NBR (MEDIDA FINAL DE ALTURA DE SELLO 13.5)</t>
  </si>
  <si>
    <t>PS81 - 286.50 X 298.55 X 14.5 PA + NBR (MEDIDA FINAL DE ALTURA DE SELLO 13.5)</t>
  </si>
  <si>
    <t>PS81 - 343.3 X 355.7 X 14.5 PA+NBR (MEDIDA FINAL DE ALTURA DE SELLO 13.5)</t>
  </si>
  <si>
    <t>PS81 54.00 X 63.5 X 4.70</t>
  </si>
  <si>
    <t>PSQ - 160</t>
  </si>
  <si>
    <t>RS09B 64.5 X 50.8 X 3.6 PTFE BRONCE + NBR</t>
  </si>
  <si>
    <t>RTUB25 - 2.00 - 37</t>
  </si>
  <si>
    <t>ST-700-XL</t>
  </si>
  <si>
    <t>TUBO MICROBRUÑIDO OD 3.015 X ID 2.500 X 8.500" LONG</t>
  </si>
  <si>
    <t>TUERCA Ø3/4" X 16 HILOS POR PULGADA DE GRADO 8 (HILO FINO)</t>
  </si>
  <si>
    <t>VALV CBGG-LJN</t>
  </si>
  <si>
    <t>PERNO (GRADO 8) 7/8" X 3" - 9NC</t>
  </si>
  <si>
    <t>PERNO (GRADO 10.9) + ARANDELA ENDURECIDAS 7/8 - 9NC X 4-1/2"</t>
  </si>
  <si>
    <t>ANILLO DE RETENCION PARA INTERIORES ØEXT 70 MM</t>
  </si>
  <si>
    <t>Prisionero</t>
  </si>
  <si>
    <t>PRIS</t>
  </si>
  <si>
    <t>ACERO H1045 11-1/4" X 5" X 3/4" ESPESOR</t>
  </si>
  <si>
    <t>9X-8399</t>
  </si>
  <si>
    <t>517-5956</t>
  </si>
  <si>
    <t>9J-7099</t>
  </si>
  <si>
    <t>462-2010</t>
  </si>
  <si>
    <t>9J-7100</t>
  </si>
  <si>
    <t>C1602</t>
  </si>
  <si>
    <t>7J-9694</t>
  </si>
  <si>
    <t>PB-9996</t>
  </si>
  <si>
    <t>PC-1424</t>
  </si>
  <si>
    <t>PC-0002</t>
  </si>
  <si>
    <t>PC-0521</t>
  </si>
  <si>
    <t>EH-7195</t>
  </si>
  <si>
    <t>EH-7196</t>
  </si>
  <si>
    <t>EH-7197</t>
  </si>
  <si>
    <t>WA4780</t>
  </si>
  <si>
    <t>MIRIAN</t>
  </si>
  <si>
    <t>ANGELO</t>
  </si>
  <si>
    <t>DIEGO</t>
  </si>
  <si>
    <t>9X-4598 / 166-1497</t>
  </si>
  <si>
    <t>9X-4599 / 166-1498</t>
  </si>
  <si>
    <t>SE REPITE</t>
  </si>
  <si>
    <t xml:space="preserve">   TUBO CORRUGADO ABIERTO DE Ø1-1/4"</t>
  </si>
  <si>
    <t xml:space="preserve"> </t>
  </si>
  <si>
    <t>VN9149 / 24869R1</t>
  </si>
  <si>
    <t>CTC - 1672195 / 289-2935</t>
  </si>
  <si>
    <t>?</t>
  </si>
  <si>
    <t>298.40 </t>
  </si>
  <si>
    <t>479.68 </t>
  </si>
  <si>
    <t>SP</t>
  </si>
  <si>
    <t>215-9999</t>
  </si>
  <si>
    <t>156.32 </t>
  </si>
  <si>
    <t>5.56 </t>
  </si>
  <si>
    <t>658.54 </t>
  </si>
  <si>
    <t>391.98 </t>
  </si>
  <si>
    <t>DUPLICADO</t>
  </si>
  <si>
    <t>ES CAT NO KOM</t>
  </si>
  <si>
    <t>Diego J.</t>
  </si>
  <si>
    <t>LIMPIADOR CONTACTO ELECTRON,120562,3M</t>
  </si>
  <si>
    <t>entrega inmediata</t>
  </si>
  <si>
    <t>3M</t>
  </si>
  <si>
    <t>AFLOJATODO,1400096,VISTONY</t>
  </si>
  <si>
    <t>VIS</t>
  </si>
  <si>
    <t>ANTISPATER,CANAS16-A,CANTESCO</t>
  </si>
  <si>
    <t>CAN</t>
  </si>
  <si>
    <t>CANAS16-A</t>
  </si>
  <si>
    <t>CINTACREPE,DIST-TB106,TEKBOND</t>
  </si>
  <si>
    <t>TEK</t>
  </si>
  <si>
    <t>DIST-TB106</t>
  </si>
  <si>
    <t>PINTURA AERO NEGRO BRILLANTE,DIST-TB031,TEKBOND</t>
  </si>
  <si>
    <t>DIST-TB031</t>
  </si>
  <si>
    <t>GUANTE VERDE,GVCJ-V,ANSELL</t>
  </si>
  <si>
    <t>ANS</t>
  </si>
  <si>
    <t>GVCJ-V</t>
  </si>
  <si>
    <t>CINTA DE EMBALAJE,STRMANTR00483007,SOLPACK</t>
  </si>
  <si>
    <t>STRMANTR00483007</t>
  </si>
  <si>
    <t>CINTA MASKING 3/4",12588,TRUPER</t>
  </si>
  <si>
    <t>TRU</t>
  </si>
  <si>
    <t>CINTA MASKING 2",123179,SHURTAPE</t>
  </si>
  <si>
    <t>SHU</t>
  </si>
  <si>
    <t>CINTA MASKING 2",1421,TEKBOND</t>
  </si>
  <si>
    <t>TEFLON,126246,C&amp;A</t>
  </si>
  <si>
    <t>C&amp;A</t>
  </si>
  <si>
    <t>CONTAC TIP 1.2MM,14H45,ESAB</t>
  </si>
  <si>
    <t>ESA</t>
  </si>
  <si>
    <t>14H45</t>
  </si>
  <si>
    <t>CUERPO DE TOBERA,34CT,ESAB</t>
  </si>
  <si>
    <t>34CT</t>
  </si>
  <si>
    <t>DISCO CORTE FINO BNA 12 4-1/2" X 3/64" X 7/8",66252846557,NORTON</t>
  </si>
  <si>
    <t>NOR</t>
  </si>
  <si>
    <t>DISCO LIJA FLAP P/METAL 115NN #40,DLF440T,UYUSTOOLS</t>
  </si>
  <si>
    <t>UYU</t>
  </si>
  <si>
    <t>DLF440T</t>
  </si>
  <si>
    <t>ANTISPATTER DISTAC WELD SPRAY 400ML,10610/04W,SILICONI</t>
  </si>
  <si>
    <t>SIL</t>
  </si>
  <si>
    <t>10610/04W</t>
  </si>
  <si>
    <t>ESCOBILLA REDONDA 4",EBR104,UYUSTOOLS</t>
  </si>
  <si>
    <t>EBR104</t>
  </si>
  <si>
    <t>FILTRO P100,PR000229,3M</t>
  </si>
  <si>
    <t>PR000229</t>
  </si>
  <si>
    <t>GLOSS AMARILLO KOMATSU,GA-2030,ANYPSA</t>
  </si>
  <si>
    <t>ANY</t>
  </si>
  <si>
    <t>GA-2030</t>
  </si>
  <si>
    <t>GLOSS AMARILLO CATERPILLAR,GA-2900,ANYPSA</t>
  </si>
  <si>
    <t>GA-2900</t>
  </si>
  <si>
    <t>GLOSS NEGRO,GA-7000,ANYPSA</t>
  </si>
  <si>
    <t>GA-7000</t>
  </si>
  <si>
    <t>GRASERA CINCADA 1/8 NPT RECTA,4300200200,</t>
  </si>
  <si>
    <t>XIA</t>
  </si>
  <si>
    <t>GUANTE CUERO VERDE Y BLANCO,603792,CLUTE</t>
  </si>
  <si>
    <t>CLU</t>
  </si>
  <si>
    <t>GUANTE TELA+GOMA GRIS-8",GD7003-8,FERRAWYY</t>
  </si>
  <si>
    <t>FER</t>
  </si>
  <si>
    <t>GD7003-8</t>
  </si>
  <si>
    <t>GUANTE TELA+GOMA GRIS-9",GD7003-9,FERRAWYY</t>
  </si>
  <si>
    <t>GD7003-9</t>
  </si>
  <si>
    <t>GUANTE QUIRURGICO NITRILO,0,PROTEC</t>
  </si>
  <si>
    <t>PRO</t>
  </si>
  <si>
    <t>HOJA DE SIERRA,PLD-HS12,BAHCO</t>
  </si>
  <si>
    <t>BAH</t>
  </si>
  <si>
    <t>PLD-HS12</t>
  </si>
  <si>
    <t>LIJA AL AGUA GR. 600,60900002,ABRALIT</t>
  </si>
  <si>
    <t>ABR</t>
  </si>
  <si>
    <t>LIJA AL AGUA GR. 120,60900020,ABRALIT</t>
  </si>
  <si>
    <t>LIJA AL AGUA GR. 150,60900022,ABRALIT</t>
  </si>
  <si>
    <t>LIJA AL AGUA GR. 40,60900006,ABRALIT</t>
  </si>
  <si>
    <t>LIJA AL AGUA GR. 80,60900018,ABRALIT</t>
  </si>
  <si>
    <t>LENTES SP100 CLARO,LSSP100CL,SEGPRO</t>
  </si>
  <si>
    <t>SEG</t>
  </si>
  <si>
    <t>LSSP100CL</t>
  </si>
  <si>
    <t>LOCTITE,0,HENKEL</t>
  </si>
  <si>
    <t>HEN</t>
  </si>
  <si>
    <t>LUNA CLARA,P00031,</t>
  </si>
  <si>
    <t>P00031</t>
  </si>
  <si>
    <t>MOTA FLAP 25X15X6 KM613 GR40,163102,KLINGSPOR</t>
  </si>
  <si>
    <t>KLI</t>
  </si>
  <si>
    <t>MOTA FLAP 25X15X6 KM613 GR60,163103,KLINGSPOR</t>
  </si>
  <si>
    <t>MOTA FLAP 50X20X6 KM613 GR 120,163093,KLINGSPOR</t>
  </si>
  <si>
    <t>MOTA FLAP 50X20X6 KM613 GR40,163089,KLINGSPOR</t>
  </si>
  <si>
    <t>MOTA FLAP 50X20X6 KM613 GR60,163090,KLINGSPOR</t>
  </si>
  <si>
    <t>MOTA FLAP 50X20X6 KM613 GR80,163091,KLINGSPOR</t>
  </si>
  <si>
    <t>OREJERA ADAPTABLE,CM501,STEELPRO</t>
  </si>
  <si>
    <t>STE</t>
  </si>
  <si>
    <t>CM501</t>
  </si>
  <si>
    <t>PAÑO DE LIMPIEZA,429422X,MAXWIPE</t>
  </si>
  <si>
    <t>ELI</t>
  </si>
  <si>
    <t>429422X</t>
  </si>
  <si>
    <t>PEGAMENTO EPOXICO,54001,SOLDIMIX</t>
  </si>
  <si>
    <t>SDM</t>
  </si>
  <si>
    <t>PERNO 1/2 X 2 C/TUERCA Y VOLANDA COMPLETO,0,ARAGCU</t>
  </si>
  <si>
    <t>ARA</t>
  </si>
  <si>
    <t>PERNO 1/2 X2 COMPLETO,0,ARAGCU</t>
  </si>
  <si>
    <t>PERNO M10 X3/4,0,ARAGCU</t>
  </si>
  <si>
    <t>PINTURA AERO NEGRO BRILLANTE,TND-TB031,TEKBOND</t>
  </si>
  <si>
    <t>TND-TB031</t>
  </si>
  <si>
    <t>PISTOLA PARA LIMPIEZA,19236,TRUPER</t>
  </si>
  <si>
    <t>RIVELEX 200 SPRAY 400ML,16510/04,SILICONI</t>
  </si>
  <si>
    <t>16510/04</t>
  </si>
  <si>
    <t>ROLLO BEAR-TEX 6"X9. 144MTS,6626106430,NORTON</t>
  </si>
  <si>
    <t>71T-1 1.20mm 15.00kg,,ESAB</t>
  </si>
  <si>
    <t>LIMPIA CONTACTO,1400102,VISTONY</t>
  </si>
  <si>
    <t>SUPERCITO B5 7018 - 3.25X355MM (1/8") ,506626,OERLIKON</t>
  </si>
  <si>
    <t>OER</t>
  </si>
  <si>
    <t>THINNER ACRILICO X 2.8 LITROS,,NACHO</t>
  </si>
  <si>
    <t>NAC</t>
  </si>
  <si>
    <t>NCH-TH.ACR</t>
  </si>
  <si>
    <t>TRAPO INDUSTRIAL,UBA-01,TRAPEX</t>
  </si>
  <si>
    <t>TRA</t>
  </si>
  <si>
    <t>UBA-01</t>
  </si>
  <si>
    <t>WAYPE,UBS-WC,ALICORP</t>
  </si>
  <si>
    <t>ALI</t>
  </si>
  <si>
    <t>UBS-WC</t>
  </si>
  <si>
    <t>REMOVEDOR,RVA-X7000,ANYPSA</t>
  </si>
  <si>
    <t xml:space="preserve">RVA-X7000 </t>
  </si>
  <si>
    <t>Mirian C.</t>
  </si>
  <si>
    <t>HIELO SECO,1000201,LINDE</t>
  </si>
  <si>
    <t>LIN</t>
  </si>
  <si>
    <t>FLEJE METALICO DE 3/4" X .023in, FLEJE MET, GEN</t>
  </si>
  <si>
    <t>GEN</t>
  </si>
  <si>
    <t>FLEJE MET</t>
  </si>
  <si>
    <t>GRAPAS DE FIERRO GALVANIZADO DE 3/4" X 0.60mm, GRA GALV, GEN</t>
  </si>
  <si>
    <t>GRA GALV</t>
  </si>
  <si>
    <t>SET PIEDRAS BRUÑIDO DESB 4.1" - 60",W47-A45, SUNNEN</t>
  </si>
  <si>
    <t>SUN</t>
  </si>
  <si>
    <t>W47-A45</t>
  </si>
  <si>
    <t>SET PIEDRAS BRUÑIDO DESB 4.1" - 60", W47-A25, SUNNEN</t>
  </si>
  <si>
    <t>W47-A25</t>
  </si>
  <si>
    <t>SET PIEDRAS BRUÑIDO DESB 3.5" - 5.5", N37-A45, SUNNEN</t>
  </si>
  <si>
    <t>N37-A45</t>
  </si>
  <si>
    <t>SET PIEDRAS BRUÑIDO ACAB 4.1" - 60"W47-J87, SUNNEN</t>
  </si>
  <si>
    <t>W47-J87</t>
  </si>
  <si>
    <t>SET PIEDRAS BRUÑIDO ACAB, N37-J87, SUNNEN</t>
  </si>
  <si>
    <t>N37-J87</t>
  </si>
  <si>
    <t>SET PIEDRAS BRUÑIDO ACAB, W47-J87, SUNNEN</t>
  </si>
  <si>
    <t>P CARB P/TRONZADO, TDC4-TT9080, TAE</t>
  </si>
  <si>
    <t>TAE</t>
  </si>
  <si>
    <t>TDC4-TT9080</t>
  </si>
  <si>
    <t>P CARB P/TRONZADO, TDC3-TT9080, TAE</t>
  </si>
  <si>
    <t>TDC3-TT9080</t>
  </si>
  <si>
    <t>P CARB P/TORNEAR, TCMT16T304-AHF, ZCC</t>
  </si>
  <si>
    <t>ZCC</t>
  </si>
  <si>
    <t>TCMT16T304-AHF</t>
  </si>
  <si>
    <t>P CARB P/TORNEAR, TCMT16T308-AHF, ZCC</t>
  </si>
  <si>
    <t>TCMT16T308-AHF</t>
  </si>
  <si>
    <t>P CARB P/FRESAR, APKT160408-PM YBG-205, ZCC</t>
  </si>
  <si>
    <t xml:space="preserve">APKT160408-PM YBG-205 </t>
  </si>
  <si>
    <t>P CARB P/TRONZADO, ZRGDO4-MG YBG-202, ZCC</t>
  </si>
  <si>
    <t>ZRGDO4-MG YBG-202</t>
  </si>
  <si>
    <t>P CARB P/TORNEAR, DNMG150604-DF YBC-252, ZCC</t>
  </si>
  <si>
    <t>DNMG150604-DF YBC-252</t>
  </si>
  <si>
    <t>P CARB P/ROSCADO TIPO SIERRA EXT. 22ER 8  TT9030, TAE</t>
  </si>
  <si>
    <t>22ER 8 TT9030</t>
  </si>
  <si>
    <t>P CARB P/ROSCADO TIPO SIERRA INT. 22IR 8 TT9030, TAE</t>
  </si>
  <si>
    <t>22IR 8 TT9030</t>
  </si>
  <si>
    <t xml:space="preserve">P CARB P/ROSCADO INT PEQUEÑO IZQ, RT16.01N-G60P YBG-201, ZCC </t>
  </si>
  <si>
    <t>RT16.01N-G60P YBG-201</t>
  </si>
  <si>
    <t xml:space="preserve">P CARB P/ROSCADO INT PEQUEÑO DER, RT16.01W-G60P YBG-201, ZCC </t>
  </si>
  <si>
    <t>RT16.01W-G60P YBG-201</t>
  </si>
  <si>
    <t>P CARB P/ROSCADO INT GRANDE IZQ, RT22.01N-N55P YBG-201, ZCC</t>
  </si>
  <si>
    <t>RT22.01N-N55P YBG-201</t>
  </si>
  <si>
    <t>P CARB P/ROSCADO INT GRANDE DER, RT22.01W-N55P YBG-201, ZCC</t>
  </si>
  <si>
    <t>RT22.01W-N55P YBG-201</t>
  </si>
  <si>
    <t>P CARB P/TORNEAR, CCMT060204-HF YBC-252, ZCC</t>
  </si>
  <si>
    <t>CCMT060204-HF YBC-252</t>
  </si>
  <si>
    <t>P CARB P/TORNEAR, CCMT060208-HF YBC-252, ZCC</t>
  </si>
  <si>
    <t>CCMT060208-HF YBC-252</t>
  </si>
  <si>
    <t>P CARB P/TORNEAR, WNMG080408-NM YBG-102, ZCC</t>
  </si>
  <si>
    <t>WNMG080408-NM YBG-102</t>
  </si>
  <si>
    <t>P CARB P/TORNEAR, WNMG080404-EF YBG-102, ZCC</t>
  </si>
  <si>
    <t>WNMG080404-EF YBG-102</t>
  </si>
  <si>
    <t>P CARB P/TORNEAR, TNMG160408-EM YBG-202, ZCC</t>
  </si>
  <si>
    <t>TNMG160408-EM YBG-202</t>
  </si>
  <si>
    <t>P CARB P/TORNEAR, TNMG160404-EM YBG-202, ZCC</t>
  </si>
  <si>
    <t>TNMG160404-EM YBG-202</t>
  </si>
  <si>
    <t>P CARB P/TORNEAR, CCMT09T304-HM YBG-202, ZCC</t>
  </si>
  <si>
    <t>CCMT09T304-HM YBG-202</t>
  </si>
  <si>
    <t>P CARB P/TORNEAR, CCMT09T308-HM YBG-202, ZCC</t>
  </si>
  <si>
    <t>CCMT09T308-HM YBG-202</t>
  </si>
  <si>
    <t>PAQ PAPEL BOND 1 CIENTO, PB, GEN</t>
  </si>
  <si>
    <t>PB</t>
  </si>
  <si>
    <t>ROLLO CARTON CORRUGADO, 1RCC, GEN</t>
  </si>
  <si>
    <t>1RCC</t>
  </si>
  <si>
    <t>CAJ GRAPAS, GMIL, GEN</t>
  </si>
  <si>
    <t>GMIL</t>
  </si>
  <si>
    <t>CAJ CLIPS, CCIEN, GEN</t>
  </si>
  <si>
    <t>CCIEN</t>
  </si>
  <si>
    <t>CAJ PLUMON DE PIZARRA, PLU, GEN</t>
  </si>
  <si>
    <t>PLU</t>
  </si>
  <si>
    <t>CAJ PLUMON INDELEBLE NEGRO, PNJUMBO, GEN</t>
  </si>
  <si>
    <t>PNJUMBO</t>
  </si>
  <si>
    <t>PAQ MICAS, M10, GEN</t>
  </si>
  <si>
    <t>M10</t>
  </si>
  <si>
    <t>CAJ CORRECTOR, CORR, GEN</t>
  </si>
  <si>
    <t>CORR</t>
  </si>
  <si>
    <t>CAJ LAPICERO R-N-A, LAP, GEN</t>
  </si>
  <si>
    <t>LAP</t>
  </si>
  <si>
    <t>TINTA EPSON MAGENTA, MAG T504, EPSON</t>
  </si>
  <si>
    <t>EPS</t>
  </si>
  <si>
    <t>MAG T504</t>
  </si>
  <si>
    <t>TINTA EPSON AMARILLA, AMAR T504, EPSON</t>
  </si>
  <si>
    <t>AMA T504</t>
  </si>
  <si>
    <t>TINTA EPSON NERO, NEG T504, EPSON</t>
  </si>
  <si>
    <t>NEG T504</t>
  </si>
  <si>
    <t>TINTA EPSON CYAN, CYA T504, EPSON</t>
  </si>
  <si>
    <t>CYA T504</t>
  </si>
  <si>
    <t>PAQ FOLDER MANILA, FM25U, GEN</t>
  </si>
  <si>
    <t>FM25U</t>
  </si>
  <si>
    <t xml:space="preserve">PAQ SOBRE MANILA, SM25U, GEN </t>
  </si>
  <si>
    <t>SM25U</t>
  </si>
  <si>
    <t>TIJERA, TIJ, GEN</t>
  </si>
  <si>
    <t>TIJ</t>
  </si>
  <si>
    <t>NITROGENO GASEOSO, NITGAS, LINDE</t>
  </si>
  <si>
    <t>NITGAS</t>
  </si>
  <si>
    <t>NITROGENO GASEOSO, NITLIQ, LINDE</t>
  </si>
  <si>
    <t>NITLIQ</t>
  </si>
  <si>
    <t>ACETILENO, ACET, LINDE</t>
  </si>
  <si>
    <t>ACET</t>
  </si>
  <si>
    <t>OXIGENO, OXIG, LINDE</t>
  </si>
  <si>
    <t>OXIG</t>
  </si>
  <si>
    <t>DIOXIDO DE CARBONO, CO2, LINDE</t>
  </si>
  <si>
    <t>CO2</t>
  </si>
  <si>
    <t>GAS, GAS10, GEN</t>
  </si>
  <si>
    <t>GAS10</t>
  </si>
  <si>
    <t>GAS PARA MONTACARGA, GLP15, GEN</t>
  </si>
  <si>
    <t>GLP15</t>
  </si>
  <si>
    <t>AQPTA327</t>
  </si>
  <si>
    <t>AQPTA328</t>
  </si>
  <si>
    <t>AQPTA329</t>
  </si>
  <si>
    <t>AQPTA330</t>
  </si>
  <si>
    <t>AQPTA331</t>
  </si>
  <si>
    <t>AQPTA332</t>
  </si>
  <si>
    <t>AQPTA333</t>
  </si>
  <si>
    <t>AQPTA334</t>
  </si>
  <si>
    <t>AQPTA335</t>
  </si>
  <si>
    <t>AQPTA336</t>
  </si>
  <si>
    <t>AQPTA337</t>
  </si>
  <si>
    <t>AQPTA338</t>
  </si>
  <si>
    <t>AQPTA339</t>
  </si>
  <si>
    <t>AQPTA340</t>
  </si>
  <si>
    <t>AQPTA341</t>
  </si>
  <si>
    <t>AQPTA342</t>
  </si>
  <si>
    <t>AQPTA343</t>
  </si>
  <si>
    <t>AQPTA344</t>
  </si>
  <si>
    <t>AQPTA345</t>
  </si>
  <si>
    <t>AQPTA346</t>
  </si>
  <si>
    <t>AQPTA347</t>
  </si>
  <si>
    <t>AQPTA348</t>
  </si>
  <si>
    <t>AQPTA349</t>
  </si>
  <si>
    <t>AQPTA350</t>
  </si>
  <si>
    <t>AQPTA351</t>
  </si>
  <si>
    <t>AQPTA352</t>
  </si>
  <si>
    <t>AQPTA353</t>
  </si>
  <si>
    <t>AQPTA354</t>
  </si>
  <si>
    <t>AQPTA355</t>
  </si>
  <si>
    <t>AQPTA356</t>
  </si>
  <si>
    <t>AQPTA357</t>
  </si>
  <si>
    <t>AQPTA358</t>
  </si>
  <si>
    <t>AQPTA359</t>
  </si>
  <si>
    <t>AQPTA360</t>
  </si>
  <si>
    <t>AQPTA361</t>
  </si>
  <si>
    <t>AQPTA362</t>
  </si>
  <si>
    <t>AQPTA363</t>
  </si>
  <si>
    <t>AQPTA364</t>
  </si>
  <si>
    <t>AQPTA365</t>
  </si>
  <si>
    <t>AQPTA366</t>
  </si>
  <si>
    <t>AQPTA367</t>
  </si>
  <si>
    <t>AQPTA368</t>
  </si>
  <si>
    <t>AQPTA369</t>
  </si>
  <si>
    <t>AQPTA370</t>
  </si>
  <si>
    <t>AQPTA371</t>
  </si>
  <si>
    <t>AQPTA372</t>
  </si>
  <si>
    <t>AQPTA373</t>
  </si>
  <si>
    <t>AQPTA374</t>
  </si>
  <si>
    <t>AQPTA375</t>
  </si>
  <si>
    <t>AQPTA376</t>
  </si>
  <si>
    <t>AQPTA377</t>
  </si>
  <si>
    <t>AQPTA378</t>
  </si>
  <si>
    <t>AQPTA379</t>
  </si>
  <si>
    <t>AQPTA380</t>
  </si>
  <si>
    <t>AQPTA381</t>
  </si>
  <si>
    <t>AQPTA382</t>
  </si>
  <si>
    <t>AQPTA383</t>
  </si>
  <si>
    <t>AQPTA384</t>
  </si>
  <si>
    <t>AQPTA385</t>
  </si>
  <si>
    <t>AQPTA386</t>
  </si>
  <si>
    <t>AQPTA387</t>
  </si>
  <si>
    <t>AQPTA388</t>
  </si>
  <si>
    <t>AQPTA389</t>
  </si>
  <si>
    <t>AQPTA390</t>
  </si>
  <si>
    <t>AQPTA391</t>
  </si>
  <si>
    <t>AQPTA392</t>
  </si>
  <si>
    <t>AQPTA393</t>
  </si>
  <si>
    <t>AQPTA397</t>
  </si>
  <si>
    <t>AQPTA398</t>
  </si>
  <si>
    <t>AQPTA399</t>
  </si>
  <si>
    <t>AQPTA400</t>
  </si>
  <si>
    <t>AQPTA401</t>
  </si>
  <si>
    <t>AQPTA402</t>
  </si>
  <si>
    <t>AQPTA403</t>
  </si>
  <si>
    <t>AQPTA404</t>
  </si>
  <si>
    <t>AQPTA405</t>
  </si>
  <si>
    <t>AQPTA406</t>
  </si>
  <si>
    <t>AQPTA407</t>
  </si>
  <si>
    <t>AQPTA408</t>
  </si>
  <si>
    <t>AQPTA409</t>
  </si>
  <si>
    <t>AQPTA410</t>
  </si>
  <si>
    <t>AQPTA411</t>
  </si>
  <si>
    <t>AQPTA412</t>
  </si>
  <si>
    <t>AQPTA413</t>
  </si>
  <si>
    <t>AQPTA414</t>
  </si>
  <si>
    <t>AQPTA415</t>
  </si>
  <si>
    <t>AQPTA416</t>
  </si>
  <si>
    <t>AQPTA417</t>
  </si>
  <si>
    <t>AQPTA418</t>
  </si>
  <si>
    <t>AQPTA419</t>
  </si>
  <si>
    <t>AQPTA420</t>
  </si>
  <si>
    <t>AQPTA421</t>
  </si>
  <si>
    <t>AQPTA422</t>
  </si>
  <si>
    <t>AQPTA423</t>
  </si>
  <si>
    <t>AQPTA424</t>
  </si>
  <si>
    <t>AQPTA425</t>
  </si>
  <si>
    <t>AQPTA426</t>
  </si>
  <si>
    <t>AQPTA427</t>
  </si>
  <si>
    <t>AQPTA428</t>
  </si>
  <si>
    <t>AQPTA429</t>
  </si>
  <si>
    <t>AQPTA430</t>
  </si>
  <si>
    <t>AQPTA431</t>
  </si>
  <si>
    <t>AQPTA432</t>
  </si>
  <si>
    <t>AQPTA433</t>
  </si>
  <si>
    <t>AQPTA434</t>
  </si>
  <si>
    <t>AQPTA435</t>
  </si>
  <si>
    <t>AQPTA436</t>
  </si>
  <si>
    <t>AQPTA437</t>
  </si>
  <si>
    <t>AQPTA438</t>
  </si>
  <si>
    <t>AQPTA439</t>
  </si>
  <si>
    <t>AQPTA440</t>
  </si>
  <si>
    <t>Taller 2 de reparacion Arequipa</t>
  </si>
  <si>
    <t>Taller 1 de reparacion Arequipa</t>
  </si>
  <si>
    <t>Rótulas</t>
  </si>
  <si>
    <t>Limpiadores</t>
  </si>
  <si>
    <t>Sellos</t>
  </si>
  <si>
    <t>SELA</t>
  </si>
  <si>
    <t>ADES</t>
  </si>
  <si>
    <t>AMET</t>
  </si>
  <si>
    <t>ARES</t>
  </si>
  <si>
    <t>ARET</t>
  </si>
  <si>
    <t>AGOM</t>
  </si>
  <si>
    <t>CASE</t>
  </si>
  <si>
    <t>CAMO</t>
  </si>
  <si>
    <t>CENC</t>
  </si>
  <si>
    <t>CIMA</t>
  </si>
  <si>
    <t>CRES</t>
  </si>
  <si>
    <t>CSEL</t>
  </si>
  <si>
    <t>CTAP</t>
  </si>
  <si>
    <t>CVAL</t>
  </si>
  <si>
    <t>DFRI</t>
  </si>
  <si>
    <t>ORIN</t>
  </si>
  <si>
    <t>PLCA</t>
  </si>
  <si>
    <t>PLTE</t>
  </si>
  <si>
    <t>CAT</t>
  </si>
  <si>
    <t>KOM</t>
  </si>
  <si>
    <t>Vistony</t>
  </si>
  <si>
    <t>Cantesco</t>
  </si>
  <si>
    <t>Tekbond</t>
  </si>
  <si>
    <t>Solpack</t>
  </si>
  <si>
    <t>Truper</t>
  </si>
  <si>
    <t>Shurtape</t>
  </si>
  <si>
    <t>Norton</t>
  </si>
  <si>
    <t>Uyustools</t>
  </si>
  <si>
    <t>Siliconi</t>
  </si>
  <si>
    <t>Anypsa</t>
  </si>
  <si>
    <t>Clute</t>
  </si>
  <si>
    <t>Ferrawyy</t>
  </si>
  <si>
    <t>Protec</t>
  </si>
  <si>
    <t>Bahco</t>
  </si>
  <si>
    <t>Abralit</t>
  </si>
  <si>
    <t>Segpro</t>
  </si>
  <si>
    <t>Henkel</t>
  </si>
  <si>
    <t>Klingspor</t>
  </si>
  <si>
    <t>Steelpro</t>
  </si>
  <si>
    <t>Elite</t>
  </si>
  <si>
    <t>Soldimix</t>
  </si>
  <si>
    <t>ESAB</t>
  </si>
  <si>
    <t>Oerlikon</t>
  </si>
  <si>
    <t>Nacho</t>
  </si>
  <si>
    <t>Trapex</t>
  </si>
  <si>
    <t>Alicorp</t>
  </si>
  <si>
    <t>Ansell</t>
  </si>
  <si>
    <t>Xiadal</t>
  </si>
  <si>
    <t>Aragcu</t>
  </si>
  <si>
    <t>LINDE</t>
  </si>
  <si>
    <t>ALD</t>
  </si>
  <si>
    <t>ALDISE</t>
  </si>
  <si>
    <t>ZCC-CT</t>
  </si>
  <si>
    <t>SUNNEN</t>
  </si>
  <si>
    <t>ALT</t>
  </si>
  <si>
    <t>MAC</t>
  </si>
  <si>
    <t>BOH</t>
  </si>
  <si>
    <t>3.85 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</si>
</sst>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ptos Narrow"/>
      <family val="2"/>
    </font>
    <font>
      <sz val="12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8EA9DB"/>
      </top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5" fillId="0" borderId="0"/>
  </cellStyleXfs>
  <cellXfs count="59">
    <xf numFmtId="0" fontId="0" fillId="0" borderId="0" xfId="0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0" xfId="0" applyFont="1"/>
    <xf numFmtId="0" fontId="9" fillId="0" borderId="2" xfId="0" applyFont="1" applyBorder="1"/>
    <xf numFmtId="0" fontId="10" fillId="0" borderId="0" xfId="0" applyFont="1"/>
    <xf numFmtId="0" fontId="6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0" xfId="0" applyAlignment="1">
      <alignment horizontal="left" indent="1"/>
    </xf>
    <xf numFmtId="0" fontId="12" fillId="0" borderId="0" xfId="0" applyFont="1"/>
    <xf numFmtId="0" fontId="3" fillId="0" borderId="0" xfId="0" applyFont="1"/>
    <xf numFmtId="0" fontId="11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0" borderId="0" xfId="0" applyFont="1" applyAlignment="1">
      <alignment horizontal="left" indent="1"/>
    </xf>
    <xf numFmtId="0" fontId="8" fillId="0" borderId="0" xfId="0" applyFont="1" applyBorder="1"/>
    <xf numFmtId="0" fontId="1" fillId="7" borderId="0" xfId="0" applyFont="1" applyFill="1" applyAlignment="1">
      <alignment horizontal="left" indent="1"/>
    </xf>
    <xf numFmtId="0" fontId="2" fillId="7" borderId="0" xfId="0" applyFont="1" applyFill="1"/>
    <xf numFmtId="0" fontId="0" fillId="7" borderId="0" xfId="0" applyFill="1"/>
    <xf numFmtId="0" fontId="9" fillId="7" borderId="2" xfId="0" applyFont="1" applyFill="1" applyBorder="1"/>
    <xf numFmtId="0" fontId="8" fillId="7" borderId="0" xfId="0" applyFont="1" applyFill="1"/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6" fillId="0" borderId="0" xfId="0" applyFont="1"/>
    <xf numFmtId="0" fontId="16" fillId="7" borderId="0" xfId="0" applyFont="1" applyFill="1"/>
    <xf numFmtId="0" fontId="7" fillId="3" borderId="3" xfId="0" applyFont="1" applyFill="1" applyBorder="1" applyAlignment="1">
      <alignment horizontal="center" vertical="center" wrapText="1"/>
    </xf>
    <xf numFmtId="0" fontId="8" fillId="7" borderId="0" xfId="0" applyFont="1" applyFill="1" applyBorder="1"/>
    <xf numFmtId="0" fontId="9" fillId="0" borderId="4" xfId="0" applyFont="1" applyBorder="1"/>
    <xf numFmtId="0" fontId="1" fillId="0" borderId="0" xfId="0" applyFon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wrapText="1"/>
    </xf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43" fontId="16" fillId="0" borderId="0" xfId="1" applyFont="1" applyAlignment="1">
      <alignment horizontal="right"/>
    </xf>
    <xf numFmtId="43" fontId="17" fillId="7" borderId="0" xfId="1" applyFont="1" applyFill="1" applyAlignment="1">
      <alignment horizontal="right"/>
    </xf>
    <xf numFmtId="43" fontId="0" fillId="0" borderId="0" xfId="1" applyFont="1" applyAlignment="1">
      <alignment horizontal="right"/>
    </xf>
    <xf numFmtId="0" fontId="11" fillId="7" borderId="0" xfId="0" applyFont="1" applyFill="1"/>
    <xf numFmtId="0" fontId="10" fillId="7" borderId="0" xfId="0" applyFont="1" applyFill="1"/>
    <xf numFmtId="0" fontId="6" fillId="7" borderId="0" xfId="0" applyFont="1" applyFill="1"/>
    <xf numFmtId="0" fontId="4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/>
    <xf numFmtId="0" fontId="11" fillId="0" borderId="0" xfId="0" applyFont="1" applyFill="1" applyAlignment="1">
      <alignment vertical="center"/>
    </xf>
    <xf numFmtId="43" fontId="0" fillId="7" borderId="0" xfId="1" applyFont="1" applyFill="1" applyAlignment="1">
      <alignment horizontal="right"/>
    </xf>
    <xf numFmtId="43" fontId="1" fillId="0" borderId="0" xfId="1" applyFont="1" applyBorder="1" applyAlignment="1">
      <alignment horizontal="right"/>
    </xf>
    <xf numFmtId="43" fontId="0" fillId="0" borderId="0" xfId="1" applyFont="1" applyBorder="1" applyAlignment="1">
      <alignment horizontal="right"/>
    </xf>
    <xf numFmtId="43" fontId="5" fillId="3" borderId="0" xfId="1" applyFont="1" applyFill="1" applyAlignment="1">
      <alignment horizontal="center" vertical="center" wrapText="1"/>
    </xf>
    <xf numFmtId="43" fontId="7" fillId="3" borderId="1" xfId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27F1D70E-3E66-402A-8C23-3F1A834E2859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0"/>
  <sheetViews>
    <sheetView tabSelected="1" zoomScale="70" zoomScaleNormal="70" workbookViewId="0">
      <pane ySplit="2" topLeftCell="A782" activePane="bottomLeft" state="frozen"/>
      <selection pane="bottomLeft" activeCell="L42" sqref="L42"/>
    </sheetView>
  </sheetViews>
  <sheetFormatPr baseColWidth="10" defaultColWidth="12.6640625" defaultRowHeight="15" customHeight="1" x14ac:dyDescent="0.3"/>
  <cols>
    <col min="1" max="2" width="10.21875" customWidth="1"/>
    <col min="3" max="3" width="64.5546875" customWidth="1"/>
    <col min="4" max="4" width="27.6640625" customWidth="1"/>
    <col min="5" max="5" width="16.44140625" customWidth="1"/>
    <col min="6" max="6" width="13.44140625" customWidth="1"/>
    <col min="7" max="7" width="25.77734375" customWidth="1"/>
    <col min="8" max="8" width="17.33203125" customWidth="1"/>
    <col min="9" max="9" width="13.77734375" customWidth="1"/>
    <col min="10" max="10" width="16.6640625" customWidth="1"/>
    <col min="11" max="11" width="18.6640625" customWidth="1"/>
    <col min="12" max="12" width="11.88671875" style="44" customWidth="1"/>
    <col min="13" max="13" width="14" customWidth="1"/>
    <col min="14" max="14" width="20.21875" customWidth="1"/>
    <col min="15" max="15" width="41.109375" customWidth="1"/>
    <col min="16" max="16" width="11.5546875" customWidth="1"/>
    <col min="17" max="27" width="8.88671875" customWidth="1"/>
  </cols>
  <sheetData>
    <row r="1" spans="1:15" ht="26.25" customHeight="1" x14ac:dyDescent="0.3">
      <c r="A1" s="1" t="s">
        <v>0</v>
      </c>
      <c r="B1" s="1" t="s">
        <v>1</v>
      </c>
      <c r="C1" s="2" t="s">
        <v>2</v>
      </c>
      <c r="D1" s="2" t="s">
        <v>0</v>
      </c>
      <c r="E1" s="2" t="s">
        <v>0</v>
      </c>
      <c r="F1" s="3" t="s">
        <v>0</v>
      </c>
      <c r="G1" s="3" t="s">
        <v>0</v>
      </c>
      <c r="H1" s="3" t="s">
        <v>3</v>
      </c>
      <c r="I1" s="3" t="s">
        <v>3</v>
      </c>
      <c r="J1" s="3" t="s">
        <v>0</v>
      </c>
      <c r="K1" s="3" t="s">
        <v>4</v>
      </c>
      <c r="L1" s="57" t="s">
        <v>4</v>
      </c>
      <c r="M1" s="3" t="s">
        <v>4</v>
      </c>
      <c r="N1" s="3" t="s">
        <v>0</v>
      </c>
      <c r="O1" s="3" t="s">
        <v>0</v>
      </c>
    </row>
    <row r="2" spans="1:15" ht="26.25" customHeight="1" x14ac:dyDescent="0.3">
      <c r="A2" s="1" t="s">
        <v>5</v>
      </c>
      <c r="B2" s="4" t="s">
        <v>6</v>
      </c>
      <c r="C2" s="5" t="s">
        <v>7</v>
      </c>
      <c r="D2" s="31" t="s">
        <v>8</v>
      </c>
      <c r="E2" s="31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  <c r="L2" s="58" t="s">
        <v>16</v>
      </c>
      <c r="M2" s="6" t="s">
        <v>17</v>
      </c>
      <c r="N2" s="6" t="s">
        <v>18</v>
      </c>
      <c r="O2" s="6" t="s">
        <v>19</v>
      </c>
    </row>
    <row r="3" spans="1:15" ht="14.25" customHeight="1" x14ac:dyDescent="0.3">
      <c r="A3" s="17" t="s">
        <v>1299</v>
      </c>
      <c r="C3" s="8" t="str">
        <f>G3&amp;", "&amp;O3&amp;", "&amp;N3</f>
        <v>Aceite, AK4063, KOMATSU</v>
      </c>
      <c r="D3" s="21" t="s">
        <v>20</v>
      </c>
      <c r="E3" s="21" t="s">
        <v>21</v>
      </c>
      <c r="F3" s="7" t="s">
        <v>22</v>
      </c>
      <c r="G3" s="7" t="s">
        <v>45</v>
      </c>
      <c r="J3" s="7" t="s">
        <v>28</v>
      </c>
      <c r="L3" s="44">
        <v>297.12</v>
      </c>
      <c r="M3" s="7"/>
      <c r="N3" s="7" t="s">
        <v>30</v>
      </c>
      <c r="O3" t="s">
        <v>46</v>
      </c>
    </row>
    <row r="4" spans="1:15" ht="14.25" customHeight="1" x14ac:dyDescent="0.3">
      <c r="A4" s="17" t="s">
        <v>1299</v>
      </c>
      <c r="C4" s="8" t="str">
        <f>G4&amp;", "&amp;O4&amp;", "&amp;N4</f>
        <v>Aceite, VJ3911, KOMATSU</v>
      </c>
      <c r="D4" s="21" t="s">
        <v>20</v>
      </c>
      <c r="E4" s="21" t="s">
        <v>21</v>
      </c>
      <c r="F4" s="7" t="s">
        <v>22</v>
      </c>
      <c r="G4" s="7" t="s">
        <v>45</v>
      </c>
      <c r="J4" s="7" t="s">
        <v>28</v>
      </c>
      <c r="L4" s="44">
        <v>297.12</v>
      </c>
      <c r="M4" s="7"/>
      <c r="N4" s="7" t="s">
        <v>30</v>
      </c>
      <c r="O4" t="s">
        <v>480</v>
      </c>
    </row>
    <row r="5" spans="1:15" ht="14.25" customHeight="1" x14ac:dyDescent="0.3">
      <c r="A5" s="17" t="s">
        <v>1299</v>
      </c>
      <c r="C5" s="8" t="str">
        <f>G5&amp;", "&amp;O5&amp;", "&amp;N5</f>
        <v>Aceite, AK4065, KOMATSU</v>
      </c>
      <c r="D5" s="21" t="s">
        <v>20</v>
      </c>
      <c r="E5" s="21" t="s">
        <v>21</v>
      </c>
      <c r="F5" s="7" t="s">
        <v>22</v>
      </c>
      <c r="G5" s="7" t="s">
        <v>45</v>
      </c>
      <c r="J5" s="7" t="s">
        <v>28</v>
      </c>
      <c r="L5" s="44">
        <v>350.25</v>
      </c>
      <c r="M5" s="7"/>
      <c r="N5" s="7" t="s">
        <v>30</v>
      </c>
      <c r="O5" t="s">
        <v>573</v>
      </c>
    </row>
    <row r="6" spans="1:15" ht="14.25" customHeight="1" x14ac:dyDescent="0.3">
      <c r="A6" s="17" t="s">
        <v>1299</v>
      </c>
      <c r="C6" s="8" t="str">
        <f>G6&amp;", "&amp;O6&amp;", "&amp;N6</f>
        <v>Acero, ACERO H1045 1" X 1-1/4" X 2" LONG, BOHLER</v>
      </c>
      <c r="D6" s="21" t="s">
        <v>20</v>
      </c>
      <c r="E6" s="21" t="s">
        <v>21</v>
      </c>
      <c r="F6" s="7" t="s">
        <v>22</v>
      </c>
      <c r="G6" s="7" t="s">
        <v>438</v>
      </c>
      <c r="J6" s="7" t="s">
        <v>28</v>
      </c>
      <c r="L6" s="44">
        <v>1.8</v>
      </c>
      <c r="M6" s="7"/>
      <c r="N6" s="7" t="s">
        <v>481</v>
      </c>
      <c r="O6" t="s">
        <v>483</v>
      </c>
    </row>
    <row r="7" spans="1:15" ht="14.25" customHeight="1" x14ac:dyDescent="0.3">
      <c r="A7" s="17" t="s">
        <v>1299</v>
      </c>
      <c r="C7" s="8" t="str">
        <f>G7&amp;", "&amp;O7&amp;", "&amp;N7</f>
        <v>Acero, ACERO H1045 Ø1" X 1-1/4" LONG, BOHLER</v>
      </c>
      <c r="D7" s="21" t="s">
        <v>20</v>
      </c>
      <c r="E7" s="21" t="s">
        <v>21</v>
      </c>
      <c r="F7" s="7" t="s">
        <v>22</v>
      </c>
      <c r="G7" s="7" t="s">
        <v>438</v>
      </c>
      <c r="J7" s="7" t="s">
        <v>28</v>
      </c>
      <c r="L7" s="44">
        <v>2.27</v>
      </c>
      <c r="M7" s="7" t="s">
        <v>23</v>
      </c>
      <c r="N7" s="7" t="s">
        <v>481</v>
      </c>
      <c r="O7" t="s">
        <v>484</v>
      </c>
    </row>
    <row r="8" spans="1:15" ht="14.25" customHeight="1" x14ac:dyDescent="0.3">
      <c r="A8" s="17" t="s">
        <v>1299</v>
      </c>
      <c r="C8" s="8" t="str">
        <f>G8&amp;", "&amp;O8&amp;", "&amp;N8</f>
        <v>Acero, ACERO H1045 Ø3" X 2-1/4" LONG, BOHLER</v>
      </c>
      <c r="D8" s="21" t="s">
        <v>20</v>
      </c>
      <c r="E8" s="21" t="s">
        <v>21</v>
      </c>
      <c r="F8" s="7" t="s">
        <v>22</v>
      </c>
      <c r="G8" s="7" t="s">
        <v>438</v>
      </c>
      <c r="J8" s="7" t="s">
        <v>28</v>
      </c>
      <c r="L8" s="44">
        <v>10.9</v>
      </c>
      <c r="M8" s="7" t="s">
        <v>23</v>
      </c>
      <c r="N8" s="7" t="s">
        <v>481</v>
      </c>
      <c r="O8" t="s">
        <v>485</v>
      </c>
    </row>
    <row r="9" spans="1:15" ht="14.25" customHeight="1" x14ac:dyDescent="0.3">
      <c r="A9" s="17" t="s">
        <v>1299</v>
      </c>
      <c r="C9" s="8" t="str">
        <f>G9&amp;", "&amp;O9&amp;", "&amp;N9</f>
        <v>Acero, ACERO H1045 Ø3-1/4" X 1-1/4" LONG, BOHLER</v>
      </c>
      <c r="D9" s="21" t="s">
        <v>20</v>
      </c>
      <c r="E9" s="21" t="s">
        <v>21</v>
      </c>
      <c r="F9" s="7" t="s">
        <v>22</v>
      </c>
      <c r="G9" s="7" t="s">
        <v>438</v>
      </c>
      <c r="J9" s="7" t="s">
        <v>28</v>
      </c>
      <c r="L9" s="44">
        <v>7.3</v>
      </c>
      <c r="M9" s="7" t="s">
        <v>23</v>
      </c>
      <c r="N9" s="7" t="s">
        <v>481</v>
      </c>
      <c r="O9" t="s">
        <v>486</v>
      </c>
    </row>
    <row r="10" spans="1:15" ht="14.25" customHeight="1" x14ac:dyDescent="0.3">
      <c r="A10" s="17" t="s">
        <v>1299</v>
      </c>
      <c r="C10" s="8" t="str">
        <f>G10&amp;", "&amp;O10&amp;", "&amp;N10</f>
        <v>Acero, ACERO VCL Ø2" X 2-1/4" LONG, BOHLER</v>
      </c>
      <c r="D10" s="21" t="s">
        <v>20</v>
      </c>
      <c r="E10" s="21" t="s">
        <v>21</v>
      </c>
      <c r="F10" s="7" t="s">
        <v>22</v>
      </c>
      <c r="G10" s="7" t="s">
        <v>438</v>
      </c>
      <c r="J10" s="7" t="s">
        <v>28</v>
      </c>
      <c r="L10" s="44">
        <v>4.25</v>
      </c>
      <c r="M10" s="7" t="s">
        <v>23</v>
      </c>
      <c r="N10" s="7" t="s">
        <v>481</v>
      </c>
      <c r="O10" t="s">
        <v>487</v>
      </c>
    </row>
    <row r="11" spans="1:15" ht="14.25" customHeight="1" x14ac:dyDescent="0.3">
      <c r="A11" s="17" t="s">
        <v>1299</v>
      </c>
      <c r="C11" s="8" t="str">
        <f>G11&amp;", "&amp;O11&amp;", "&amp;N11</f>
        <v>Acero, ACERO VCL Ø2" X 4" LONG, BOHLER</v>
      </c>
      <c r="D11" s="21" t="s">
        <v>20</v>
      </c>
      <c r="E11" s="21" t="s">
        <v>21</v>
      </c>
      <c r="F11" s="7" t="s">
        <v>22</v>
      </c>
      <c r="G11" s="7" t="s">
        <v>438</v>
      </c>
      <c r="J11" s="7" t="s">
        <v>28</v>
      </c>
      <c r="L11" s="44">
        <v>8.25</v>
      </c>
      <c r="M11" s="7" t="s">
        <v>23</v>
      </c>
      <c r="N11" s="7" t="s">
        <v>481</v>
      </c>
      <c r="O11" t="s">
        <v>488</v>
      </c>
    </row>
    <row r="12" spans="1:15" ht="14.25" customHeight="1" x14ac:dyDescent="0.3">
      <c r="A12" s="17" t="s">
        <v>1299</v>
      </c>
      <c r="C12" s="8" t="str">
        <f>G12&amp;", "&amp;O12&amp;", "&amp;N12</f>
        <v>Acero, ACERO VCL OD 160 MM X 140 MM LONG, BOHLER</v>
      </c>
      <c r="D12" s="21" t="s">
        <v>20</v>
      </c>
      <c r="E12" s="21" t="s">
        <v>21</v>
      </c>
      <c r="F12" s="7" t="s">
        <v>22</v>
      </c>
      <c r="G12" s="7" t="s">
        <v>438</v>
      </c>
      <c r="J12" s="7" t="s">
        <v>28</v>
      </c>
      <c r="L12" s="44">
        <v>75.25</v>
      </c>
      <c r="M12" s="7" t="s">
        <v>23</v>
      </c>
      <c r="N12" s="7" t="s">
        <v>481</v>
      </c>
      <c r="O12" t="s">
        <v>489</v>
      </c>
    </row>
    <row r="13" spans="1:15" ht="14.25" customHeight="1" x14ac:dyDescent="0.3">
      <c r="A13" s="17" t="s">
        <v>1299</v>
      </c>
      <c r="C13" s="8" t="str">
        <f>G13&amp;", "&amp;O13&amp;", "&amp;N13</f>
        <v>Acero, ACERO VCL OD 140 MM X 140 MM LONG, BOHLER</v>
      </c>
      <c r="D13" s="21" t="s">
        <v>20</v>
      </c>
      <c r="E13" s="21" t="s">
        <v>21</v>
      </c>
      <c r="F13" s="7" t="s">
        <v>22</v>
      </c>
      <c r="G13" s="7" t="s">
        <v>438</v>
      </c>
      <c r="J13" s="7" t="s">
        <v>28</v>
      </c>
      <c r="L13" s="44">
        <v>65.599999999999994</v>
      </c>
      <c r="M13" s="7" t="s">
        <v>23</v>
      </c>
      <c r="N13" s="7" t="s">
        <v>481</v>
      </c>
      <c r="O13" t="s">
        <v>490</v>
      </c>
    </row>
    <row r="14" spans="1:15" ht="14.25" customHeight="1" x14ac:dyDescent="0.3">
      <c r="A14" s="17" t="s">
        <v>1299</v>
      </c>
      <c r="C14" s="8" t="str">
        <f>G14&amp;", "&amp;O14&amp;", "&amp;N14</f>
        <v>Acero, ACERO VCL OD 140 MM X 150 MM LONG, BOHLER</v>
      </c>
      <c r="D14" s="21" t="s">
        <v>20</v>
      </c>
      <c r="E14" s="21" t="s">
        <v>21</v>
      </c>
      <c r="F14" s="7" t="s">
        <v>22</v>
      </c>
      <c r="G14" s="7" t="s">
        <v>438</v>
      </c>
      <c r="J14" s="7" t="s">
        <v>28</v>
      </c>
      <c r="L14" s="44">
        <v>68.25</v>
      </c>
      <c r="M14" s="7" t="s">
        <v>23</v>
      </c>
      <c r="N14" s="7" t="s">
        <v>481</v>
      </c>
      <c r="O14" t="s">
        <v>491</v>
      </c>
    </row>
    <row r="15" spans="1:15" ht="14.25" customHeight="1" x14ac:dyDescent="0.3">
      <c r="A15" s="17" t="s">
        <v>1299</v>
      </c>
      <c r="C15" s="8" t="str">
        <f>G15&amp;", "&amp;O15&amp;", "&amp;N15</f>
        <v>Acero, ACERO VCL OD 90 MM X 115 MM LONG, BOHLER</v>
      </c>
      <c r="D15" s="21" t="s">
        <v>20</v>
      </c>
      <c r="E15" s="21" t="s">
        <v>21</v>
      </c>
      <c r="F15" s="7" t="s">
        <v>22</v>
      </c>
      <c r="G15" s="7" t="s">
        <v>438</v>
      </c>
      <c r="J15" s="7" t="s">
        <v>28</v>
      </c>
      <c r="L15" s="44">
        <v>25.1</v>
      </c>
      <c r="M15" s="7" t="s">
        <v>23</v>
      </c>
      <c r="N15" s="7" t="s">
        <v>481</v>
      </c>
      <c r="O15" t="s">
        <v>492</v>
      </c>
    </row>
    <row r="16" spans="1:15" ht="14.25" customHeight="1" x14ac:dyDescent="0.3">
      <c r="A16" s="17" t="s">
        <v>1299</v>
      </c>
      <c r="C16" s="8" t="str">
        <f>G16&amp;", "&amp;O16&amp;", "&amp;N16</f>
        <v>Acero, ACERO VCL OD 140 MM X 160 MM LONG, BOHLER</v>
      </c>
      <c r="D16" s="21" t="s">
        <v>20</v>
      </c>
      <c r="E16" s="21" t="s">
        <v>21</v>
      </c>
      <c r="F16" s="7" t="s">
        <v>22</v>
      </c>
      <c r="G16" s="7" t="s">
        <v>438</v>
      </c>
      <c r="J16" s="7" t="s">
        <v>28</v>
      </c>
      <c r="L16" s="44">
        <v>69.2</v>
      </c>
      <c r="M16" s="7" t="s">
        <v>23</v>
      </c>
      <c r="N16" s="7" t="s">
        <v>481</v>
      </c>
      <c r="O16" t="s">
        <v>493</v>
      </c>
    </row>
    <row r="17" spans="1:15" ht="14.25" customHeight="1" x14ac:dyDescent="0.3">
      <c r="A17" s="17" t="s">
        <v>1299</v>
      </c>
      <c r="C17" s="8" t="str">
        <f>G17&amp;", "&amp;O17&amp;", "&amp;N17</f>
        <v>Adaptador, 3B-8489, CATERPILLAR</v>
      </c>
      <c r="D17" s="21" t="s">
        <v>20</v>
      </c>
      <c r="E17" s="21" t="s">
        <v>21</v>
      </c>
      <c r="F17" s="7" t="s">
        <v>22</v>
      </c>
      <c r="G17" s="7" t="s">
        <v>495</v>
      </c>
      <c r="J17" s="7" t="s">
        <v>28</v>
      </c>
      <c r="L17" s="44" t="s">
        <v>1721</v>
      </c>
      <c r="M17" s="7" t="s">
        <v>23</v>
      </c>
      <c r="N17" s="7" t="s">
        <v>24</v>
      </c>
      <c r="O17" t="s">
        <v>496</v>
      </c>
    </row>
    <row r="18" spans="1:15" ht="14.25" customHeight="1" x14ac:dyDescent="0.3">
      <c r="A18" s="17" t="s">
        <v>1299</v>
      </c>
      <c r="C18" s="8" t="str">
        <f>G18&amp;", "&amp;O18&amp;", "&amp;N18</f>
        <v>Anillo, 107-6579, CATERPILLAR</v>
      </c>
      <c r="D18" s="21" t="s">
        <v>20</v>
      </c>
      <c r="E18" s="21" t="s">
        <v>21</v>
      </c>
      <c r="F18" s="7" t="s">
        <v>22</v>
      </c>
      <c r="G18" s="7" t="s">
        <v>506</v>
      </c>
      <c r="J18" s="7" t="s">
        <v>28</v>
      </c>
      <c r="L18" s="44">
        <v>55</v>
      </c>
      <c r="M18" s="7" t="s">
        <v>23</v>
      </c>
      <c r="N18" s="7" t="s">
        <v>24</v>
      </c>
      <c r="O18" t="s">
        <v>499</v>
      </c>
    </row>
    <row r="19" spans="1:15" ht="14.25" customHeight="1" x14ac:dyDescent="0.3">
      <c r="A19" s="17" t="s">
        <v>1299</v>
      </c>
      <c r="C19" s="8" t="str">
        <f>G19&amp;", "&amp;O19&amp;", "&amp;N19</f>
        <v>Anillo, 119-3999, CATERPILLAR</v>
      </c>
      <c r="D19" s="21" t="s">
        <v>20</v>
      </c>
      <c r="E19" s="21" t="s">
        <v>21</v>
      </c>
      <c r="F19" s="7" t="s">
        <v>22</v>
      </c>
      <c r="G19" s="7" t="s">
        <v>506</v>
      </c>
      <c r="J19" s="7" t="s">
        <v>28</v>
      </c>
      <c r="L19" s="44">
        <v>96.39</v>
      </c>
      <c r="M19" s="7" t="s">
        <v>23</v>
      </c>
      <c r="N19" s="7" t="s">
        <v>24</v>
      </c>
      <c r="O19" t="s">
        <v>500</v>
      </c>
    </row>
    <row r="20" spans="1:15" ht="14.25" customHeight="1" x14ac:dyDescent="0.3">
      <c r="A20" s="17" t="s">
        <v>1299</v>
      </c>
      <c r="C20" s="8" t="str">
        <f>G20&amp;", "&amp;O20&amp;", "&amp;N20</f>
        <v>Anillo, 155-9157, CATERPILLAR</v>
      </c>
      <c r="D20" s="21" t="s">
        <v>20</v>
      </c>
      <c r="E20" s="21" t="s">
        <v>21</v>
      </c>
      <c r="F20" s="7" t="s">
        <v>22</v>
      </c>
      <c r="G20" s="7" t="s">
        <v>506</v>
      </c>
      <c r="J20" s="7" t="s">
        <v>28</v>
      </c>
      <c r="L20" s="44">
        <v>206.28</v>
      </c>
      <c r="M20" s="7" t="s">
        <v>23</v>
      </c>
      <c r="N20" s="7" t="s">
        <v>24</v>
      </c>
      <c r="O20" t="s">
        <v>501</v>
      </c>
    </row>
    <row r="21" spans="1:15" ht="14.25" customHeight="1" x14ac:dyDescent="0.3">
      <c r="A21" s="17" t="s">
        <v>1299</v>
      </c>
      <c r="C21" s="8" t="str">
        <f>G21&amp;", "&amp;O21&amp;", "&amp;N21</f>
        <v>Anillo, 173-3414, CATERPILLAR</v>
      </c>
      <c r="D21" s="21" t="s">
        <v>20</v>
      </c>
      <c r="E21" s="21" t="s">
        <v>21</v>
      </c>
      <c r="F21" s="7" t="s">
        <v>22</v>
      </c>
      <c r="G21" s="7" t="s">
        <v>506</v>
      </c>
      <c r="J21" s="7" t="s">
        <v>28</v>
      </c>
      <c r="L21" s="44">
        <v>57.94</v>
      </c>
      <c r="M21" s="7" t="s">
        <v>23</v>
      </c>
      <c r="N21" s="7" t="s">
        <v>24</v>
      </c>
      <c r="O21" t="s">
        <v>502</v>
      </c>
    </row>
    <row r="22" spans="1:15" ht="14.25" customHeight="1" x14ac:dyDescent="0.3">
      <c r="A22" s="17" t="s">
        <v>1299</v>
      </c>
      <c r="C22" s="8" t="str">
        <f>G22&amp;", "&amp;O22&amp;", "&amp;N22</f>
        <v>Anillo, 3S-2909, CATERPILLAR</v>
      </c>
      <c r="D22" s="21" t="s">
        <v>20</v>
      </c>
      <c r="E22" s="21" t="s">
        <v>21</v>
      </c>
      <c r="F22" s="7" t="s">
        <v>22</v>
      </c>
      <c r="G22" s="7" t="s">
        <v>506</v>
      </c>
      <c r="J22" s="7" t="s">
        <v>28</v>
      </c>
      <c r="L22" s="44">
        <v>15.69</v>
      </c>
      <c r="M22" s="7" t="s">
        <v>23</v>
      </c>
      <c r="N22" s="7" t="s">
        <v>24</v>
      </c>
      <c r="O22" t="s">
        <v>504</v>
      </c>
    </row>
    <row r="23" spans="1:15" ht="14.25" customHeight="1" x14ac:dyDescent="0.3">
      <c r="A23" s="17" t="s">
        <v>1299</v>
      </c>
      <c r="C23" s="8" t="str">
        <f>G23&amp;", "&amp;O23&amp;", "&amp;N23</f>
        <v>Anillo, 533-4824, CATERPILLAR</v>
      </c>
      <c r="D23" s="21" t="s">
        <v>20</v>
      </c>
      <c r="E23" s="21" t="s">
        <v>21</v>
      </c>
      <c r="F23" s="7" t="s">
        <v>22</v>
      </c>
      <c r="G23" s="7" t="s">
        <v>506</v>
      </c>
      <c r="J23" s="7" t="s">
        <v>28</v>
      </c>
      <c r="L23" s="44">
        <v>23.32</v>
      </c>
      <c r="M23" s="7" t="s">
        <v>23</v>
      </c>
      <c r="N23" s="7" t="s">
        <v>24</v>
      </c>
      <c r="O23" t="s">
        <v>505</v>
      </c>
    </row>
    <row r="24" spans="1:15" ht="14.25" customHeight="1" x14ac:dyDescent="0.3">
      <c r="A24" s="17" t="s">
        <v>1299</v>
      </c>
      <c r="C24" s="8" t="str">
        <f>G24&amp;", "&amp;O24&amp;", "&amp;N24</f>
        <v>Anillo de desgaste, 186-5147, CATERPILLAR</v>
      </c>
      <c r="D24" s="21" t="s">
        <v>20</v>
      </c>
      <c r="E24" s="21" t="s">
        <v>21</v>
      </c>
      <c r="F24" s="7" t="s">
        <v>22</v>
      </c>
      <c r="G24" s="7" t="s">
        <v>524</v>
      </c>
      <c r="J24" s="7" t="s">
        <v>28</v>
      </c>
      <c r="L24" s="44">
        <v>21.91</v>
      </c>
      <c r="M24" s="7" t="s">
        <v>23</v>
      </c>
      <c r="N24" s="7" t="s">
        <v>24</v>
      </c>
      <c r="O24" t="s">
        <v>508</v>
      </c>
    </row>
    <row r="25" spans="1:15" ht="14.25" customHeight="1" x14ac:dyDescent="0.3">
      <c r="A25" s="17" t="s">
        <v>1299</v>
      </c>
      <c r="C25" s="8" t="str">
        <f>G25&amp;", "&amp;O25&amp;", "&amp;N25</f>
        <v>Anillo de desgaste, 188-4217, CATERPILLAR</v>
      </c>
      <c r="D25" s="21" t="s">
        <v>20</v>
      </c>
      <c r="E25" s="21" t="s">
        <v>21</v>
      </c>
      <c r="F25" s="7" t="s">
        <v>22</v>
      </c>
      <c r="G25" s="7" t="s">
        <v>524</v>
      </c>
      <c r="J25" s="7" t="s">
        <v>28</v>
      </c>
      <c r="L25" s="44">
        <v>51.39</v>
      </c>
      <c r="M25" s="7" t="s">
        <v>23</v>
      </c>
      <c r="N25" s="7" t="s">
        <v>24</v>
      </c>
      <c r="O25" t="s">
        <v>509</v>
      </c>
    </row>
    <row r="26" spans="1:15" ht="14.25" customHeight="1" x14ac:dyDescent="0.3">
      <c r="A26" s="17" t="s">
        <v>1299</v>
      </c>
      <c r="C26" s="8" t="str">
        <f>G26&amp;", "&amp;O26&amp;", "&amp;N26</f>
        <v>Anillo de desgaste, 1M-1571, CATERPILLAR</v>
      </c>
      <c r="D26" s="21" t="s">
        <v>20</v>
      </c>
      <c r="E26" s="21" t="s">
        <v>21</v>
      </c>
      <c r="F26" s="7" t="s">
        <v>22</v>
      </c>
      <c r="G26" s="7" t="s">
        <v>524</v>
      </c>
      <c r="J26" s="7" t="s">
        <v>28</v>
      </c>
      <c r="L26" s="44">
        <v>49.38</v>
      </c>
      <c r="M26" s="7" t="s">
        <v>23</v>
      </c>
      <c r="N26" s="7" t="s">
        <v>24</v>
      </c>
      <c r="O26" t="s">
        <v>510</v>
      </c>
    </row>
    <row r="27" spans="1:15" ht="14.25" customHeight="1" x14ac:dyDescent="0.3">
      <c r="A27" s="17" t="s">
        <v>1299</v>
      </c>
      <c r="C27" s="8" t="str">
        <f>G27&amp;", "&amp;O27&amp;", "&amp;N27</f>
        <v>Anillo de desgaste, 223-3356, CATERPILLAR</v>
      </c>
      <c r="D27" s="21" t="s">
        <v>20</v>
      </c>
      <c r="E27" s="21" t="s">
        <v>21</v>
      </c>
      <c r="F27" s="7" t="s">
        <v>22</v>
      </c>
      <c r="G27" s="7" t="s">
        <v>524</v>
      </c>
      <c r="J27" s="7" t="s">
        <v>28</v>
      </c>
      <c r="L27" s="44">
        <v>31.92</v>
      </c>
      <c r="M27" s="7" t="s">
        <v>23</v>
      </c>
      <c r="N27" s="7" t="s">
        <v>24</v>
      </c>
      <c r="O27" t="s">
        <v>511</v>
      </c>
    </row>
    <row r="28" spans="1:15" ht="14.25" customHeight="1" x14ac:dyDescent="0.3">
      <c r="A28" s="17" t="s">
        <v>1299</v>
      </c>
      <c r="C28" s="8" t="str">
        <f>G28&amp;", "&amp;O28&amp;", "&amp;N28</f>
        <v>Anillo de desgaste, 3G-3470, CATERPILLAR</v>
      </c>
      <c r="D28" s="21" t="s">
        <v>20</v>
      </c>
      <c r="E28" s="21" t="s">
        <v>21</v>
      </c>
      <c r="F28" s="7" t="s">
        <v>22</v>
      </c>
      <c r="G28" s="7" t="s">
        <v>524</v>
      </c>
      <c r="J28" s="7" t="s">
        <v>28</v>
      </c>
      <c r="L28" s="44">
        <v>145.38</v>
      </c>
      <c r="M28" s="7" t="s">
        <v>23</v>
      </c>
      <c r="N28" s="7" t="s">
        <v>24</v>
      </c>
      <c r="O28" s="15" t="s">
        <v>512</v>
      </c>
    </row>
    <row r="29" spans="1:15" ht="14.25" customHeight="1" x14ac:dyDescent="0.3">
      <c r="A29" s="17" t="s">
        <v>1299</v>
      </c>
      <c r="C29" s="8" t="str">
        <f>G29&amp;", "&amp;O29&amp;", "&amp;N29</f>
        <v>Anillo de desgaste, 4J-3745, CATERPILLAR</v>
      </c>
      <c r="D29" s="21" t="s">
        <v>20</v>
      </c>
      <c r="E29" s="21" t="s">
        <v>21</v>
      </c>
      <c r="F29" s="7" t="s">
        <v>22</v>
      </c>
      <c r="G29" s="7" t="s">
        <v>524</v>
      </c>
      <c r="J29" s="7" t="s">
        <v>28</v>
      </c>
      <c r="L29" s="44">
        <v>65.41</v>
      </c>
      <c r="M29" s="7" t="s">
        <v>23</v>
      </c>
      <c r="N29" s="7" t="s">
        <v>24</v>
      </c>
      <c r="O29" t="s">
        <v>513</v>
      </c>
    </row>
    <row r="30" spans="1:15" ht="14.25" customHeight="1" x14ac:dyDescent="0.3">
      <c r="A30" s="17" t="s">
        <v>1299</v>
      </c>
      <c r="C30" s="8" t="str">
        <f>G30&amp;", "&amp;O30&amp;", "&amp;N30</f>
        <v>Anillo de desgaste, 4J-4606, CATERPILLAR</v>
      </c>
      <c r="D30" s="21" t="s">
        <v>20</v>
      </c>
      <c r="E30" s="21" t="s">
        <v>21</v>
      </c>
      <c r="F30" s="7" t="s">
        <v>22</v>
      </c>
      <c r="G30" s="7" t="s">
        <v>524</v>
      </c>
      <c r="J30" s="7" t="s">
        <v>28</v>
      </c>
      <c r="L30" s="44">
        <v>65.19</v>
      </c>
      <c r="M30" s="7" t="s">
        <v>23</v>
      </c>
      <c r="N30" s="7" t="s">
        <v>24</v>
      </c>
      <c r="O30" t="s">
        <v>514</v>
      </c>
    </row>
    <row r="31" spans="1:15" ht="14.25" customHeight="1" x14ac:dyDescent="0.3">
      <c r="A31" s="17" t="s">
        <v>1299</v>
      </c>
      <c r="C31" s="8" t="str">
        <f>G31&amp;", "&amp;O31&amp;", "&amp;N31</f>
        <v>Anillo de desgaste, 570-1984, CATERPILLAR</v>
      </c>
      <c r="D31" s="21" t="s">
        <v>20</v>
      </c>
      <c r="E31" s="21" t="s">
        <v>21</v>
      </c>
      <c r="F31" s="7" t="s">
        <v>22</v>
      </c>
      <c r="G31" s="7" t="s">
        <v>524</v>
      </c>
      <c r="J31" s="7" t="s">
        <v>28</v>
      </c>
      <c r="L31" s="44">
        <v>125.85</v>
      </c>
      <c r="M31" s="7" t="s">
        <v>23</v>
      </c>
      <c r="N31" s="7" t="s">
        <v>24</v>
      </c>
      <c r="O31" t="s">
        <v>515</v>
      </c>
    </row>
    <row r="32" spans="1:15" ht="14.25" customHeight="1" x14ac:dyDescent="0.3">
      <c r="A32" s="17" t="s">
        <v>1299</v>
      </c>
      <c r="C32" s="8" t="str">
        <f>G32&amp;", "&amp;O32&amp;", "&amp;N32</f>
        <v>Anillo de desgaste, 7J-2087, CATERPILLAR</v>
      </c>
      <c r="D32" s="21" t="s">
        <v>20</v>
      </c>
      <c r="E32" s="21" t="s">
        <v>21</v>
      </c>
      <c r="F32" s="7" t="s">
        <v>22</v>
      </c>
      <c r="G32" s="7" t="s">
        <v>524</v>
      </c>
      <c r="J32" s="7" t="s">
        <v>28</v>
      </c>
      <c r="L32" s="44">
        <v>175.73</v>
      </c>
      <c r="M32" s="7" t="s">
        <v>23</v>
      </c>
      <c r="N32" s="7" t="s">
        <v>24</v>
      </c>
      <c r="O32" t="s">
        <v>516</v>
      </c>
    </row>
    <row r="33" spans="1:15" ht="14.25" customHeight="1" x14ac:dyDescent="0.3">
      <c r="A33" s="17" t="s">
        <v>1299</v>
      </c>
      <c r="C33" s="8" t="str">
        <f>G33&amp;", "&amp;O33&amp;", "&amp;N33</f>
        <v>Anillo de desgaste, 8C-3843, CATERPILLAR</v>
      </c>
      <c r="D33" s="21" t="s">
        <v>20</v>
      </c>
      <c r="E33" s="21" t="s">
        <v>21</v>
      </c>
      <c r="F33" s="7" t="s">
        <v>22</v>
      </c>
      <c r="G33" s="7" t="s">
        <v>524</v>
      </c>
      <c r="J33" s="7" t="s">
        <v>28</v>
      </c>
      <c r="L33" s="44">
        <v>229.3</v>
      </c>
      <c r="M33" s="7" t="s">
        <v>23</v>
      </c>
      <c r="N33" s="7" t="s">
        <v>24</v>
      </c>
      <c r="O33" t="s">
        <v>517</v>
      </c>
    </row>
    <row r="34" spans="1:15" ht="14.25" customHeight="1" x14ac:dyDescent="0.3">
      <c r="A34" s="17" t="s">
        <v>1299</v>
      </c>
      <c r="C34" s="8" t="str">
        <f>G34&amp;", "&amp;O34&amp;", "&amp;N34</f>
        <v>Anillo de desgaste, 8C-9101, CATERPILLAR</v>
      </c>
      <c r="D34" s="21" t="s">
        <v>20</v>
      </c>
      <c r="E34" s="21" t="s">
        <v>21</v>
      </c>
      <c r="F34" s="7" t="s">
        <v>22</v>
      </c>
      <c r="G34" s="7" t="s">
        <v>524</v>
      </c>
      <c r="J34" s="7" t="s">
        <v>28</v>
      </c>
      <c r="L34" s="44">
        <v>29.1</v>
      </c>
      <c r="M34" s="7" t="s">
        <v>23</v>
      </c>
      <c r="N34" s="7" t="s">
        <v>24</v>
      </c>
      <c r="O34" t="s">
        <v>518</v>
      </c>
    </row>
    <row r="35" spans="1:15" ht="14.25" customHeight="1" x14ac:dyDescent="0.3">
      <c r="A35" s="17" t="s">
        <v>1299</v>
      </c>
      <c r="C35" s="8" t="str">
        <f>G35&amp;", "&amp;O35&amp;", "&amp;N35</f>
        <v>Anillo de desgaste, 8C-9161, CATERPILLAR</v>
      </c>
      <c r="D35" s="21" t="s">
        <v>20</v>
      </c>
      <c r="E35" s="21" t="s">
        <v>21</v>
      </c>
      <c r="F35" s="7" t="s">
        <v>22</v>
      </c>
      <c r="G35" s="7" t="s">
        <v>524</v>
      </c>
      <c r="J35" s="7" t="s">
        <v>28</v>
      </c>
      <c r="L35" s="44">
        <v>21.11</v>
      </c>
      <c r="M35" s="7" t="s">
        <v>23</v>
      </c>
      <c r="N35" s="7" t="s">
        <v>24</v>
      </c>
      <c r="O35" t="s">
        <v>519</v>
      </c>
    </row>
    <row r="36" spans="1:15" ht="14.25" customHeight="1" x14ac:dyDescent="0.3">
      <c r="A36" s="17" t="s">
        <v>1299</v>
      </c>
      <c r="C36" s="8" t="str">
        <f>G36&amp;", "&amp;O36&amp;", "&amp;N36</f>
        <v>Anillo de desgaste, 8T-3330, CATERPILLAR</v>
      </c>
      <c r="D36" s="21" t="s">
        <v>20</v>
      </c>
      <c r="E36" s="21" t="s">
        <v>21</v>
      </c>
      <c r="F36" s="7" t="s">
        <v>22</v>
      </c>
      <c r="G36" s="7" t="s">
        <v>524</v>
      </c>
      <c r="J36" s="7" t="s">
        <v>28</v>
      </c>
      <c r="L36" s="44">
        <v>69.2</v>
      </c>
      <c r="M36" s="7" t="s">
        <v>23</v>
      </c>
      <c r="N36" s="7" t="s">
        <v>24</v>
      </c>
      <c r="O36" t="s">
        <v>520</v>
      </c>
    </row>
    <row r="37" spans="1:15" ht="14.25" customHeight="1" x14ac:dyDescent="0.3">
      <c r="A37" s="17" t="s">
        <v>1299</v>
      </c>
      <c r="C37" s="8" t="str">
        <f>G37&amp;", "&amp;O37&amp;", "&amp;N37</f>
        <v>Anillo de desgaste, 8T-3331, CATERPILLAR</v>
      </c>
      <c r="D37" s="21" t="s">
        <v>20</v>
      </c>
      <c r="E37" s="21" t="s">
        <v>21</v>
      </c>
      <c r="F37" s="7" t="s">
        <v>22</v>
      </c>
      <c r="G37" s="7" t="s">
        <v>524</v>
      </c>
      <c r="J37" s="7" t="s">
        <v>28</v>
      </c>
      <c r="L37" s="44">
        <v>81.8</v>
      </c>
      <c r="M37" s="7" t="s">
        <v>23</v>
      </c>
      <c r="N37" s="7" t="s">
        <v>24</v>
      </c>
      <c r="O37" t="s">
        <v>521</v>
      </c>
    </row>
    <row r="38" spans="1:15" ht="14.25" customHeight="1" x14ac:dyDescent="0.3">
      <c r="A38" s="17" t="s">
        <v>1299</v>
      </c>
      <c r="C38" s="8" t="str">
        <f>G38&amp;", "&amp;O38&amp;", "&amp;N38</f>
        <v>Anillo de desgaste, 9J-0711, CATERPILLAR</v>
      </c>
      <c r="D38" s="21" t="s">
        <v>20</v>
      </c>
      <c r="E38" s="21" t="s">
        <v>21</v>
      </c>
      <c r="F38" s="7" t="s">
        <v>22</v>
      </c>
      <c r="G38" s="7" t="s">
        <v>524</v>
      </c>
      <c r="J38" s="7" t="s">
        <v>28</v>
      </c>
      <c r="L38" s="44">
        <v>118.94</v>
      </c>
      <c r="M38" s="7" t="s">
        <v>23</v>
      </c>
      <c r="N38" s="7" t="s">
        <v>24</v>
      </c>
      <c r="O38" t="s">
        <v>522</v>
      </c>
    </row>
    <row r="39" spans="1:15" ht="14.25" customHeight="1" x14ac:dyDescent="0.3">
      <c r="A39" s="17" t="s">
        <v>1299</v>
      </c>
      <c r="C39" s="8" t="str">
        <f>G39&amp;", "&amp;O39&amp;", "&amp;N39</f>
        <v>Anillo de desgaste, 9X-3613, CATERPILLAR</v>
      </c>
      <c r="D39" s="21" t="s">
        <v>20</v>
      </c>
      <c r="E39" s="21" t="s">
        <v>21</v>
      </c>
      <c r="F39" s="7" t="s">
        <v>22</v>
      </c>
      <c r="G39" s="7" t="s">
        <v>524</v>
      </c>
      <c r="J39" s="7" t="s">
        <v>28</v>
      </c>
      <c r="L39" s="44">
        <v>86.44</v>
      </c>
      <c r="M39" s="7" t="s">
        <v>23</v>
      </c>
      <c r="N39" s="7" t="s">
        <v>24</v>
      </c>
      <c r="O39" t="s">
        <v>523</v>
      </c>
    </row>
    <row r="40" spans="1:15" ht="14.25" customHeight="1" x14ac:dyDescent="0.3">
      <c r="A40" s="17" t="s">
        <v>1299</v>
      </c>
      <c r="C40" s="8" t="str">
        <f>G40&amp;", "&amp;O40&amp;", "&amp;N40</f>
        <v>Anillo de desgaste, 58B-60-01230, KOMATSU</v>
      </c>
      <c r="D40" s="21" t="s">
        <v>20</v>
      </c>
      <c r="E40" s="21" t="s">
        <v>21</v>
      </c>
      <c r="F40" s="7" t="s">
        <v>22</v>
      </c>
      <c r="G40" s="7" t="s">
        <v>524</v>
      </c>
      <c r="J40" s="7" t="s">
        <v>28</v>
      </c>
      <c r="L40" s="44">
        <v>5066.68</v>
      </c>
      <c r="M40" s="7" t="s">
        <v>23</v>
      </c>
      <c r="N40" s="7" t="s">
        <v>30</v>
      </c>
      <c r="O40" t="s">
        <v>602</v>
      </c>
    </row>
    <row r="41" spans="1:15" ht="14.25" customHeight="1" x14ac:dyDescent="0.3">
      <c r="A41" s="17" t="s">
        <v>1299</v>
      </c>
      <c r="C41" s="8" t="str">
        <f>G41&amp;", "&amp;O41&amp;", "&amp;N41</f>
        <v>Anillo de desgaste, PC2414, KOMATSU</v>
      </c>
      <c r="D41" s="21" t="s">
        <v>20</v>
      </c>
      <c r="E41" s="21" t="s">
        <v>21</v>
      </c>
      <c r="F41" s="7" t="s">
        <v>22</v>
      </c>
      <c r="G41" s="7" t="s">
        <v>524</v>
      </c>
      <c r="J41" s="7" t="s">
        <v>28</v>
      </c>
      <c r="L41" s="44">
        <v>980</v>
      </c>
      <c r="M41" s="7" t="s">
        <v>23</v>
      </c>
      <c r="N41" s="7" t="s">
        <v>30</v>
      </c>
      <c r="O41" t="s">
        <v>603</v>
      </c>
    </row>
    <row r="42" spans="1:15" ht="14.25" customHeight="1" x14ac:dyDescent="0.3">
      <c r="A42" s="17" t="s">
        <v>1299</v>
      </c>
      <c r="C42" s="8" t="str">
        <f>G42&amp;", "&amp;O42&amp;", "&amp;N42</f>
        <v>Anillo de desgaste, 58B-60-01240, KOMATSU</v>
      </c>
      <c r="D42" s="21" t="s">
        <v>20</v>
      </c>
      <c r="E42" s="21" t="s">
        <v>21</v>
      </c>
      <c r="F42" s="7" t="s">
        <v>22</v>
      </c>
      <c r="G42" s="7" t="s">
        <v>524</v>
      </c>
      <c r="J42" s="7" t="s">
        <v>28</v>
      </c>
      <c r="L42" s="44">
        <v>5793.95</v>
      </c>
      <c r="M42" s="7" t="s">
        <v>23</v>
      </c>
      <c r="N42" s="7" t="s">
        <v>30</v>
      </c>
      <c r="O42" t="s">
        <v>604</v>
      </c>
    </row>
    <row r="43" spans="1:15" ht="14.25" customHeight="1" x14ac:dyDescent="0.3">
      <c r="A43" s="17" t="s">
        <v>1299</v>
      </c>
      <c r="C43" s="8" t="str">
        <f>G43&amp;", "&amp;O43&amp;", "&amp;N43</f>
        <v>Anillo de desgaste, PC2413, KOMATSU</v>
      </c>
      <c r="D43" s="21" t="s">
        <v>20</v>
      </c>
      <c r="E43" s="21" t="s">
        <v>21</v>
      </c>
      <c r="F43" s="7" t="s">
        <v>22</v>
      </c>
      <c r="G43" s="7" t="s">
        <v>524</v>
      </c>
      <c r="J43" s="7" t="s">
        <v>28</v>
      </c>
      <c r="L43" s="44">
        <v>980</v>
      </c>
      <c r="M43" s="7" t="s">
        <v>23</v>
      </c>
      <c r="N43" s="7" t="s">
        <v>30</v>
      </c>
      <c r="O43" t="s">
        <v>605</v>
      </c>
    </row>
    <row r="44" spans="1:15" ht="14.25" customHeight="1" x14ac:dyDescent="0.3">
      <c r="A44" s="17" t="s">
        <v>1299</v>
      </c>
      <c r="C44" s="8" t="str">
        <f>G44&amp;", "&amp;O44&amp;", "&amp;N44</f>
        <v>Anillo de respaldo, 199-1474, CATERPILLAR</v>
      </c>
      <c r="D44" s="21" t="s">
        <v>20</v>
      </c>
      <c r="E44" s="21" t="s">
        <v>21</v>
      </c>
      <c r="F44" s="7" t="s">
        <v>22</v>
      </c>
      <c r="G44" s="7" t="s">
        <v>533</v>
      </c>
      <c r="J44" s="7" t="s">
        <v>28</v>
      </c>
      <c r="L44" s="44">
        <v>132.26</v>
      </c>
      <c r="M44" s="7" t="s">
        <v>23</v>
      </c>
      <c r="N44" s="7" t="s">
        <v>24</v>
      </c>
      <c r="O44" t="s">
        <v>525</v>
      </c>
    </row>
    <row r="45" spans="1:15" ht="14.25" customHeight="1" x14ac:dyDescent="0.3">
      <c r="A45" s="17" t="s">
        <v>1299</v>
      </c>
      <c r="C45" s="8" t="str">
        <f>G45&amp;", "&amp;O45&amp;", "&amp;N45</f>
        <v>Anillo de respaldo, 199-1475, CATERPILLAR</v>
      </c>
      <c r="D45" s="21" t="s">
        <v>20</v>
      </c>
      <c r="E45" s="21" t="s">
        <v>21</v>
      </c>
      <c r="F45" s="7" t="s">
        <v>22</v>
      </c>
      <c r="G45" s="7" t="s">
        <v>533</v>
      </c>
      <c r="J45" s="7" t="s">
        <v>28</v>
      </c>
      <c r="L45" s="44">
        <v>106.35</v>
      </c>
      <c r="M45" s="7" t="s">
        <v>23</v>
      </c>
      <c r="N45" s="7" t="s">
        <v>24</v>
      </c>
      <c r="O45" t="s">
        <v>526</v>
      </c>
    </row>
    <row r="46" spans="1:15" ht="14.25" customHeight="1" x14ac:dyDescent="0.3">
      <c r="A46" s="17" t="s">
        <v>1299</v>
      </c>
      <c r="C46" s="8" t="str">
        <f>G46&amp;", "&amp;O46&amp;", "&amp;N46</f>
        <v>Anillo de respaldo, 215-1942, CATERPILLAR</v>
      </c>
      <c r="D46" s="21" t="s">
        <v>20</v>
      </c>
      <c r="E46" s="21" t="s">
        <v>21</v>
      </c>
      <c r="F46" s="7" t="s">
        <v>22</v>
      </c>
      <c r="G46" s="7" t="s">
        <v>533</v>
      </c>
      <c r="J46" s="7" t="s">
        <v>28</v>
      </c>
      <c r="L46" s="44">
        <v>7.72</v>
      </c>
      <c r="M46" s="7" t="s">
        <v>23</v>
      </c>
      <c r="N46" s="7" t="s">
        <v>24</v>
      </c>
      <c r="O46" t="s">
        <v>527</v>
      </c>
    </row>
    <row r="47" spans="1:15" ht="14.25" customHeight="1" x14ac:dyDescent="0.3">
      <c r="A47" s="17" t="s">
        <v>1299</v>
      </c>
      <c r="C47" s="8" t="str">
        <f>G47&amp;", "&amp;O47&amp;", "&amp;N47</f>
        <v>Anillo de respaldo, 365-9197, CATERPILLAR</v>
      </c>
      <c r="D47" s="21" t="s">
        <v>20</v>
      </c>
      <c r="E47" s="21" t="s">
        <v>21</v>
      </c>
      <c r="F47" s="7" t="s">
        <v>22</v>
      </c>
      <c r="G47" s="7" t="s">
        <v>533</v>
      </c>
      <c r="J47" s="7" t="s">
        <v>28</v>
      </c>
      <c r="L47" s="44">
        <v>53.59</v>
      </c>
      <c r="M47" s="7" t="s">
        <v>23</v>
      </c>
      <c r="N47" s="7" t="s">
        <v>24</v>
      </c>
      <c r="O47" t="s">
        <v>528</v>
      </c>
    </row>
    <row r="48" spans="1:15" ht="14.25" customHeight="1" x14ac:dyDescent="0.3">
      <c r="A48" s="17" t="s">
        <v>1299</v>
      </c>
      <c r="C48" s="8" t="str">
        <f>G48&amp;", "&amp;O48&amp;", "&amp;N48</f>
        <v>Anillo de respaldo, 3K-8692, CATERPILLAR</v>
      </c>
      <c r="D48" s="21" t="s">
        <v>20</v>
      </c>
      <c r="E48" s="21" t="s">
        <v>21</v>
      </c>
      <c r="F48" s="7" t="s">
        <v>22</v>
      </c>
      <c r="G48" s="7" t="s">
        <v>533</v>
      </c>
      <c r="J48" s="7" t="s">
        <v>28</v>
      </c>
      <c r="L48" s="44">
        <v>15.26</v>
      </c>
      <c r="M48" s="7" t="s">
        <v>23</v>
      </c>
      <c r="N48" s="7" t="s">
        <v>24</v>
      </c>
      <c r="O48" t="s">
        <v>503</v>
      </c>
    </row>
    <row r="49" spans="1:15" ht="14.25" customHeight="1" x14ac:dyDescent="0.3">
      <c r="A49" s="17" t="s">
        <v>1299</v>
      </c>
      <c r="C49" s="8" t="str">
        <f>G49&amp;", "&amp;O49&amp;", "&amp;N49</f>
        <v>Anillo de respaldo, 514-6719, CATERPILLAR</v>
      </c>
      <c r="D49" s="21" t="s">
        <v>20</v>
      </c>
      <c r="E49" s="21" t="s">
        <v>21</v>
      </c>
      <c r="F49" s="7" t="s">
        <v>22</v>
      </c>
      <c r="G49" s="7" t="s">
        <v>533</v>
      </c>
      <c r="J49" s="7" t="s">
        <v>28</v>
      </c>
      <c r="L49" s="44">
        <v>69.41</v>
      </c>
      <c r="M49" s="7" t="s">
        <v>23</v>
      </c>
      <c r="N49" s="7" t="s">
        <v>24</v>
      </c>
      <c r="O49" t="s">
        <v>529</v>
      </c>
    </row>
    <row r="50" spans="1:15" ht="14.25" customHeight="1" x14ac:dyDescent="0.3">
      <c r="A50" s="17" t="s">
        <v>1299</v>
      </c>
      <c r="C50" s="8" t="str">
        <f>G50&amp;", "&amp;O50&amp;", "&amp;N50</f>
        <v>Anillo de respaldo, 542-9983, CATERPILLAR</v>
      </c>
      <c r="D50" s="21" t="s">
        <v>20</v>
      </c>
      <c r="E50" s="21" t="s">
        <v>21</v>
      </c>
      <c r="F50" s="7" t="s">
        <v>22</v>
      </c>
      <c r="G50" s="7" t="s">
        <v>533</v>
      </c>
      <c r="J50" s="7" t="s">
        <v>28</v>
      </c>
      <c r="L50" s="44">
        <v>31</v>
      </c>
      <c r="M50" s="7" t="s">
        <v>23</v>
      </c>
      <c r="N50" s="7" t="s">
        <v>24</v>
      </c>
      <c r="O50" t="s">
        <v>530</v>
      </c>
    </row>
    <row r="51" spans="1:15" ht="14.25" customHeight="1" x14ac:dyDescent="0.3">
      <c r="A51" s="17" t="s">
        <v>1299</v>
      </c>
      <c r="C51" s="8" t="str">
        <f>G51&amp;", "&amp;O51&amp;", "&amp;N51</f>
        <v>Anillo de respaldo, 542-9985, CATERPILLAR</v>
      </c>
      <c r="D51" s="21" t="s">
        <v>20</v>
      </c>
      <c r="E51" s="21" t="s">
        <v>21</v>
      </c>
      <c r="F51" s="7" t="s">
        <v>22</v>
      </c>
      <c r="G51" s="7" t="s">
        <v>533</v>
      </c>
      <c r="J51" s="7" t="s">
        <v>28</v>
      </c>
      <c r="L51" s="44">
        <v>31.25</v>
      </c>
      <c r="M51" s="7" t="s">
        <v>23</v>
      </c>
      <c r="N51" s="7" t="s">
        <v>24</v>
      </c>
      <c r="O51" t="s">
        <v>531</v>
      </c>
    </row>
    <row r="52" spans="1:15" ht="14.25" customHeight="1" x14ac:dyDescent="0.3">
      <c r="A52" s="17" t="s">
        <v>1299</v>
      </c>
      <c r="C52" s="8" t="str">
        <f>G52&amp;", "&amp;O52&amp;", "&amp;N52</f>
        <v>Anillo de respaldo, 8T-8434, CATERPILLAR</v>
      </c>
      <c r="D52" s="21" t="s">
        <v>20</v>
      </c>
      <c r="E52" s="21" t="s">
        <v>21</v>
      </c>
      <c r="F52" s="7" t="s">
        <v>22</v>
      </c>
      <c r="G52" s="7" t="s">
        <v>533</v>
      </c>
      <c r="J52" s="7" t="s">
        <v>28</v>
      </c>
      <c r="L52" s="44">
        <v>17</v>
      </c>
      <c r="M52" s="7" t="s">
        <v>23</v>
      </c>
      <c r="N52" s="7" t="s">
        <v>24</v>
      </c>
      <c r="O52" t="s">
        <v>532</v>
      </c>
    </row>
    <row r="53" spans="1:15" ht="14.25" customHeight="1" x14ac:dyDescent="0.3">
      <c r="A53" s="17" t="s">
        <v>1299</v>
      </c>
      <c r="C53" s="8" t="str">
        <f>G53&amp;", "&amp;O53&amp;", "&amp;N53</f>
        <v>Anillo de retención, 109-0119, CATERPILLAR</v>
      </c>
      <c r="D53" s="21" t="s">
        <v>20</v>
      </c>
      <c r="E53" s="21" t="s">
        <v>21</v>
      </c>
      <c r="F53" s="7" t="s">
        <v>22</v>
      </c>
      <c r="G53" s="7" t="s">
        <v>547</v>
      </c>
      <c r="J53" s="7" t="s">
        <v>28</v>
      </c>
      <c r="L53" s="44">
        <v>17.36</v>
      </c>
      <c r="M53" s="7" t="s">
        <v>23</v>
      </c>
      <c r="N53" s="7" t="s">
        <v>24</v>
      </c>
      <c r="O53" t="s">
        <v>534</v>
      </c>
    </row>
    <row r="54" spans="1:15" ht="14.25" customHeight="1" x14ac:dyDescent="0.3">
      <c r="A54" s="17" t="s">
        <v>1299</v>
      </c>
      <c r="C54" s="8" t="str">
        <f>G54&amp;", "&amp;O54&amp;", "&amp;N54</f>
        <v>Anillo de retención, 340-2378, CATERPILLAR</v>
      </c>
      <c r="D54" s="21" t="s">
        <v>20</v>
      </c>
      <c r="E54" s="21" t="s">
        <v>21</v>
      </c>
      <c r="F54" s="7" t="s">
        <v>22</v>
      </c>
      <c r="G54" s="7" t="s">
        <v>547</v>
      </c>
      <c r="J54" s="7" t="s">
        <v>28</v>
      </c>
      <c r="L54" s="44">
        <v>156</v>
      </c>
      <c r="M54" s="7" t="s">
        <v>23</v>
      </c>
      <c r="N54" s="7" t="s">
        <v>24</v>
      </c>
      <c r="O54" t="s">
        <v>535</v>
      </c>
    </row>
    <row r="55" spans="1:15" ht="14.25" customHeight="1" x14ac:dyDescent="0.3">
      <c r="A55" s="17" t="s">
        <v>1299</v>
      </c>
      <c r="C55" s="8" t="str">
        <f>G55&amp;", "&amp;O55&amp;", "&amp;N55</f>
        <v>Anillo de retención, 340-2381, CATERPILLAR</v>
      </c>
      <c r="D55" s="21" t="s">
        <v>20</v>
      </c>
      <c r="E55" s="21" t="s">
        <v>21</v>
      </c>
      <c r="F55" s="7" t="s">
        <v>22</v>
      </c>
      <c r="G55" s="7" t="s">
        <v>547</v>
      </c>
      <c r="J55" s="7" t="s">
        <v>28</v>
      </c>
      <c r="L55" s="44">
        <v>218</v>
      </c>
      <c r="M55" s="7" t="s">
        <v>23</v>
      </c>
      <c r="N55" s="7" t="s">
        <v>24</v>
      </c>
      <c r="O55" t="s">
        <v>536</v>
      </c>
    </row>
    <row r="56" spans="1:15" ht="14.25" customHeight="1" x14ac:dyDescent="0.3">
      <c r="A56" s="17" t="s">
        <v>1299</v>
      </c>
      <c r="C56" s="8" t="str">
        <f>G56&amp;", "&amp;O56&amp;", "&amp;N56</f>
        <v>Anillo de retención, 340-2383, CATERPILLAR</v>
      </c>
      <c r="D56" s="21" t="s">
        <v>20</v>
      </c>
      <c r="E56" s="21" t="s">
        <v>21</v>
      </c>
      <c r="F56" s="7" t="s">
        <v>22</v>
      </c>
      <c r="G56" s="7" t="s">
        <v>547</v>
      </c>
      <c r="J56" s="7" t="s">
        <v>28</v>
      </c>
      <c r="L56" s="44">
        <v>199.49</v>
      </c>
      <c r="M56" s="7" t="s">
        <v>23</v>
      </c>
      <c r="N56" s="7" t="s">
        <v>24</v>
      </c>
      <c r="O56" t="s">
        <v>537</v>
      </c>
    </row>
    <row r="57" spans="1:15" ht="14.25" customHeight="1" x14ac:dyDescent="0.3">
      <c r="A57" s="17" t="s">
        <v>1299</v>
      </c>
      <c r="C57" s="8" t="str">
        <f>G57&amp;", "&amp;O57&amp;", "&amp;N57</f>
        <v>Anillo de retención, 3J-8500, CATERPILLAR</v>
      </c>
      <c r="D57" s="21" t="s">
        <v>20</v>
      </c>
      <c r="E57" s="21" t="s">
        <v>21</v>
      </c>
      <c r="F57" s="7" t="s">
        <v>22</v>
      </c>
      <c r="G57" s="7" t="s">
        <v>547</v>
      </c>
      <c r="J57" s="7" t="s">
        <v>28</v>
      </c>
      <c r="L57" s="44">
        <v>9.73</v>
      </c>
      <c r="M57" s="7" t="s">
        <v>23</v>
      </c>
      <c r="N57" s="7" t="s">
        <v>24</v>
      </c>
      <c r="O57" t="s">
        <v>538</v>
      </c>
    </row>
    <row r="58" spans="1:15" ht="14.25" customHeight="1" x14ac:dyDescent="0.3">
      <c r="A58" s="17" t="s">
        <v>1299</v>
      </c>
      <c r="C58" s="8" t="str">
        <f>G58&amp;", "&amp;O58&amp;", "&amp;N58</f>
        <v>Anillo de retención, 438-1138, CATERPILLAR</v>
      </c>
      <c r="D58" s="21" t="s">
        <v>20</v>
      </c>
      <c r="E58" s="21" t="s">
        <v>21</v>
      </c>
      <c r="F58" s="7" t="s">
        <v>22</v>
      </c>
      <c r="G58" s="7" t="s">
        <v>547</v>
      </c>
      <c r="J58" s="7" t="s">
        <v>28</v>
      </c>
      <c r="L58" s="44">
        <v>42.35</v>
      </c>
      <c r="M58" s="7" t="s">
        <v>23</v>
      </c>
      <c r="N58" s="7" t="s">
        <v>24</v>
      </c>
      <c r="O58" t="s">
        <v>539</v>
      </c>
    </row>
    <row r="59" spans="1:15" ht="14.25" customHeight="1" x14ac:dyDescent="0.3">
      <c r="A59" s="17" t="s">
        <v>1299</v>
      </c>
      <c r="C59" s="8" t="str">
        <f>G59&amp;", "&amp;O59&amp;", "&amp;N59</f>
        <v>Anillo de retención, 5S-4455, CATERPILLAR</v>
      </c>
      <c r="D59" s="21" t="s">
        <v>20</v>
      </c>
      <c r="E59" s="21" t="s">
        <v>21</v>
      </c>
      <c r="F59" s="7" t="s">
        <v>22</v>
      </c>
      <c r="G59" s="7" t="s">
        <v>547</v>
      </c>
      <c r="J59" s="7" t="s">
        <v>28</v>
      </c>
      <c r="L59" s="44">
        <v>3.55</v>
      </c>
      <c r="M59" s="7" t="s">
        <v>23</v>
      </c>
      <c r="N59" s="7" t="s">
        <v>24</v>
      </c>
      <c r="O59" t="s">
        <v>540</v>
      </c>
    </row>
    <row r="60" spans="1:15" ht="14.25" customHeight="1" x14ac:dyDescent="0.3">
      <c r="A60" s="17" t="s">
        <v>1299</v>
      </c>
      <c r="C60" s="8" t="str">
        <f>G60&amp;", "&amp;O60&amp;", "&amp;N60</f>
        <v>Anillo de retención, 610-3657, CATERPILLAR</v>
      </c>
      <c r="D60" s="21" t="s">
        <v>20</v>
      </c>
      <c r="E60" s="21" t="s">
        <v>21</v>
      </c>
      <c r="F60" s="7" t="s">
        <v>22</v>
      </c>
      <c r="G60" s="7" t="s">
        <v>547</v>
      </c>
      <c r="J60" s="7" t="s">
        <v>28</v>
      </c>
      <c r="L60" s="44">
        <v>10.11</v>
      </c>
      <c r="M60" s="7" t="s">
        <v>23</v>
      </c>
      <c r="N60" s="7" t="s">
        <v>24</v>
      </c>
      <c r="O60" t="s">
        <v>541</v>
      </c>
    </row>
    <row r="61" spans="1:15" ht="14.25" customHeight="1" x14ac:dyDescent="0.3">
      <c r="A61" s="17" t="s">
        <v>1299</v>
      </c>
      <c r="C61" s="8" t="str">
        <f>G61&amp;", "&amp;O61&amp;", "&amp;N61</f>
        <v>Anillo de retención, 624-5476, CATERPILLAR</v>
      </c>
      <c r="D61" s="21" t="s">
        <v>20</v>
      </c>
      <c r="E61" s="21" t="s">
        <v>21</v>
      </c>
      <c r="F61" s="7" t="s">
        <v>22</v>
      </c>
      <c r="G61" s="7" t="s">
        <v>547</v>
      </c>
      <c r="J61" s="7" t="s">
        <v>28</v>
      </c>
      <c r="L61" s="44">
        <v>4</v>
      </c>
      <c r="M61" s="7" t="s">
        <v>23</v>
      </c>
      <c r="N61" s="7" t="s">
        <v>24</v>
      </c>
      <c r="O61" t="s">
        <v>542</v>
      </c>
    </row>
    <row r="62" spans="1:15" ht="14.25" customHeight="1" x14ac:dyDescent="0.3">
      <c r="A62" s="17" t="s">
        <v>1299</v>
      </c>
      <c r="C62" s="8" t="str">
        <f>G62&amp;", "&amp;O62&amp;", "&amp;N62</f>
        <v>Anillo de retención, 624-5719, CATERPILLAR</v>
      </c>
      <c r="D62" s="21" t="s">
        <v>20</v>
      </c>
      <c r="E62" s="21" t="s">
        <v>21</v>
      </c>
      <c r="F62" s="7" t="s">
        <v>22</v>
      </c>
      <c r="G62" s="7" t="s">
        <v>547</v>
      </c>
      <c r="J62" s="7" t="s">
        <v>28</v>
      </c>
      <c r="L62" s="44">
        <v>15.84</v>
      </c>
      <c r="M62" s="7" t="s">
        <v>23</v>
      </c>
      <c r="N62" s="7" t="s">
        <v>24</v>
      </c>
      <c r="O62" t="s">
        <v>543</v>
      </c>
    </row>
    <row r="63" spans="1:15" ht="14.25" customHeight="1" x14ac:dyDescent="0.3">
      <c r="A63" s="17" t="s">
        <v>1299</v>
      </c>
      <c r="C63" s="8" t="str">
        <f>G63&amp;", "&amp;O63&amp;", "&amp;N63</f>
        <v>Anillo de retención, 627-1958, CATERPILLAR</v>
      </c>
      <c r="D63" s="21" t="s">
        <v>20</v>
      </c>
      <c r="E63" s="21" t="s">
        <v>21</v>
      </c>
      <c r="F63" s="7" t="s">
        <v>22</v>
      </c>
      <c r="G63" s="7" t="s">
        <v>547</v>
      </c>
      <c r="J63" s="7" t="s">
        <v>28</v>
      </c>
      <c r="L63" s="44">
        <v>20.48</v>
      </c>
      <c r="M63" s="7" t="s">
        <v>23</v>
      </c>
      <c r="N63" s="7" t="s">
        <v>24</v>
      </c>
      <c r="O63" t="s">
        <v>544</v>
      </c>
    </row>
    <row r="64" spans="1:15" ht="14.25" customHeight="1" x14ac:dyDescent="0.3">
      <c r="A64" s="17" t="s">
        <v>1299</v>
      </c>
      <c r="C64" s="8" t="str">
        <f>G64&amp;", "&amp;O64&amp;", "&amp;N64</f>
        <v>Anillo de retención, 627-1960, CATERPILLAR</v>
      </c>
      <c r="D64" s="21" t="s">
        <v>20</v>
      </c>
      <c r="E64" s="21" t="s">
        <v>21</v>
      </c>
      <c r="F64" s="7" t="s">
        <v>22</v>
      </c>
      <c r="G64" s="7" t="s">
        <v>547</v>
      </c>
      <c r="J64" s="7" t="s">
        <v>28</v>
      </c>
      <c r="L64" s="44">
        <v>18.75</v>
      </c>
      <c r="M64" s="7" t="s">
        <v>23</v>
      </c>
      <c r="N64" s="7" t="s">
        <v>24</v>
      </c>
      <c r="O64" t="s">
        <v>545</v>
      </c>
    </row>
    <row r="65" spans="1:15" ht="14.25" customHeight="1" x14ac:dyDescent="0.3">
      <c r="A65" s="17" t="s">
        <v>1299</v>
      </c>
      <c r="C65" s="8" t="str">
        <f>G65&amp;", "&amp;O65&amp;", "&amp;N65</f>
        <v>Anillo de retención, 8T-9598, CATERPILLAR</v>
      </c>
      <c r="D65" s="21" t="s">
        <v>20</v>
      </c>
      <c r="E65" s="21" t="s">
        <v>21</v>
      </c>
      <c r="F65" s="7" t="s">
        <v>22</v>
      </c>
      <c r="G65" s="7" t="s">
        <v>547</v>
      </c>
      <c r="J65" s="7" t="s">
        <v>28</v>
      </c>
      <c r="L65" s="44">
        <v>56.35</v>
      </c>
      <c r="M65" s="7" t="s">
        <v>23</v>
      </c>
      <c r="N65" s="7" t="s">
        <v>24</v>
      </c>
      <c r="O65" t="s">
        <v>546</v>
      </c>
    </row>
    <row r="66" spans="1:15" ht="14.25" customHeight="1" x14ac:dyDescent="0.3">
      <c r="A66" s="17" t="s">
        <v>1299</v>
      </c>
      <c r="C66" s="8" t="str">
        <f>G66&amp;", "&amp;O66&amp;", "&amp;N66</f>
        <v>Anillo de respaldo, 087-5397, CATERPILLAR</v>
      </c>
      <c r="D66" s="21" t="s">
        <v>20</v>
      </c>
      <c r="E66" s="21" t="s">
        <v>21</v>
      </c>
      <c r="F66" s="7" t="s">
        <v>22</v>
      </c>
      <c r="G66" s="7" t="s">
        <v>533</v>
      </c>
      <c r="J66" s="7" t="s">
        <v>28</v>
      </c>
      <c r="L66" s="44">
        <v>41.28</v>
      </c>
      <c r="M66" s="7" t="s">
        <v>23</v>
      </c>
      <c r="N66" s="7" t="s">
        <v>24</v>
      </c>
      <c r="O66" t="s">
        <v>552</v>
      </c>
    </row>
    <row r="67" spans="1:15" ht="14.25" customHeight="1" x14ac:dyDescent="0.3">
      <c r="A67" s="17" t="s">
        <v>1299</v>
      </c>
      <c r="C67" s="8" t="str">
        <f>G67&amp;", "&amp;O67&amp;", "&amp;N67</f>
        <v>Anillo de respaldo, 1K-7095, CATERPILLAR</v>
      </c>
      <c r="D67" s="21" t="s">
        <v>20</v>
      </c>
      <c r="E67" s="21" t="s">
        <v>21</v>
      </c>
      <c r="F67" s="7" t="s">
        <v>22</v>
      </c>
      <c r="G67" s="7" t="s">
        <v>533</v>
      </c>
      <c r="J67" s="7" t="s">
        <v>28</v>
      </c>
      <c r="L67" s="44">
        <v>10.69</v>
      </c>
      <c r="M67" s="7" t="s">
        <v>23</v>
      </c>
      <c r="N67" s="7" t="s">
        <v>24</v>
      </c>
      <c r="O67" t="s">
        <v>553</v>
      </c>
    </row>
    <row r="68" spans="1:15" ht="14.25" customHeight="1" x14ac:dyDescent="0.3">
      <c r="A68" s="17" t="s">
        <v>1299</v>
      </c>
      <c r="C68" s="8" t="str">
        <f>G68&amp;", "&amp;O68&amp;", "&amp;N68</f>
        <v>Anillo de respaldo, 2K-6830, CATERPILLAR</v>
      </c>
      <c r="D68" s="21" t="s">
        <v>20</v>
      </c>
      <c r="E68" s="21" t="s">
        <v>21</v>
      </c>
      <c r="F68" s="7" t="s">
        <v>22</v>
      </c>
      <c r="G68" s="7" t="s">
        <v>533</v>
      </c>
      <c r="J68" s="7" t="s">
        <v>28</v>
      </c>
      <c r="L68" s="44">
        <v>10.69</v>
      </c>
      <c r="M68" s="7" t="s">
        <v>23</v>
      </c>
      <c r="N68" s="7" t="s">
        <v>24</v>
      </c>
      <c r="O68" t="s">
        <v>554</v>
      </c>
    </row>
    <row r="69" spans="1:15" ht="14.25" customHeight="1" x14ac:dyDescent="0.3">
      <c r="A69" s="17" t="s">
        <v>1299</v>
      </c>
      <c r="C69" s="8" t="str">
        <f>G69&amp;", "&amp;O69&amp;", "&amp;N69</f>
        <v>Anillo de respaldo, 4J-9224, CATERPILLAR</v>
      </c>
      <c r="D69" s="21" t="s">
        <v>20</v>
      </c>
      <c r="E69" s="21" t="s">
        <v>21</v>
      </c>
      <c r="F69" s="7" t="s">
        <v>22</v>
      </c>
      <c r="G69" s="7" t="s">
        <v>533</v>
      </c>
      <c r="J69" s="7" t="s">
        <v>28</v>
      </c>
      <c r="L69" s="44">
        <v>8.5399999999999991</v>
      </c>
      <c r="M69" s="7" t="s">
        <v>23</v>
      </c>
      <c r="N69" s="7" t="s">
        <v>24</v>
      </c>
      <c r="O69" t="s">
        <v>555</v>
      </c>
    </row>
    <row r="70" spans="1:15" ht="14.25" customHeight="1" x14ac:dyDescent="0.3">
      <c r="A70" s="17" t="s">
        <v>1299</v>
      </c>
      <c r="C70" s="8" t="str">
        <f>G70&amp;", "&amp;O70&amp;", "&amp;N70</f>
        <v>Arandela, 3V-2431, CATERPILLAR</v>
      </c>
      <c r="D70" s="21" t="s">
        <v>20</v>
      </c>
      <c r="E70" s="21" t="s">
        <v>21</v>
      </c>
      <c r="F70" s="7" t="s">
        <v>22</v>
      </c>
      <c r="G70" s="7" t="s">
        <v>563</v>
      </c>
      <c r="J70" s="7" t="s">
        <v>28</v>
      </c>
      <c r="L70" s="44">
        <v>0.49</v>
      </c>
      <c r="M70" s="7" t="s">
        <v>23</v>
      </c>
      <c r="N70" s="7" t="s">
        <v>24</v>
      </c>
      <c r="O70" t="s">
        <v>556</v>
      </c>
    </row>
    <row r="71" spans="1:15" ht="14.25" customHeight="1" x14ac:dyDescent="0.3">
      <c r="A71" s="17" t="s">
        <v>1299</v>
      </c>
      <c r="C71" s="8" t="str">
        <f>G71&amp;", "&amp;O71&amp;", "&amp;N71</f>
        <v>Arandela, 6V-5839, CATERPILLAR</v>
      </c>
      <c r="D71" s="21" t="s">
        <v>20</v>
      </c>
      <c r="E71" s="21" t="s">
        <v>21</v>
      </c>
      <c r="F71" s="7" t="s">
        <v>22</v>
      </c>
      <c r="G71" s="7" t="s">
        <v>563</v>
      </c>
      <c r="J71" s="7" t="s">
        <v>28</v>
      </c>
      <c r="L71" s="44">
        <v>0.46</v>
      </c>
      <c r="M71" s="7" t="s">
        <v>23</v>
      </c>
      <c r="N71" s="7" t="s">
        <v>24</v>
      </c>
      <c r="O71" t="s">
        <v>557</v>
      </c>
    </row>
    <row r="72" spans="1:15" ht="14.25" customHeight="1" x14ac:dyDescent="0.3">
      <c r="A72" s="17" t="s">
        <v>1299</v>
      </c>
      <c r="C72" s="8" t="str">
        <f>G72&amp;", "&amp;O72&amp;", "&amp;N72</f>
        <v>Arandela, 7X-0531, CATERPILLAR</v>
      </c>
      <c r="D72" s="21" t="s">
        <v>20</v>
      </c>
      <c r="E72" s="21" t="s">
        <v>21</v>
      </c>
      <c r="F72" s="7" t="s">
        <v>22</v>
      </c>
      <c r="G72" s="7" t="s">
        <v>563</v>
      </c>
      <c r="J72" s="7" t="s">
        <v>28</v>
      </c>
      <c r="L72" s="44">
        <v>0.9</v>
      </c>
      <c r="M72" s="7" t="s">
        <v>23</v>
      </c>
      <c r="N72" s="7" t="s">
        <v>24</v>
      </c>
      <c r="O72" t="s">
        <v>558</v>
      </c>
    </row>
    <row r="73" spans="1:15" ht="14.25" customHeight="1" x14ac:dyDescent="0.3">
      <c r="A73" s="17" t="s">
        <v>1299</v>
      </c>
      <c r="C73" s="8" t="str">
        <f>G73&amp;", "&amp;O73&amp;", "&amp;N73</f>
        <v>Arandela, 9X-8268, CATERPILLAR</v>
      </c>
      <c r="D73" s="21" t="s">
        <v>20</v>
      </c>
      <c r="E73" s="21" t="s">
        <v>21</v>
      </c>
      <c r="F73" s="7" t="s">
        <v>22</v>
      </c>
      <c r="G73" s="7" t="s">
        <v>563</v>
      </c>
      <c r="J73" s="7" t="s">
        <v>28</v>
      </c>
      <c r="L73" s="44">
        <v>1.85</v>
      </c>
      <c r="M73" s="7" t="s">
        <v>23</v>
      </c>
      <c r="N73" s="7" t="s">
        <v>24</v>
      </c>
      <c r="O73" t="s">
        <v>559</v>
      </c>
    </row>
    <row r="74" spans="1:15" ht="14.25" customHeight="1" x14ac:dyDescent="0.3">
      <c r="A74" s="17" t="s">
        <v>1299</v>
      </c>
      <c r="C74" s="8" t="str">
        <f>G74&amp;", "&amp;O74&amp;", "&amp;N74</f>
        <v>Arandela, 4K-0684, CATERPILLAR</v>
      </c>
      <c r="D74" s="21" t="s">
        <v>20</v>
      </c>
      <c r="E74" s="21" t="s">
        <v>21</v>
      </c>
      <c r="F74" s="7" t="s">
        <v>22</v>
      </c>
      <c r="G74" s="7" t="s">
        <v>563</v>
      </c>
      <c r="J74" s="7" t="s">
        <v>28</v>
      </c>
      <c r="L74" s="44">
        <v>7.62</v>
      </c>
      <c r="M74" s="7" t="s">
        <v>23</v>
      </c>
      <c r="N74" s="7" t="s">
        <v>24</v>
      </c>
      <c r="O74" t="s">
        <v>566</v>
      </c>
    </row>
    <row r="75" spans="1:15" ht="14.25" customHeight="1" x14ac:dyDescent="0.3">
      <c r="A75" s="17" t="s">
        <v>1299</v>
      </c>
      <c r="C75" s="8" t="str">
        <f>G75&amp;", "&amp;O75&amp;", "&amp;N75</f>
        <v>Arandela, WA0363, KOMATSU</v>
      </c>
      <c r="D75" s="21" t="s">
        <v>20</v>
      </c>
      <c r="E75" s="21" t="s">
        <v>21</v>
      </c>
      <c r="F75" s="7" t="s">
        <v>22</v>
      </c>
      <c r="G75" s="7" t="s">
        <v>563</v>
      </c>
      <c r="J75" s="7" t="s">
        <v>28</v>
      </c>
      <c r="L75" s="44">
        <v>30.77</v>
      </c>
      <c r="M75" s="7" t="s">
        <v>23</v>
      </c>
      <c r="N75" s="7" t="s">
        <v>30</v>
      </c>
      <c r="O75" t="s">
        <v>567</v>
      </c>
    </row>
    <row r="76" spans="1:15" ht="14.25" customHeight="1" x14ac:dyDescent="0.3">
      <c r="A76" s="17" t="s">
        <v>1299</v>
      </c>
      <c r="C76" s="8" t="str">
        <f>G76&amp;", "&amp;O76&amp;", "&amp;N76</f>
        <v>Arandela, WA5659, KOMATSU</v>
      </c>
      <c r="D76" s="21" t="s">
        <v>20</v>
      </c>
      <c r="E76" s="21" t="s">
        <v>21</v>
      </c>
      <c r="F76" s="7" t="s">
        <v>22</v>
      </c>
      <c r="G76" s="7" t="s">
        <v>563</v>
      </c>
      <c r="J76" s="7" t="s">
        <v>28</v>
      </c>
      <c r="L76" s="44">
        <v>49.6</v>
      </c>
      <c r="M76" s="7" t="s">
        <v>23</v>
      </c>
      <c r="N76" s="7" t="s">
        <v>30</v>
      </c>
      <c r="O76" t="s">
        <v>568</v>
      </c>
    </row>
    <row r="77" spans="1:15" ht="14.25" customHeight="1" x14ac:dyDescent="0.3">
      <c r="A77" s="17" t="s">
        <v>1299</v>
      </c>
      <c r="C77" s="8" t="str">
        <f>G77&amp;", "&amp;O77&amp;", "&amp;N77</f>
        <v>Arandela, 3S-1349, CATERPILLAR</v>
      </c>
      <c r="D77" s="21" t="s">
        <v>20</v>
      </c>
      <c r="E77" s="21" t="s">
        <v>21</v>
      </c>
      <c r="F77" s="7" t="s">
        <v>22</v>
      </c>
      <c r="G77" s="7" t="s">
        <v>563</v>
      </c>
      <c r="J77" s="7" t="s">
        <v>28</v>
      </c>
      <c r="L77" s="44">
        <v>7.36</v>
      </c>
      <c r="M77" s="7" t="s">
        <v>23</v>
      </c>
      <c r="N77" s="7" t="s">
        <v>24</v>
      </c>
      <c r="O77" t="s">
        <v>560</v>
      </c>
    </row>
    <row r="78" spans="1:15" ht="14.25" customHeight="1" x14ac:dyDescent="0.3">
      <c r="A78" s="17" t="s">
        <v>1299</v>
      </c>
      <c r="C78" s="8" t="str">
        <f>G78&amp;", "&amp;O78&amp;", "&amp;N78</f>
        <v>Arandela, 8T-4223, CATERPILLAR</v>
      </c>
      <c r="D78" s="21" t="s">
        <v>20</v>
      </c>
      <c r="E78" s="21" t="s">
        <v>21</v>
      </c>
      <c r="F78" s="7" t="s">
        <v>22</v>
      </c>
      <c r="G78" s="7" t="s">
        <v>563</v>
      </c>
      <c r="J78" s="7" t="s">
        <v>28</v>
      </c>
      <c r="L78" s="44">
        <v>1.59</v>
      </c>
      <c r="M78" s="7" t="s">
        <v>23</v>
      </c>
      <c r="N78" s="7" t="s">
        <v>24</v>
      </c>
      <c r="O78" t="s">
        <v>565</v>
      </c>
    </row>
    <row r="79" spans="1:15" ht="14.25" customHeight="1" x14ac:dyDescent="0.3">
      <c r="A79" s="17" t="s">
        <v>1299</v>
      </c>
      <c r="C79" s="8" t="str">
        <f>G79&amp;", "&amp;O79&amp;", "&amp;N79</f>
        <v>Arandela de goma, 102-2244, CATERPILLAR</v>
      </c>
      <c r="D79" s="21" t="s">
        <v>20</v>
      </c>
      <c r="E79" s="21" t="s">
        <v>21</v>
      </c>
      <c r="F79" s="7" t="s">
        <v>22</v>
      </c>
      <c r="G79" s="7" t="s">
        <v>561</v>
      </c>
      <c r="J79" s="7" t="s">
        <v>28</v>
      </c>
      <c r="L79" s="44">
        <v>7.65</v>
      </c>
      <c r="M79" s="7" t="s">
        <v>23</v>
      </c>
      <c r="N79" s="7" t="s">
        <v>24</v>
      </c>
      <c r="O79" t="s">
        <v>564</v>
      </c>
    </row>
    <row r="80" spans="1:15" ht="14.25" customHeight="1" x14ac:dyDescent="0.3">
      <c r="A80" s="17" t="s">
        <v>1299</v>
      </c>
      <c r="C80" s="8" t="str">
        <f>G80&amp;", "&amp;O80&amp;", "&amp;N80</f>
        <v>Back Up, 2K-4096, CATERPILLAR</v>
      </c>
      <c r="D80" s="21" t="s">
        <v>20</v>
      </c>
      <c r="E80" s="21" t="s">
        <v>21</v>
      </c>
      <c r="F80" s="7" t="s">
        <v>22</v>
      </c>
      <c r="G80" s="7" t="s">
        <v>572</v>
      </c>
      <c r="J80" s="7" t="s">
        <v>28</v>
      </c>
      <c r="L80" s="44">
        <v>10.97</v>
      </c>
      <c r="M80" s="7" t="s">
        <v>23</v>
      </c>
      <c r="N80" s="7" t="s">
        <v>24</v>
      </c>
      <c r="O80" t="s">
        <v>569</v>
      </c>
    </row>
    <row r="81" spans="1:15" ht="14.25" customHeight="1" x14ac:dyDescent="0.3">
      <c r="A81" s="17" t="s">
        <v>1299</v>
      </c>
      <c r="C81" s="8" t="str">
        <f>G81&amp;", "&amp;O81&amp;", "&amp;N81</f>
        <v>Back Up, WA1456, KOMATSU</v>
      </c>
      <c r="D81" s="21" t="s">
        <v>20</v>
      </c>
      <c r="E81" s="21" t="s">
        <v>21</v>
      </c>
      <c r="F81" s="7" t="s">
        <v>22</v>
      </c>
      <c r="G81" s="7" t="s">
        <v>572</v>
      </c>
      <c r="J81" s="7" t="s">
        <v>28</v>
      </c>
      <c r="L81" s="44">
        <v>4.8499999999999996</v>
      </c>
      <c r="M81" s="7" t="s">
        <v>23</v>
      </c>
      <c r="N81" s="7" t="s">
        <v>30</v>
      </c>
      <c r="O81" t="s">
        <v>570</v>
      </c>
    </row>
    <row r="82" spans="1:15" ht="14.25" customHeight="1" x14ac:dyDescent="0.3">
      <c r="A82" s="17" t="s">
        <v>1299</v>
      </c>
      <c r="C82" s="8" t="str">
        <f>G82&amp;", "&amp;O82&amp;", "&amp;N82</f>
        <v>Rótula, 152-7554, KOMATSU</v>
      </c>
      <c r="D82" s="21" t="s">
        <v>20</v>
      </c>
      <c r="E82" s="21" t="s">
        <v>21</v>
      </c>
      <c r="F82" s="7" t="s">
        <v>22</v>
      </c>
      <c r="G82" s="7" t="s">
        <v>598</v>
      </c>
      <c r="J82" s="7" t="s">
        <v>28</v>
      </c>
      <c r="L82" s="44">
        <v>705</v>
      </c>
      <c r="M82" s="7" t="s">
        <v>23</v>
      </c>
      <c r="N82" s="7" t="s">
        <v>30</v>
      </c>
      <c r="O82" t="s">
        <v>575</v>
      </c>
    </row>
    <row r="83" spans="1:15" ht="14.25" customHeight="1" x14ac:dyDescent="0.3">
      <c r="A83" s="17" t="s">
        <v>1299</v>
      </c>
      <c r="C83" s="8" t="str">
        <f>G83&amp;", "&amp;O83&amp;", "&amp;N83</f>
        <v>Rótula, 172-2848, CATERPILLAR</v>
      </c>
      <c r="D83" s="21" t="s">
        <v>20</v>
      </c>
      <c r="E83" s="21" t="s">
        <v>21</v>
      </c>
      <c r="F83" s="7" t="s">
        <v>22</v>
      </c>
      <c r="G83" s="7" t="s">
        <v>598</v>
      </c>
      <c r="J83" s="7" t="s">
        <v>28</v>
      </c>
      <c r="L83" s="44">
        <v>1019.72</v>
      </c>
      <c r="M83" s="7" t="s">
        <v>23</v>
      </c>
      <c r="N83" s="7" t="s">
        <v>24</v>
      </c>
      <c r="O83" t="s">
        <v>576</v>
      </c>
    </row>
    <row r="84" spans="1:15" ht="14.25" customHeight="1" x14ac:dyDescent="0.3">
      <c r="A84" s="17" t="s">
        <v>1299</v>
      </c>
      <c r="C84" s="8" t="str">
        <f>G84&amp;", "&amp;O84&amp;", "&amp;N84</f>
        <v>Rótula, 188-8697, CATERPILLAR</v>
      </c>
      <c r="D84" s="21" t="s">
        <v>20</v>
      </c>
      <c r="E84" s="21" t="s">
        <v>21</v>
      </c>
      <c r="F84" s="7" t="s">
        <v>22</v>
      </c>
      <c r="G84" s="7" t="s">
        <v>598</v>
      </c>
      <c r="J84" s="7" t="s">
        <v>28</v>
      </c>
      <c r="L84" s="44">
        <v>985</v>
      </c>
      <c r="M84" s="7" t="s">
        <v>23</v>
      </c>
      <c r="N84" s="7" t="s">
        <v>24</v>
      </c>
      <c r="O84" t="s">
        <v>577</v>
      </c>
    </row>
    <row r="85" spans="1:15" ht="14.25" customHeight="1" x14ac:dyDescent="0.3">
      <c r="A85" s="17" t="s">
        <v>1299</v>
      </c>
      <c r="C85" s="8" t="str">
        <f>G85&amp;", "&amp;O85&amp;", "&amp;N85</f>
        <v>Rótula, 191-4427, CATERPILLAR</v>
      </c>
      <c r="D85" s="21" t="s">
        <v>20</v>
      </c>
      <c r="E85" s="21" t="s">
        <v>21</v>
      </c>
      <c r="F85" s="7" t="s">
        <v>22</v>
      </c>
      <c r="G85" s="7" t="s">
        <v>598</v>
      </c>
      <c r="J85" s="7" t="s">
        <v>28</v>
      </c>
      <c r="L85" s="44">
        <v>2900</v>
      </c>
      <c r="M85" s="7" t="s">
        <v>23</v>
      </c>
      <c r="N85" s="7" t="s">
        <v>24</v>
      </c>
      <c r="O85" t="s">
        <v>578</v>
      </c>
    </row>
    <row r="86" spans="1:15" ht="14.25" customHeight="1" x14ac:dyDescent="0.3">
      <c r="A86" s="17" t="s">
        <v>1299</v>
      </c>
      <c r="C86" s="8" t="str">
        <f>G86&amp;", "&amp;O86&amp;", "&amp;N86</f>
        <v>Rótula, 195-71-51254, KOMATSU</v>
      </c>
      <c r="D86" s="21" t="s">
        <v>20</v>
      </c>
      <c r="E86" s="21" t="s">
        <v>21</v>
      </c>
      <c r="F86" s="7" t="s">
        <v>22</v>
      </c>
      <c r="G86" s="7" t="s">
        <v>598</v>
      </c>
      <c r="J86" s="7" t="s">
        <v>28</v>
      </c>
      <c r="L86" s="44">
        <v>860</v>
      </c>
      <c r="M86" s="7" t="s">
        <v>23</v>
      </c>
      <c r="N86" s="7" t="s">
        <v>30</v>
      </c>
      <c r="O86" t="s">
        <v>579</v>
      </c>
    </row>
    <row r="87" spans="1:15" ht="14.25" customHeight="1" x14ac:dyDescent="0.3">
      <c r="A87" s="17" t="s">
        <v>1299</v>
      </c>
      <c r="C87" s="8" t="str">
        <f>G87&amp;", "&amp;O87&amp;", "&amp;N87</f>
        <v>Rótula, 343-7794, CATERPILLAR</v>
      </c>
      <c r="D87" s="21" t="s">
        <v>20</v>
      </c>
      <c r="E87" s="21" t="s">
        <v>21</v>
      </c>
      <c r="F87" s="7" t="s">
        <v>22</v>
      </c>
      <c r="G87" s="7" t="s">
        <v>598</v>
      </c>
      <c r="J87" s="7" t="s">
        <v>28</v>
      </c>
      <c r="L87" s="44">
        <v>540</v>
      </c>
      <c r="M87" s="7" t="s">
        <v>23</v>
      </c>
      <c r="N87" s="7" t="s">
        <v>24</v>
      </c>
      <c r="O87" t="s">
        <v>580</v>
      </c>
    </row>
    <row r="88" spans="1:15" ht="14.25" customHeight="1" x14ac:dyDescent="0.3">
      <c r="A88" s="17" t="s">
        <v>1299</v>
      </c>
      <c r="C88" s="8" t="str">
        <f>G88&amp;", "&amp;O88&amp;", "&amp;N88</f>
        <v>Rótula, 4T-1684, CATERPILLAR</v>
      </c>
      <c r="D88" s="21" t="s">
        <v>20</v>
      </c>
      <c r="E88" s="21" t="s">
        <v>21</v>
      </c>
      <c r="F88" s="7" t="s">
        <v>22</v>
      </c>
      <c r="G88" s="7" t="s">
        <v>598</v>
      </c>
      <c r="J88" s="7" t="s">
        <v>28</v>
      </c>
      <c r="L88" s="44">
        <v>656.22</v>
      </c>
      <c r="M88" s="7" t="s">
        <v>23</v>
      </c>
      <c r="N88" s="7" t="s">
        <v>24</v>
      </c>
      <c r="O88" t="s">
        <v>581</v>
      </c>
    </row>
    <row r="89" spans="1:15" ht="14.25" customHeight="1" x14ac:dyDescent="0.3">
      <c r="A89" s="17" t="s">
        <v>1299</v>
      </c>
      <c r="C89" s="8" t="str">
        <f>G89&amp;", "&amp;O89&amp;", "&amp;N89</f>
        <v>Rótula, 581-63-22691, KOMATSU</v>
      </c>
      <c r="D89" s="21" t="s">
        <v>20</v>
      </c>
      <c r="E89" s="21" t="s">
        <v>21</v>
      </c>
      <c r="F89" s="7" t="s">
        <v>22</v>
      </c>
      <c r="G89" s="7" t="s">
        <v>598</v>
      </c>
      <c r="J89" s="7" t="s">
        <v>28</v>
      </c>
      <c r="L89" s="44" t="s">
        <v>19</v>
      </c>
      <c r="M89" s="7" t="s">
        <v>23</v>
      </c>
      <c r="N89" s="7" t="s">
        <v>30</v>
      </c>
      <c r="O89" t="s">
        <v>582</v>
      </c>
    </row>
    <row r="90" spans="1:15" ht="14.25" customHeight="1" x14ac:dyDescent="0.3">
      <c r="A90" s="17" t="s">
        <v>1299</v>
      </c>
      <c r="C90" s="8" t="str">
        <f>G90&amp;", "&amp;O90&amp;", "&amp;N90</f>
        <v>Rótula, 58B-32-00910, KOMATSU</v>
      </c>
      <c r="D90" s="21" t="s">
        <v>20</v>
      </c>
      <c r="E90" s="21" t="s">
        <v>21</v>
      </c>
      <c r="F90" s="7" t="s">
        <v>22</v>
      </c>
      <c r="G90" s="7" t="s">
        <v>598</v>
      </c>
      <c r="J90" s="7" t="s">
        <v>28</v>
      </c>
      <c r="L90" s="44">
        <v>800</v>
      </c>
      <c r="M90" s="7" t="s">
        <v>23</v>
      </c>
      <c r="N90" s="7" t="s">
        <v>30</v>
      </c>
      <c r="O90" t="s">
        <v>583</v>
      </c>
    </row>
    <row r="91" spans="1:15" ht="14.25" customHeight="1" x14ac:dyDescent="0.3">
      <c r="A91" s="17" t="s">
        <v>1299</v>
      </c>
      <c r="C91" s="8" t="str">
        <f>G91&amp;", "&amp;O91&amp;", "&amp;N91</f>
        <v>Rótula, 58B-50-00590, KOMATSU</v>
      </c>
      <c r="D91" s="21" t="s">
        <v>20</v>
      </c>
      <c r="E91" s="21" t="s">
        <v>21</v>
      </c>
      <c r="F91" s="7" t="s">
        <v>22</v>
      </c>
      <c r="G91" s="7" t="s">
        <v>598</v>
      </c>
      <c r="J91" s="7" t="s">
        <v>28</v>
      </c>
      <c r="L91" s="44">
        <v>4200</v>
      </c>
      <c r="M91" s="7" t="s">
        <v>23</v>
      </c>
      <c r="N91" s="7" t="s">
        <v>30</v>
      </c>
      <c r="O91" t="s">
        <v>584</v>
      </c>
    </row>
    <row r="92" spans="1:15" ht="14.25" customHeight="1" x14ac:dyDescent="0.3">
      <c r="A92" s="17" t="s">
        <v>1299</v>
      </c>
      <c r="C92" s="8" t="str">
        <f>G92&amp;", "&amp;O92&amp;", "&amp;N92</f>
        <v>Rótula, 5J-1446, CATERPILLAR</v>
      </c>
      <c r="D92" s="21" t="s">
        <v>20</v>
      </c>
      <c r="E92" s="21" t="s">
        <v>21</v>
      </c>
      <c r="F92" s="7" t="s">
        <v>22</v>
      </c>
      <c r="G92" s="7" t="s">
        <v>598</v>
      </c>
      <c r="J92" s="7" t="s">
        <v>28</v>
      </c>
      <c r="L92" s="44">
        <v>247.63</v>
      </c>
      <c r="M92" s="7" t="s">
        <v>23</v>
      </c>
      <c r="N92" s="7" t="s">
        <v>24</v>
      </c>
      <c r="O92" t="s">
        <v>585</v>
      </c>
    </row>
    <row r="93" spans="1:15" ht="14.25" customHeight="1" x14ac:dyDescent="0.3">
      <c r="A93" s="17" t="s">
        <v>1299</v>
      </c>
      <c r="C93" s="8" t="str">
        <f>G93&amp;", "&amp;O93&amp;", "&amp;N93</f>
        <v>Rótula, 6Y-9379, CATERPILLAR</v>
      </c>
      <c r="D93" s="21" t="s">
        <v>20</v>
      </c>
      <c r="E93" s="21" t="s">
        <v>21</v>
      </c>
      <c r="F93" s="7" t="s">
        <v>22</v>
      </c>
      <c r="G93" s="7" t="s">
        <v>598</v>
      </c>
      <c r="J93" s="7" t="s">
        <v>28</v>
      </c>
      <c r="L93" s="44">
        <v>385</v>
      </c>
      <c r="M93" s="7" t="s">
        <v>23</v>
      </c>
      <c r="N93" s="7" t="s">
        <v>24</v>
      </c>
      <c r="O93" t="s">
        <v>586</v>
      </c>
    </row>
    <row r="94" spans="1:15" ht="14.25" customHeight="1" x14ac:dyDescent="0.3">
      <c r="A94" s="17" t="s">
        <v>1299</v>
      </c>
      <c r="C94" s="8" t="str">
        <f>G94&amp;", "&amp;O94&amp;", "&amp;N94</f>
        <v>Rótula, 6Y-9380, CATERPILLAR</v>
      </c>
      <c r="D94" s="21" t="s">
        <v>20</v>
      </c>
      <c r="E94" s="21" t="s">
        <v>21</v>
      </c>
      <c r="F94" s="7" t="s">
        <v>22</v>
      </c>
      <c r="G94" s="7" t="s">
        <v>598</v>
      </c>
      <c r="J94" s="7" t="s">
        <v>28</v>
      </c>
      <c r="L94" s="44">
        <v>785</v>
      </c>
      <c r="M94" s="7" t="s">
        <v>23</v>
      </c>
      <c r="N94" s="7" t="s">
        <v>24</v>
      </c>
      <c r="O94" t="s">
        <v>587</v>
      </c>
    </row>
    <row r="95" spans="1:15" ht="14.25" customHeight="1" x14ac:dyDescent="0.3">
      <c r="A95" s="17" t="s">
        <v>1299</v>
      </c>
      <c r="C95" s="8" t="str">
        <f>G95&amp;", "&amp;O95&amp;", "&amp;N95</f>
        <v>Rótula, 707-46-14010, KOMATSU</v>
      </c>
      <c r="D95" s="21" t="s">
        <v>20</v>
      </c>
      <c r="E95" s="21" t="s">
        <v>21</v>
      </c>
      <c r="F95" s="7" t="s">
        <v>22</v>
      </c>
      <c r="G95" s="7" t="s">
        <v>598</v>
      </c>
      <c r="J95" s="7" t="s">
        <v>28</v>
      </c>
      <c r="L95" s="44" t="s">
        <v>19</v>
      </c>
      <c r="M95" s="7" t="s">
        <v>23</v>
      </c>
      <c r="N95" s="7" t="s">
        <v>30</v>
      </c>
      <c r="O95" t="s">
        <v>588</v>
      </c>
    </row>
    <row r="96" spans="1:15" ht="14.25" customHeight="1" x14ac:dyDescent="0.3">
      <c r="A96" s="17" t="s">
        <v>1299</v>
      </c>
      <c r="C96" s="8" t="str">
        <f>G96&amp;", "&amp;O96&amp;", "&amp;N96</f>
        <v>Rótula, 7J-1309, CATERPILLAR</v>
      </c>
      <c r="D96" s="21" t="s">
        <v>20</v>
      </c>
      <c r="E96" s="21" t="s">
        <v>21</v>
      </c>
      <c r="F96" s="7" t="s">
        <v>22</v>
      </c>
      <c r="G96" s="7" t="s">
        <v>598</v>
      </c>
      <c r="J96" s="7" t="s">
        <v>28</v>
      </c>
      <c r="L96" s="44">
        <v>314.35000000000002</v>
      </c>
      <c r="M96" s="7" t="s">
        <v>23</v>
      </c>
      <c r="N96" s="7" t="s">
        <v>24</v>
      </c>
      <c r="O96" t="s">
        <v>589</v>
      </c>
    </row>
    <row r="97" spans="1:15" ht="14.25" customHeight="1" x14ac:dyDescent="0.3">
      <c r="A97" s="17" t="s">
        <v>1299</v>
      </c>
      <c r="C97" s="8" t="str">
        <f>G97&amp;", "&amp;O97&amp;", "&amp;N97</f>
        <v>Rótula, 7J-3297, CATERPILLAR</v>
      </c>
      <c r="D97" s="21" t="s">
        <v>20</v>
      </c>
      <c r="E97" s="21" t="s">
        <v>21</v>
      </c>
      <c r="F97" s="7" t="s">
        <v>22</v>
      </c>
      <c r="G97" s="7" t="s">
        <v>598</v>
      </c>
      <c r="J97" s="7" t="s">
        <v>28</v>
      </c>
      <c r="L97" s="44">
        <v>258</v>
      </c>
      <c r="M97" s="7" t="s">
        <v>23</v>
      </c>
      <c r="N97" s="7" t="s">
        <v>24</v>
      </c>
      <c r="O97" t="s">
        <v>590</v>
      </c>
    </row>
    <row r="98" spans="1:15" ht="14.25" customHeight="1" x14ac:dyDescent="0.3">
      <c r="A98" s="17" t="s">
        <v>1299</v>
      </c>
      <c r="C98" s="8" t="str">
        <f>G98&amp;", "&amp;O98&amp;", "&amp;N98</f>
        <v>Rótula, 9M-1328, CATERPILLAR</v>
      </c>
      <c r="D98" s="21" t="s">
        <v>20</v>
      </c>
      <c r="E98" s="21" t="s">
        <v>21</v>
      </c>
      <c r="F98" s="7" t="s">
        <v>22</v>
      </c>
      <c r="G98" s="7" t="s">
        <v>598</v>
      </c>
      <c r="J98" s="7" t="s">
        <v>28</v>
      </c>
      <c r="L98" s="44">
        <v>194.47</v>
      </c>
      <c r="M98" s="7" t="s">
        <v>23</v>
      </c>
      <c r="N98" s="7" t="s">
        <v>24</v>
      </c>
      <c r="O98" t="s">
        <v>591</v>
      </c>
    </row>
    <row r="99" spans="1:15" ht="14.25" customHeight="1" x14ac:dyDescent="0.3">
      <c r="A99" s="17" t="s">
        <v>1299</v>
      </c>
      <c r="C99" s="8" t="str">
        <f>G99&amp;", "&amp;O99&amp;", "&amp;N99</f>
        <v>Rótula, GEZ 208ES- 2RS, ALTERNATIVO</v>
      </c>
      <c r="D99" s="21" t="s">
        <v>20</v>
      </c>
      <c r="E99" s="21" t="s">
        <v>21</v>
      </c>
      <c r="F99" s="7" t="s">
        <v>22</v>
      </c>
      <c r="G99" s="7" t="s">
        <v>598</v>
      </c>
      <c r="J99" s="7" t="s">
        <v>28</v>
      </c>
      <c r="L99" s="44">
        <v>109.3</v>
      </c>
      <c r="M99" s="7" t="s">
        <v>23</v>
      </c>
      <c r="N99" s="7" t="s">
        <v>49</v>
      </c>
      <c r="O99" t="s">
        <v>592</v>
      </c>
    </row>
    <row r="100" spans="1:15" ht="14.25" customHeight="1" x14ac:dyDescent="0.3">
      <c r="A100" s="17" t="s">
        <v>1299</v>
      </c>
      <c r="C100" s="8" t="str">
        <f>G100&amp;", "&amp;O100&amp;", "&amp;N100</f>
        <v>Rótula, PB8931, KOMATSU</v>
      </c>
      <c r="D100" s="21" t="s">
        <v>20</v>
      </c>
      <c r="E100" s="21" t="s">
        <v>21</v>
      </c>
      <c r="F100" s="7" t="s">
        <v>22</v>
      </c>
      <c r="G100" s="7" t="s">
        <v>598</v>
      </c>
      <c r="J100" s="7" t="s">
        <v>28</v>
      </c>
      <c r="L100" s="44">
        <v>800</v>
      </c>
      <c r="M100" s="7" t="s">
        <v>23</v>
      </c>
      <c r="N100" s="7" t="s">
        <v>30</v>
      </c>
      <c r="O100" t="s">
        <v>593</v>
      </c>
    </row>
    <row r="101" spans="1:15" ht="14.25" customHeight="1" x14ac:dyDescent="0.3">
      <c r="A101" s="17" t="s">
        <v>1299</v>
      </c>
      <c r="C101" s="8" t="str">
        <f>G101&amp;", "&amp;O101&amp;", "&amp;N101</f>
        <v>Rótula, PC0824, KOMATSU</v>
      </c>
      <c r="D101" s="21" t="s">
        <v>20</v>
      </c>
      <c r="E101" s="21" t="s">
        <v>21</v>
      </c>
      <c r="F101" s="7" t="s">
        <v>22</v>
      </c>
      <c r="G101" s="7" t="s">
        <v>598</v>
      </c>
      <c r="J101" s="7" t="s">
        <v>28</v>
      </c>
      <c r="L101" s="44">
        <v>1000</v>
      </c>
      <c r="M101" s="7" t="s">
        <v>23</v>
      </c>
      <c r="N101" s="7" t="s">
        <v>30</v>
      </c>
      <c r="O101" t="s">
        <v>35</v>
      </c>
    </row>
    <row r="102" spans="1:15" ht="14.25" customHeight="1" x14ac:dyDescent="0.3">
      <c r="A102" s="17" t="s">
        <v>1299</v>
      </c>
      <c r="C102" s="8" t="str">
        <f>G102&amp;", "&amp;O102&amp;", "&amp;N102</f>
        <v>Rótula, PC1682, KOMATSU</v>
      </c>
      <c r="D102" s="21" t="s">
        <v>20</v>
      </c>
      <c r="E102" s="21" t="s">
        <v>21</v>
      </c>
      <c r="F102" s="7" t="s">
        <v>22</v>
      </c>
      <c r="G102" s="7" t="s">
        <v>598</v>
      </c>
      <c r="J102" s="7" t="s">
        <v>28</v>
      </c>
      <c r="L102" s="44" t="s">
        <v>19</v>
      </c>
      <c r="M102" s="7" t="s">
        <v>23</v>
      </c>
      <c r="N102" s="7" t="s">
        <v>30</v>
      </c>
      <c r="O102" t="s">
        <v>594</v>
      </c>
    </row>
    <row r="103" spans="1:15" ht="14.25" customHeight="1" x14ac:dyDescent="0.3">
      <c r="A103" s="17" t="s">
        <v>1299</v>
      </c>
      <c r="C103" s="8" t="str">
        <f>G103&amp;", "&amp;O103&amp;", "&amp;N103</f>
        <v>Rótula, PC1686, KOMATSU</v>
      </c>
      <c r="D103" s="21" t="s">
        <v>20</v>
      </c>
      <c r="E103" s="21" t="s">
        <v>21</v>
      </c>
      <c r="F103" s="7" t="s">
        <v>22</v>
      </c>
      <c r="G103" s="7" t="s">
        <v>598</v>
      </c>
      <c r="J103" s="7" t="s">
        <v>28</v>
      </c>
      <c r="L103" s="44">
        <v>245</v>
      </c>
      <c r="M103" s="7" t="s">
        <v>23</v>
      </c>
      <c r="N103" s="7" t="s">
        <v>30</v>
      </c>
      <c r="O103" t="s">
        <v>32</v>
      </c>
    </row>
    <row r="104" spans="1:15" ht="14.25" customHeight="1" x14ac:dyDescent="0.3">
      <c r="A104" s="17" t="s">
        <v>1299</v>
      </c>
      <c r="C104" s="8" t="str">
        <f>G104&amp;", "&amp;O104&amp;", "&amp;N104</f>
        <v>Rótula, PC2053, KOMATSU</v>
      </c>
      <c r="D104" s="21" t="s">
        <v>20</v>
      </c>
      <c r="E104" s="21" t="s">
        <v>21</v>
      </c>
      <c r="F104" s="7" t="s">
        <v>22</v>
      </c>
      <c r="G104" s="7" t="s">
        <v>598</v>
      </c>
      <c r="J104" s="7" t="s">
        <v>28</v>
      </c>
      <c r="L104" s="44">
        <v>1101.9000000000001</v>
      </c>
      <c r="M104" s="7" t="s">
        <v>23</v>
      </c>
      <c r="N104" s="7" t="s">
        <v>30</v>
      </c>
      <c r="O104" t="s">
        <v>595</v>
      </c>
    </row>
    <row r="105" spans="1:15" ht="14.25" customHeight="1" x14ac:dyDescent="0.3">
      <c r="A105" s="17" t="s">
        <v>1299</v>
      </c>
      <c r="C105" s="8" t="str">
        <f>G105&amp;", "&amp;O105&amp;", "&amp;N105</f>
        <v>Rótula, VL0094, KOMATSU</v>
      </c>
      <c r="D105" s="21" t="s">
        <v>20</v>
      </c>
      <c r="E105" s="21" t="s">
        <v>21</v>
      </c>
      <c r="F105" s="7" t="s">
        <v>22</v>
      </c>
      <c r="G105" s="7" t="s">
        <v>598</v>
      </c>
      <c r="J105" s="7" t="s">
        <v>28</v>
      </c>
      <c r="L105" s="44" t="s">
        <v>19</v>
      </c>
      <c r="M105" s="7" t="s">
        <v>23</v>
      </c>
      <c r="N105" s="7" t="s">
        <v>30</v>
      </c>
      <c r="O105" t="s">
        <v>596</v>
      </c>
    </row>
    <row r="106" spans="1:15" ht="14.25" customHeight="1" x14ac:dyDescent="0.3">
      <c r="A106" s="17" t="s">
        <v>1299</v>
      </c>
      <c r="C106" s="8" t="str">
        <f>G106&amp;", "&amp;O106&amp;", "&amp;N106</f>
        <v>Rótula, VL4293, KOMATSU</v>
      </c>
      <c r="D106" s="21" t="s">
        <v>20</v>
      </c>
      <c r="E106" s="21" t="s">
        <v>21</v>
      </c>
      <c r="F106" s="7" t="s">
        <v>22</v>
      </c>
      <c r="G106" s="7" t="s">
        <v>598</v>
      </c>
      <c r="J106" s="7" t="s">
        <v>28</v>
      </c>
      <c r="L106" s="44">
        <v>386</v>
      </c>
      <c r="M106" s="7" t="s">
        <v>23</v>
      </c>
      <c r="N106" s="7" t="s">
        <v>30</v>
      </c>
      <c r="O106" t="s">
        <v>597</v>
      </c>
    </row>
    <row r="107" spans="1:15" ht="14.25" customHeight="1" x14ac:dyDescent="0.3">
      <c r="A107" s="17" t="s">
        <v>1299</v>
      </c>
      <c r="C107" s="8" t="str">
        <f>G107&amp;", "&amp;O107&amp;", "&amp;N107</f>
        <v>Rótula, 150-1890, CATERPILLAR</v>
      </c>
      <c r="D107" s="21" t="s">
        <v>20</v>
      </c>
      <c r="E107" s="21" t="s">
        <v>21</v>
      </c>
      <c r="F107" s="7" t="s">
        <v>22</v>
      </c>
      <c r="G107" s="7" t="s">
        <v>598</v>
      </c>
      <c r="J107" s="7" t="s">
        <v>28</v>
      </c>
      <c r="L107" s="44">
        <v>950</v>
      </c>
      <c r="M107" s="7" t="s">
        <v>23</v>
      </c>
      <c r="N107" s="7" t="s">
        <v>24</v>
      </c>
      <c r="O107" t="s">
        <v>599</v>
      </c>
    </row>
    <row r="108" spans="1:15" ht="14.25" customHeight="1" x14ac:dyDescent="0.3">
      <c r="A108" s="17" t="s">
        <v>1299</v>
      </c>
      <c r="C108" s="8" t="str">
        <f>G108&amp;", "&amp;O108&amp;", "&amp;N108</f>
        <v>Rótula, 150-1889, CATERPILLAR</v>
      </c>
      <c r="D108" s="21" t="s">
        <v>20</v>
      </c>
      <c r="E108" s="21" t="s">
        <v>21</v>
      </c>
      <c r="F108" s="7" t="s">
        <v>22</v>
      </c>
      <c r="G108" s="7" t="s">
        <v>598</v>
      </c>
      <c r="J108" s="7" t="s">
        <v>28</v>
      </c>
      <c r="L108" s="44">
        <v>2900</v>
      </c>
      <c r="M108" s="7" t="s">
        <v>23</v>
      </c>
      <c r="N108" s="7" t="s">
        <v>24</v>
      </c>
      <c r="O108" t="s">
        <v>600</v>
      </c>
    </row>
    <row r="109" spans="1:15" ht="14.25" customHeight="1" x14ac:dyDescent="0.3">
      <c r="A109" s="17" t="s">
        <v>1299</v>
      </c>
      <c r="C109" s="8" t="str">
        <f>G109&amp;", "&amp;O109&amp;", "&amp;N109</f>
        <v>Rótula, 364-8484, CATERPILLAR</v>
      </c>
      <c r="D109" s="21" t="s">
        <v>20</v>
      </c>
      <c r="E109" s="21" t="s">
        <v>21</v>
      </c>
      <c r="F109" s="7" t="s">
        <v>22</v>
      </c>
      <c r="G109" s="7" t="s">
        <v>598</v>
      </c>
      <c r="J109" s="7" t="s">
        <v>28</v>
      </c>
      <c r="L109" s="44">
        <v>273.56</v>
      </c>
      <c r="M109" s="7" t="s">
        <v>23</v>
      </c>
      <c r="N109" s="7" t="s">
        <v>24</v>
      </c>
      <c r="O109" t="s">
        <v>601</v>
      </c>
    </row>
    <row r="110" spans="1:15" ht="14.25" customHeight="1" x14ac:dyDescent="0.3">
      <c r="A110" s="17" t="s">
        <v>1299</v>
      </c>
      <c r="C110" s="8" t="str">
        <f>G110&amp;", "&amp;O110&amp;", "&amp;N110</f>
        <v>Billa, 04260-00635, KOMATSU</v>
      </c>
      <c r="D110" s="21" t="s">
        <v>20</v>
      </c>
      <c r="E110" s="21" t="s">
        <v>21</v>
      </c>
      <c r="F110" s="7" t="s">
        <v>22</v>
      </c>
      <c r="G110" s="7" t="s">
        <v>611</v>
      </c>
      <c r="J110" s="7" t="s">
        <v>28</v>
      </c>
      <c r="L110" s="44">
        <v>1.2</v>
      </c>
      <c r="M110" s="7" t="s">
        <v>23</v>
      </c>
      <c r="N110" s="7" t="s">
        <v>30</v>
      </c>
      <c r="O110" t="s">
        <v>606</v>
      </c>
    </row>
    <row r="111" spans="1:15" ht="14.25" customHeight="1" x14ac:dyDescent="0.3">
      <c r="A111" s="17" t="s">
        <v>1299</v>
      </c>
      <c r="C111" s="8" t="str">
        <f>G111&amp;", "&amp;O111&amp;", "&amp;N111</f>
        <v>Billa, 04260-01270, KOMATSU</v>
      </c>
      <c r="D111" s="21" t="s">
        <v>20</v>
      </c>
      <c r="E111" s="21" t="s">
        <v>21</v>
      </c>
      <c r="F111" s="7" t="s">
        <v>22</v>
      </c>
      <c r="G111" s="7" t="s">
        <v>611</v>
      </c>
      <c r="J111" s="7" t="s">
        <v>28</v>
      </c>
      <c r="L111" s="44">
        <v>0.75</v>
      </c>
      <c r="M111" s="7" t="s">
        <v>23</v>
      </c>
      <c r="N111" s="7" t="s">
        <v>30</v>
      </c>
      <c r="O111" t="s">
        <v>574</v>
      </c>
    </row>
    <row r="112" spans="1:15" ht="14.25" customHeight="1" x14ac:dyDescent="0.3">
      <c r="A112" s="17" t="s">
        <v>1299</v>
      </c>
      <c r="C112" s="8" t="str">
        <f>G112&amp;", "&amp;O112&amp;", "&amp;N112</f>
        <v>Billa, 382-5762, CATERPILLAR</v>
      </c>
      <c r="D112" s="21" t="s">
        <v>20</v>
      </c>
      <c r="E112" s="21" t="s">
        <v>21</v>
      </c>
      <c r="F112" s="7" t="s">
        <v>22</v>
      </c>
      <c r="G112" s="7" t="s">
        <v>611</v>
      </c>
      <c r="J112" s="7" t="s">
        <v>28</v>
      </c>
      <c r="L112" s="44">
        <v>0.56999999999999995</v>
      </c>
      <c r="M112" s="7" t="s">
        <v>23</v>
      </c>
      <c r="N112" s="7" t="s">
        <v>24</v>
      </c>
      <c r="O112" t="s">
        <v>607</v>
      </c>
    </row>
    <row r="113" spans="1:15" ht="14.25" customHeight="1" x14ac:dyDescent="0.3">
      <c r="A113" s="17" t="s">
        <v>1299</v>
      </c>
      <c r="C113" s="8" t="str">
        <f>G113&amp;", "&amp;O113&amp;", "&amp;N113</f>
        <v>Billa, 4B-9786, CATERPILLAR</v>
      </c>
      <c r="D113" s="21" t="s">
        <v>20</v>
      </c>
      <c r="E113" s="21" t="s">
        <v>21</v>
      </c>
      <c r="F113" s="7" t="s">
        <v>22</v>
      </c>
      <c r="G113" s="7" t="s">
        <v>611</v>
      </c>
      <c r="J113" s="7" t="s">
        <v>28</v>
      </c>
      <c r="L113" s="44">
        <v>0.89</v>
      </c>
      <c r="M113" s="7" t="s">
        <v>23</v>
      </c>
      <c r="N113" s="7" t="s">
        <v>24</v>
      </c>
      <c r="O113" t="s">
        <v>608</v>
      </c>
    </row>
    <row r="114" spans="1:15" ht="14.25" customHeight="1" x14ac:dyDescent="0.3">
      <c r="A114" s="17" t="s">
        <v>1299</v>
      </c>
      <c r="C114" s="8" t="str">
        <f>G114&amp;", "&amp;O114&amp;", "&amp;N114</f>
        <v>Billa, H2981, KOMATSU</v>
      </c>
      <c r="D114" s="21" t="s">
        <v>20</v>
      </c>
      <c r="E114" s="21" t="s">
        <v>21</v>
      </c>
      <c r="F114" s="7" t="s">
        <v>22</v>
      </c>
      <c r="G114" s="7" t="s">
        <v>611</v>
      </c>
      <c r="J114" s="7" t="s">
        <v>28</v>
      </c>
      <c r="L114" s="44">
        <v>1.9</v>
      </c>
      <c r="M114" s="7" t="s">
        <v>23</v>
      </c>
      <c r="N114" s="7" t="s">
        <v>30</v>
      </c>
      <c r="O114" t="s">
        <v>609</v>
      </c>
    </row>
    <row r="115" spans="1:15" ht="14.25" customHeight="1" x14ac:dyDescent="0.3">
      <c r="A115" s="17" t="s">
        <v>1299</v>
      </c>
      <c r="C115" s="8" t="str">
        <f>G115&amp;", "&amp;O115&amp;", "&amp;N115</f>
        <v>Anillo metálico, 21T-72-15860, KOMATSU</v>
      </c>
      <c r="D115" s="21" t="s">
        <v>20</v>
      </c>
      <c r="E115" s="21" t="s">
        <v>21</v>
      </c>
      <c r="F115" s="7" t="s">
        <v>22</v>
      </c>
      <c r="G115" s="7" t="s">
        <v>614</v>
      </c>
      <c r="J115" s="7" t="s">
        <v>28</v>
      </c>
      <c r="L115" s="44">
        <v>130</v>
      </c>
      <c r="M115" s="7" t="s">
        <v>23</v>
      </c>
      <c r="N115" s="7" t="s">
        <v>30</v>
      </c>
      <c r="O115" t="s">
        <v>551</v>
      </c>
    </row>
    <row r="116" spans="1:15" ht="14.25" customHeight="1" x14ac:dyDescent="0.3">
      <c r="A116" s="17" t="s">
        <v>1299</v>
      </c>
      <c r="C116" s="8" t="str">
        <f>G116&amp;", "&amp;O116&amp;", "&amp;N116</f>
        <v>Anillo metálico, 707-46-16040, KOMATSU</v>
      </c>
      <c r="D116" s="21" t="s">
        <v>20</v>
      </c>
      <c r="E116" s="21" t="s">
        <v>21</v>
      </c>
      <c r="F116" s="7" t="s">
        <v>22</v>
      </c>
      <c r="G116" s="7" t="s">
        <v>614</v>
      </c>
      <c r="J116" s="7" t="s">
        <v>28</v>
      </c>
      <c r="L116" s="44">
        <v>675.5</v>
      </c>
      <c r="M116" s="7" t="s">
        <v>23</v>
      </c>
      <c r="N116" s="7" t="s">
        <v>30</v>
      </c>
      <c r="O116" t="s">
        <v>616</v>
      </c>
    </row>
    <row r="117" spans="1:15" ht="14.25" customHeight="1" x14ac:dyDescent="0.3">
      <c r="A117" s="17" t="s">
        <v>1299</v>
      </c>
      <c r="C117" s="8" t="str">
        <f>G117&amp;", "&amp;O117&amp;", "&amp;N117</f>
        <v>Buffer, 167-2184, CATERPILLAR</v>
      </c>
      <c r="D117" s="21" t="s">
        <v>20</v>
      </c>
      <c r="E117" s="21" t="s">
        <v>21</v>
      </c>
      <c r="F117" s="7" t="s">
        <v>22</v>
      </c>
      <c r="G117" s="7" t="s">
        <v>626</v>
      </c>
      <c r="J117" s="7" t="s">
        <v>28</v>
      </c>
      <c r="L117" s="44">
        <v>54.69</v>
      </c>
      <c r="M117" s="7" t="s">
        <v>23</v>
      </c>
      <c r="N117" s="7" t="s">
        <v>24</v>
      </c>
      <c r="O117" t="s">
        <v>617</v>
      </c>
    </row>
    <row r="118" spans="1:15" ht="14.25" customHeight="1" x14ac:dyDescent="0.3">
      <c r="A118" s="17" t="s">
        <v>1299</v>
      </c>
      <c r="C118" s="8" t="str">
        <f>G118&amp;", "&amp;O118&amp;", "&amp;N118</f>
        <v>Buffer, 167-2209, CATERPILLAR</v>
      </c>
      <c r="D118" s="21" t="s">
        <v>20</v>
      </c>
      <c r="E118" s="21" t="s">
        <v>21</v>
      </c>
      <c r="F118" s="7" t="s">
        <v>22</v>
      </c>
      <c r="G118" s="7" t="s">
        <v>626</v>
      </c>
      <c r="J118" s="7" t="s">
        <v>28</v>
      </c>
      <c r="L118" s="44">
        <v>18</v>
      </c>
      <c r="M118" s="7" t="s">
        <v>23</v>
      </c>
      <c r="N118" s="7" t="s">
        <v>24</v>
      </c>
      <c r="O118" t="s">
        <v>618</v>
      </c>
    </row>
    <row r="119" spans="1:15" ht="14.25" customHeight="1" x14ac:dyDescent="0.3">
      <c r="A119" s="17" t="s">
        <v>1299</v>
      </c>
      <c r="C119" s="8" t="str">
        <f>G119&amp;", "&amp;O119&amp;", "&amp;N119</f>
        <v>Buffer, 167-2222, CATERPILLAR</v>
      </c>
      <c r="D119" s="21" t="s">
        <v>20</v>
      </c>
      <c r="E119" s="21" t="s">
        <v>21</v>
      </c>
      <c r="F119" s="7" t="s">
        <v>22</v>
      </c>
      <c r="G119" s="7" t="s">
        <v>626</v>
      </c>
      <c r="J119" s="7" t="s">
        <v>28</v>
      </c>
      <c r="L119" s="44">
        <v>138.54</v>
      </c>
      <c r="M119" s="7" t="s">
        <v>23</v>
      </c>
      <c r="N119" s="7" t="s">
        <v>24</v>
      </c>
      <c r="O119" t="s">
        <v>619</v>
      </c>
    </row>
    <row r="120" spans="1:15" ht="14.25" customHeight="1" x14ac:dyDescent="0.3">
      <c r="A120" s="17" t="s">
        <v>1299</v>
      </c>
      <c r="C120" s="8" t="str">
        <f>G120&amp;", "&amp;O120&amp;", "&amp;N120</f>
        <v>Buffer, 289-2937, CATERPILLAR</v>
      </c>
      <c r="D120" s="21" t="s">
        <v>20</v>
      </c>
      <c r="E120" s="21" t="s">
        <v>21</v>
      </c>
      <c r="F120" s="7" t="s">
        <v>22</v>
      </c>
      <c r="G120" s="7" t="s">
        <v>626</v>
      </c>
      <c r="J120" s="7" t="s">
        <v>28</v>
      </c>
      <c r="L120" s="44">
        <v>58.22</v>
      </c>
      <c r="M120" s="7" t="s">
        <v>23</v>
      </c>
      <c r="N120" s="7" t="s">
        <v>24</v>
      </c>
      <c r="O120" t="s">
        <v>620</v>
      </c>
    </row>
    <row r="121" spans="1:15" ht="14.25" customHeight="1" x14ac:dyDescent="0.3">
      <c r="A121" s="17" t="s">
        <v>1299</v>
      </c>
      <c r="C121" s="8" t="str">
        <f>G121&amp;", "&amp;O121&amp;", "&amp;N121</f>
        <v>Buffer, 324-6438, CATERPILLAR</v>
      </c>
      <c r="D121" s="21" t="s">
        <v>20</v>
      </c>
      <c r="E121" s="21" t="s">
        <v>21</v>
      </c>
      <c r="F121" s="7" t="s">
        <v>22</v>
      </c>
      <c r="G121" s="7" t="s">
        <v>626</v>
      </c>
      <c r="J121" s="7" t="s">
        <v>28</v>
      </c>
      <c r="L121" s="44">
        <v>81.19</v>
      </c>
      <c r="M121" s="7" t="s">
        <v>23</v>
      </c>
      <c r="N121" s="7" t="s">
        <v>24</v>
      </c>
      <c r="O121" t="s">
        <v>621</v>
      </c>
    </row>
    <row r="122" spans="1:15" ht="14.25" customHeight="1" x14ac:dyDescent="0.3">
      <c r="A122" s="17" t="s">
        <v>1299</v>
      </c>
      <c r="C122" s="8" t="str">
        <f>G122&amp;", "&amp;O122&amp;", "&amp;N122</f>
        <v>Buffer, 346-5192, CATERPILLAR</v>
      </c>
      <c r="D122" s="21" t="s">
        <v>20</v>
      </c>
      <c r="E122" s="21" t="s">
        <v>21</v>
      </c>
      <c r="F122" s="7" t="s">
        <v>22</v>
      </c>
      <c r="G122" s="7" t="s">
        <v>626</v>
      </c>
      <c r="J122" s="7" t="s">
        <v>28</v>
      </c>
      <c r="L122" s="44">
        <v>72.790000000000006</v>
      </c>
      <c r="M122" s="7" t="s">
        <v>23</v>
      </c>
      <c r="N122" s="7" t="s">
        <v>24</v>
      </c>
      <c r="O122" t="s">
        <v>622</v>
      </c>
    </row>
    <row r="123" spans="1:15" ht="14.25" customHeight="1" x14ac:dyDescent="0.3">
      <c r="A123" s="17" t="s">
        <v>1299</v>
      </c>
      <c r="C123" s="8" t="str">
        <f>G123&amp;", "&amp;O123&amp;", "&amp;N123</f>
        <v>Buffer, 346-9381, CATERPILLAR</v>
      </c>
      <c r="D123" s="21" t="s">
        <v>20</v>
      </c>
      <c r="E123" s="21" t="s">
        <v>21</v>
      </c>
      <c r="F123" s="7" t="s">
        <v>22</v>
      </c>
      <c r="G123" s="7" t="s">
        <v>626</v>
      </c>
      <c r="J123" s="7" t="s">
        <v>28</v>
      </c>
      <c r="L123" s="44">
        <v>133.85</v>
      </c>
      <c r="M123" s="7" t="s">
        <v>23</v>
      </c>
      <c r="N123" s="7" t="s">
        <v>24</v>
      </c>
      <c r="O123" t="s">
        <v>623</v>
      </c>
    </row>
    <row r="124" spans="1:15" ht="14.25" customHeight="1" x14ac:dyDescent="0.3">
      <c r="A124" s="17" t="s">
        <v>1299</v>
      </c>
      <c r="C124" s="8" t="str">
        <f>G124&amp;", "&amp;O124&amp;", "&amp;N124</f>
        <v>Buffer, 367-3934, CATERPILLAR</v>
      </c>
      <c r="D124" s="21" t="s">
        <v>20</v>
      </c>
      <c r="E124" s="21" t="s">
        <v>21</v>
      </c>
      <c r="F124" s="7" t="s">
        <v>22</v>
      </c>
      <c r="G124" s="7" t="s">
        <v>626</v>
      </c>
      <c r="J124" s="7" t="s">
        <v>28</v>
      </c>
      <c r="L124" s="44">
        <v>103.6</v>
      </c>
      <c r="M124" s="7" t="s">
        <v>23</v>
      </c>
      <c r="N124" s="7" t="s">
        <v>24</v>
      </c>
      <c r="O124" t="s">
        <v>624</v>
      </c>
    </row>
    <row r="125" spans="1:15" ht="14.25" customHeight="1" x14ac:dyDescent="0.3">
      <c r="A125" s="17" t="s">
        <v>1299</v>
      </c>
      <c r="C125" s="8" t="str">
        <f>G125&amp;", "&amp;O125&amp;", "&amp;N125</f>
        <v>Calce, 4D-5642, CATERPILLAR</v>
      </c>
      <c r="D125" s="21" t="s">
        <v>20</v>
      </c>
      <c r="E125" s="21" t="s">
        <v>21</v>
      </c>
      <c r="F125" s="7" t="s">
        <v>22</v>
      </c>
      <c r="G125" s="7" t="s">
        <v>628</v>
      </c>
      <c r="J125" s="7" t="s">
        <v>28</v>
      </c>
      <c r="L125" s="44">
        <v>188.96</v>
      </c>
      <c r="M125" s="7" t="s">
        <v>23</v>
      </c>
      <c r="N125" s="7" t="s">
        <v>24</v>
      </c>
      <c r="O125" t="s">
        <v>627</v>
      </c>
    </row>
    <row r="126" spans="1:15" ht="14.25" customHeight="1" x14ac:dyDescent="0.3">
      <c r="A126" s="17" t="s">
        <v>1299</v>
      </c>
      <c r="C126" s="8" t="str">
        <f>G126&amp;", "&amp;O126&amp;", "&amp;N126</f>
        <v>Carrier Seal, 58B-32-00190, KOMATSU</v>
      </c>
      <c r="D126" s="21" t="s">
        <v>20</v>
      </c>
      <c r="E126" s="21" t="s">
        <v>21</v>
      </c>
      <c r="F126" s="7" t="s">
        <v>22</v>
      </c>
      <c r="G126" s="7" t="s">
        <v>631</v>
      </c>
      <c r="J126" s="7" t="s">
        <v>28</v>
      </c>
      <c r="L126" s="44" t="s">
        <v>19</v>
      </c>
      <c r="M126" s="7" t="s">
        <v>23</v>
      </c>
      <c r="N126" s="7" t="s">
        <v>30</v>
      </c>
      <c r="O126" t="s">
        <v>630</v>
      </c>
    </row>
    <row r="127" spans="1:15" ht="14.25" customHeight="1" x14ac:dyDescent="0.3">
      <c r="A127" s="17" t="s">
        <v>1299</v>
      </c>
      <c r="C127" s="8" t="str">
        <f>G127&amp;", "&amp;O127&amp;", "&amp;N127</f>
        <v>Casquillo, 109-4670, CATERPILLAR</v>
      </c>
      <c r="D127" s="21" t="s">
        <v>20</v>
      </c>
      <c r="E127" s="21" t="s">
        <v>21</v>
      </c>
      <c r="F127" s="7" t="s">
        <v>22</v>
      </c>
      <c r="G127" s="7" t="s">
        <v>640</v>
      </c>
      <c r="J127" s="7" t="s">
        <v>28</v>
      </c>
      <c r="L127" s="44">
        <v>223.46</v>
      </c>
      <c r="M127" s="7" t="s">
        <v>23</v>
      </c>
      <c r="N127" s="7" t="s">
        <v>24</v>
      </c>
      <c r="O127" t="s">
        <v>633</v>
      </c>
    </row>
    <row r="128" spans="1:15" ht="14.25" customHeight="1" x14ac:dyDescent="0.3">
      <c r="A128" s="17" t="s">
        <v>1299</v>
      </c>
      <c r="C128" s="8" t="str">
        <f>G128&amp;", "&amp;O128&amp;", "&amp;N128</f>
        <v>Casquillo, 1J-8569, CATERPILLAR</v>
      </c>
      <c r="D128" s="21" t="s">
        <v>20</v>
      </c>
      <c r="E128" s="21" t="s">
        <v>21</v>
      </c>
      <c r="F128" s="7" t="s">
        <v>22</v>
      </c>
      <c r="G128" s="7" t="s">
        <v>640</v>
      </c>
      <c r="J128" s="7" t="s">
        <v>28</v>
      </c>
      <c r="L128" s="44">
        <v>50.12</v>
      </c>
      <c r="M128" s="7" t="s">
        <v>23</v>
      </c>
      <c r="N128" s="7" t="s">
        <v>24</v>
      </c>
      <c r="O128" t="s">
        <v>634</v>
      </c>
    </row>
    <row r="129" spans="1:15" ht="14.25" customHeight="1" x14ac:dyDescent="0.3">
      <c r="A129" s="17" t="s">
        <v>1299</v>
      </c>
      <c r="C129" s="8" t="str">
        <f>G129&amp;", "&amp;O129&amp;", "&amp;N129</f>
        <v>Casquillo, 1U-4074, CATERPILLAR</v>
      </c>
      <c r="D129" s="21" t="s">
        <v>20</v>
      </c>
      <c r="E129" s="21" t="s">
        <v>21</v>
      </c>
      <c r="F129" s="7" t="s">
        <v>22</v>
      </c>
      <c r="G129" s="7" t="s">
        <v>640</v>
      </c>
      <c r="J129" s="7" t="s">
        <v>28</v>
      </c>
      <c r="L129" s="44" t="s">
        <v>19</v>
      </c>
      <c r="M129" s="7" t="s">
        <v>23</v>
      </c>
      <c r="N129" s="7" t="s">
        <v>24</v>
      </c>
      <c r="O129" t="s">
        <v>635</v>
      </c>
    </row>
    <row r="130" spans="1:15" ht="14.25" customHeight="1" x14ac:dyDescent="0.3">
      <c r="A130" s="17" t="s">
        <v>1299</v>
      </c>
      <c r="C130" s="8" t="str">
        <f>G130&amp;", "&amp;O130&amp;", "&amp;N130</f>
        <v>Casquillo, 4Z-6422, CATERPILLAR</v>
      </c>
      <c r="D130" s="21" t="s">
        <v>20</v>
      </c>
      <c r="E130" s="21" t="s">
        <v>21</v>
      </c>
      <c r="F130" s="7" t="s">
        <v>22</v>
      </c>
      <c r="G130" s="7" t="s">
        <v>640</v>
      </c>
      <c r="J130" s="7" t="s">
        <v>28</v>
      </c>
      <c r="L130" s="44">
        <v>264.58</v>
      </c>
      <c r="M130" s="7" t="s">
        <v>23</v>
      </c>
      <c r="N130" s="7" t="s">
        <v>24</v>
      </c>
      <c r="O130" t="s">
        <v>636</v>
      </c>
    </row>
    <row r="131" spans="1:15" ht="14.25" customHeight="1" x14ac:dyDescent="0.3">
      <c r="A131" s="17" t="s">
        <v>1299</v>
      </c>
      <c r="C131" s="8" t="str">
        <f>G131&amp;", "&amp;O131&amp;", "&amp;N131</f>
        <v>Casquillo, 6E-1443, CATERPILLAR</v>
      </c>
      <c r="D131" s="21" t="s">
        <v>20</v>
      </c>
      <c r="E131" s="21" t="s">
        <v>21</v>
      </c>
      <c r="F131" s="7" t="s">
        <v>22</v>
      </c>
      <c r="G131" s="7" t="s">
        <v>640</v>
      </c>
      <c r="J131" s="7" t="s">
        <v>28</v>
      </c>
      <c r="L131" s="44">
        <v>100.05</v>
      </c>
      <c r="M131" s="7" t="s">
        <v>23</v>
      </c>
      <c r="N131" s="7" t="s">
        <v>24</v>
      </c>
      <c r="O131" t="s">
        <v>637</v>
      </c>
    </row>
    <row r="132" spans="1:15" ht="14.25" customHeight="1" x14ac:dyDescent="0.3">
      <c r="A132" s="17" t="s">
        <v>1299</v>
      </c>
      <c r="C132" s="8" t="str">
        <f>G132&amp;", "&amp;O132&amp;", "&amp;N132</f>
        <v>Casquillo, 9J-0521, CATERPILLAR</v>
      </c>
      <c r="D132" s="21" t="s">
        <v>20</v>
      </c>
      <c r="E132" s="21" t="s">
        <v>21</v>
      </c>
      <c r="F132" s="7" t="s">
        <v>22</v>
      </c>
      <c r="G132" s="7" t="s">
        <v>640</v>
      </c>
      <c r="J132" s="7" t="s">
        <v>28</v>
      </c>
      <c r="L132" s="44">
        <v>14.68</v>
      </c>
      <c r="M132" s="7" t="s">
        <v>23</v>
      </c>
      <c r="N132" s="7" t="s">
        <v>24</v>
      </c>
      <c r="O132" t="s">
        <v>638</v>
      </c>
    </row>
    <row r="133" spans="1:15" ht="14.25" customHeight="1" x14ac:dyDescent="0.3">
      <c r="A133" s="17" t="s">
        <v>1299</v>
      </c>
      <c r="C133" s="8" t="str">
        <f>G133&amp;", "&amp;O133&amp;", "&amp;N133</f>
        <v>Cojinete, 087-5533, CATERPILLAR</v>
      </c>
      <c r="D133" s="21" t="s">
        <v>20</v>
      </c>
      <c r="E133" s="21" t="s">
        <v>21</v>
      </c>
      <c r="F133" s="7" t="s">
        <v>22</v>
      </c>
      <c r="G133" s="7" t="s">
        <v>34</v>
      </c>
      <c r="J133" s="7" t="s">
        <v>28</v>
      </c>
      <c r="L133" s="44">
        <v>38.799999999999997</v>
      </c>
      <c r="M133" s="7" t="s">
        <v>23</v>
      </c>
      <c r="N133" s="7" t="s">
        <v>24</v>
      </c>
      <c r="O133" t="s">
        <v>641</v>
      </c>
    </row>
    <row r="134" spans="1:15" ht="14.25" customHeight="1" x14ac:dyDescent="0.3">
      <c r="A134" s="17" t="s">
        <v>1299</v>
      </c>
      <c r="C134" s="8" t="str">
        <f>G134&amp;", "&amp;O134&amp;", "&amp;N134</f>
        <v>Cojinete, 087-5548, CATERPILLAR</v>
      </c>
      <c r="D134" s="21" t="s">
        <v>20</v>
      </c>
      <c r="E134" s="21" t="s">
        <v>21</v>
      </c>
      <c r="F134" s="7" t="s">
        <v>22</v>
      </c>
      <c r="G134" s="7" t="s">
        <v>34</v>
      </c>
      <c r="J134" s="7" t="s">
        <v>28</v>
      </c>
      <c r="L134" s="44">
        <v>35.96</v>
      </c>
      <c r="M134" s="7" t="s">
        <v>23</v>
      </c>
      <c r="N134" s="7" t="s">
        <v>24</v>
      </c>
      <c r="O134" t="s">
        <v>642</v>
      </c>
    </row>
    <row r="135" spans="1:15" ht="14.25" customHeight="1" x14ac:dyDescent="0.3">
      <c r="A135" s="17" t="s">
        <v>1299</v>
      </c>
      <c r="C135" s="8" t="str">
        <f>G135&amp;", "&amp;O135&amp;", "&amp;N135</f>
        <v>Cojinete, 118-2289, CATERPILLAR</v>
      </c>
      <c r="D135" s="21" t="s">
        <v>20</v>
      </c>
      <c r="E135" s="21" t="s">
        <v>21</v>
      </c>
      <c r="F135" s="7" t="s">
        <v>22</v>
      </c>
      <c r="G135" s="7" t="s">
        <v>34</v>
      </c>
      <c r="J135" s="7" t="s">
        <v>28</v>
      </c>
      <c r="L135" s="44">
        <v>85.23</v>
      </c>
      <c r="M135" s="7" t="s">
        <v>23</v>
      </c>
      <c r="N135" s="7" t="s">
        <v>24</v>
      </c>
      <c r="O135" t="s">
        <v>643</v>
      </c>
    </row>
    <row r="136" spans="1:15" ht="14.25" customHeight="1" x14ac:dyDescent="0.3">
      <c r="A136" s="17" t="s">
        <v>1299</v>
      </c>
      <c r="C136" s="8" t="str">
        <f>G136&amp;", "&amp;O136&amp;", "&amp;N136</f>
        <v>Cojinete, 126-6917, CATERPILLAR</v>
      </c>
      <c r="D136" s="21" t="s">
        <v>20</v>
      </c>
      <c r="E136" s="21" t="s">
        <v>21</v>
      </c>
      <c r="F136" s="7" t="s">
        <v>22</v>
      </c>
      <c r="G136" s="7" t="s">
        <v>34</v>
      </c>
      <c r="J136" s="7" t="s">
        <v>28</v>
      </c>
      <c r="L136" s="44">
        <v>238.05</v>
      </c>
      <c r="M136" s="7" t="s">
        <v>23</v>
      </c>
      <c r="N136" s="7" t="s">
        <v>24</v>
      </c>
      <c r="O136" t="s">
        <v>644</v>
      </c>
    </row>
    <row r="137" spans="1:15" ht="14.25" customHeight="1" x14ac:dyDescent="0.3">
      <c r="A137" s="17" t="s">
        <v>1299</v>
      </c>
      <c r="C137" s="8" t="str">
        <f>G137&amp;", "&amp;O137&amp;", "&amp;N137</f>
        <v>Cojinete, 135-3161, CATERPILLAR</v>
      </c>
      <c r="D137" s="21" t="s">
        <v>20</v>
      </c>
      <c r="E137" s="21" t="s">
        <v>21</v>
      </c>
      <c r="F137" s="7" t="s">
        <v>22</v>
      </c>
      <c r="G137" s="7" t="s">
        <v>34</v>
      </c>
      <c r="J137" s="7" t="s">
        <v>28</v>
      </c>
      <c r="L137" s="44">
        <v>14.5</v>
      </c>
      <c r="M137" s="7" t="s">
        <v>23</v>
      </c>
      <c r="N137" s="7" t="s">
        <v>24</v>
      </c>
      <c r="O137" t="s">
        <v>645</v>
      </c>
    </row>
    <row r="138" spans="1:15" ht="14.25" customHeight="1" x14ac:dyDescent="0.3">
      <c r="A138" s="17" t="s">
        <v>1299</v>
      </c>
      <c r="C138" s="8" t="str">
        <f>G138&amp;", "&amp;O138&amp;", "&amp;N138</f>
        <v>Cojinete, 152-3739, CATERPILLAR</v>
      </c>
      <c r="D138" s="21" t="s">
        <v>20</v>
      </c>
      <c r="E138" s="21" t="s">
        <v>21</v>
      </c>
      <c r="F138" s="7" t="s">
        <v>22</v>
      </c>
      <c r="G138" s="7" t="s">
        <v>34</v>
      </c>
      <c r="J138" s="7" t="s">
        <v>28</v>
      </c>
      <c r="L138" s="44">
        <v>675.38</v>
      </c>
      <c r="M138" s="7" t="s">
        <v>23</v>
      </c>
      <c r="N138" s="7" t="s">
        <v>24</v>
      </c>
      <c r="O138" t="s">
        <v>646</v>
      </c>
    </row>
    <row r="139" spans="1:15" ht="14.25" customHeight="1" x14ac:dyDescent="0.3">
      <c r="A139" s="17" t="s">
        <v>1299</v>
      </c>
      <c r="C139" s="8" t="str">
        <f>G139&amp;", "&amp;O139&amp;", "&amp;N139</f>
        <v>Cojinete, 152-3750, CATERPILLAR</v>
      </c>
      <c r="D139" s="21" t="s">
        <v>20</v>
      </c>
      <c r="E139" s="21" t="s">
        <v>21</v>
      </c>
      <c r="F139" s="7" t="s">
        <v>22</v>
      </c>
      <c r="G139" s="7" t="s">
        <v>34</v>
      </c>
      <c r="J139" s="7" t="s">
        <v>28</v>
      </c>
      <c r="L139" s="44">
        <v>955.72</v>
      </c>
      <c r="M139" s="7" t="s">
        <v>23</v>
      </c>
      <c r="N139" s="7" t="s">
        <v>24</v>
      </c>
      <c r="O139" t="s">
        <v>647</v>
      </c>
    </row>
    <row r="140" spans="1:15" ht="14.25" customHeight="1" x14ac:dyDescent="0.3">
      <c r="A140" s="17" t="s">
        <v>1299</v>
      </c>
      <c r="C140" s="8" t="str">
        <f>G140&amp;", "&amp;O140&amp;", "&amp;N140</f>
        <v>Cojinete, 1J-2192, CATERPILLAR</v>
      </c>
      <c r="D140" s="21" t="s">
        <v>20</v>
      </c>
      <c r="E140" s="21" t="s">
        <v>21</v>
      </c>
      <c r="F140" s="7" t="s">
        <v>22</v>
      </c>
      <c r="G140" s="7" t="s">
        <v>34</v>
      </c>
      <c r="J140" s="7" t="s">
        <v>28</v>
      </c>
      <c r="L140" s="44">
        <v>104.79</v>
      </c>
      <c r="M140" s="7" t="s">
        <v>23</v>
      </c>
      <c r="N140" s="7" t="s">
        <v>24</v>
      </c>
      <c r="O140" t="s">
        <v>648</v>
      </c>
    </row>
    <row r="141" spans="1:15" ht="14.25" customHeight="1" x14ac:dyDescent="0.3">
      <c r="A141" s="17" t="s">
        <v>1299</v>
      </c>
      <c r="C141" s="8" t="str">
        <f>G141&amp;", "&amp;O141&amp;", "&amp;N141</f>
        <v>Cojinete, 1U-2182, CATERPILLAR</v>
      </c>
      <c r="D141" s="21" t="s">
        <v>20</v>
      </c>
      <c r="E141" s="21" t="s">
        <v>21</v>
      </c>
      <c r="F141" s="7" t="s">
        <v>22</v>
      </c>
      <c r="G141" s="7" t="s">
        <v>34</v>
      </c>
      <c r="J141" s="7" t="s">
        <v>28</v>
      </c>
      <c r="L141" s="44">
        <v>105.95</v>
      </c>
      <c r="M141" s="7" t="s">
        <v>23</v>
      </c>
      <c r="N141" s="7" t="s">
        <v>24</v>
      </c>
      <c r="O141" t="s">
        <v>649</v>
      </c>
    </row>
    <row r="142" spans="1:15" ht="14.25" customHeight="1" x14ac:dyDescent="0.3">
      <c r="A142" s="17" t="s">
        <v>1299</v>
      </c>
      <c r="C142" s="8" t="str">
        <f>G142&amp;", "&amp;O142&amp;", "&amp;N142</f>
        <v>Cojinete, 1V-7038, CATERPILLAR</v>
      </c>
      <c r="D142" s="21" t="s">
        <v>20</v>
      </c>
      <c r="E142" s="21" t="s">
        <v>21</v>
      </c>
      <c r="F142" s="7" t="s">
        <v>22</v>
      </c>
      <c r="G142" s="7" t="s">
        <v>34</v>
      </c>
      <c r="J142" s="7" t="s">
        <v>28</v>
      </c>
      <c r="L142" s="44">
        <v>1358.56</v>
      </c>
      <c r="M142" s="7" t="s">
        <v>23</v>
      </c>
      <c r="N142" s="7" t="s">
        <v>24</v>
      </c>
      <c r="O142" t="s">
        <v>670</v>
      </c>
    </row>
    <row r="143" spans="1:15" ht="14.25" customHeight="1" x14ac:dyDescent="0.3">
      <c r="A143" s="17" t="s">
        <v>1299</v>
      </c>
      <c r="C143" s="8" t="str">
        <f>G143&amp;", "&amp;O143&amp;", "&amp;N143</f>
        <v>Cojinete, 1V-8241, CATERPILLAR</v>
      </c>
      <c r="D143" s="21" t="s">
        <v>20</v>
      </c>
      <c r="E143" s="21" t="s">
        <v>21</v>
      </c>
      <c r="F143" s="7" t="s">
        <v>22</v>
      </c>
      <c r="G143" s="7" t="s">
        <v>34</v>
      </c>
      <c r="J143" s="7" t="s">
        <v>28</v>
      </c>
      <c r="L143" s="44">
        <v>482.41</v>
      </c>
      <c r="M143" s="7" t="s">
        <v>23</v>
      </c>
      <c r="N143" s="7" t="s">
        <v>24</v>
      </c>
      <c r="O143" t="s">
        <v>650</v>
      </c>
    </row>
    <row r="144" spans="1:15" ht="14.25" customHeight="1" x14ac:dyDescent="0.3">
      <c r="A144" s="17" t="s">
        <v>1299</v>
      </c>
      <c r="C144" s="8" t="str">
        <f>G144&amp;", "&amp;O144&amp;", "&amp;N144</f>
        <v>Cojinete, 1V-8242, CATERPILLAR</v>
      </c>
      <c r="D144" s="21" t="s">
        <v>20</v>
      </c>
      <c r="E144" s="21" t="s">
        <v>21</v>
      </c>
      <c r="F144" s="7" t="s">
        <v>22</v>
      </c>
      <c r="G144" s="7" t="s">
        <v>34</v>
      </c>
      <c r="J144" s="7" t="s">
        <v>28</v>
      </c>
      <c r="L144" s="44">
        <v>346.8</v>
      </c>
      <c r="M144" s="7" t="s">
        <v>23</v>
      </c>
      <c r="N144" s="7" t="s">
        <v>24</v>
      </c>
      <c r="O144" t="s">
        <v>651</v>
      </c>
    </row>
    <row r="145" spans="1:15" ht="14.25" customHeight="1" x14ac:dyDescent="0.3">
      <c r="A145" s="17" t="s">
        <v>1299</v>
      </c>
      <c r="C145" s="8" t="str">
        <f>G145&amp;", "&amp;O145&amp;", "&amp;N145</f>
        <v>Cojinete, 200-3926, CATERPILLAR</v>
      </c>
      <c r="D145" s="21" t="s">
        <v>20</v>
      </c>
      <c r="E145" s="21" t="s">
        <v>21</v>
      </c>
      <c r="F145" s="7" t="s">
        <v>22</v>
      </c>
      <c r="G145" s="7" t="s">
        <v>34</v>
      </c>
      <c r="J145" s="7" t="s">
        <v>28</v>
      </c>
      <c r="L145" s="44">
        <v>190.38</v>
      </c>
      <c r="M145" s="7" t="s">
        <v>23</v>
      </c>
      <c r="N145" s="7" t="s">
        <v>24</v>
      </c>
      <c r="O145" t="s">
        <v>652</v>
      </c>
    </row>
    <row r="146" spans="1:15" ht="14.25" customHeight="1" x14ac:dyDescent="0.3">
      <c r="A146" s="17" t="s">
        <v>1299</v>
      </c>
      <c r="C146" s="8" t="str">
        <f>G146&amp;", "&amp;O146&amp;", "&amp;N146</f>
        <v>Cojinete, 241-7342, CATERPILLAR</v>
      </c>
      <c r="D146" s="21" t="s">
        <v>20</v>
      </c>
      <c r="E146" s="21" t="s">
        <v>21</v>
      </c>
      <c r="F146" s="7" t="s">
        <v>22</v>
      </c>
      <c r="G146" s="7" t="s">
        <v>34</v>
      </c>
      <c r="J146" s="7" t="s">
        <v>28</v>
      </c>
      <c r="L146" s="44">
        <v>444.49</v>
      </c>
      <c r="M146" s="7" t="s">
        <v>23</v>
      </c>
      <c r="N146" s="7" t="s">
        <v>24</v>
      </c>
      <c r="O146" t="s">
        <v>653</v>
      </c>
    </row>
    <row r="147" spans="1:15" ht="14.25" customHeight="1" x14ac:dyDescent="0.3">
      <c r="A147" s="17" t="s">
        <v>1299</v>
      </c>
      <c r="C147" s="8" t="str">
        <f>G147&amp;", "&amp;O147&amp;", "&amp;N147</f>
        <v>Cojinete, 244-4258, CATERPILLAR</v>
      </c>
      <c r="D147" s="21" t="s">
        <v>20</v>
      </c>
      <c r="E147" s="21" t="s">
        <v>21</v>
      </c>
      <c r="F147" s="7" t="s">
        <v>22</v>
      </c>
      <c r="G147" s="7" t="s">
        <v>34</v>
      </c>
      <c r="J147" s="7" t="s">
        <v>28</v>
      </c>
      <c r="L147" s="44">
        <v>500</v>
      </c>
      <c r="M147" s="7" t="s">
        <v>23</v>
      </c>
      <c r="N147" s="7" t="s">
        <v>24</v>
      </c>
      <c r="O147" t="s">
        <v>671</v>
      </c>
    </row>
    <row r="148" spans="1:15" ht="14.25" customHeight="1" x14ac:dyDescent="0.3">
      <c r="A148" s="17" t="s">
        <v>1299</v>
      </c>
      <c r="C148" s="8" t="str">
        <f>G148&amp;", "&amp;O148&amp;", "&amp;N148</f>
        <v>Cojinete, 2G-8635, CATERPILLAR</v>
      </c>
      <c r="D148" s="21" t="s">
        <v>20</v>
      </c>
      <c r="E148" s="21" t="s">
        <v>21</v>
      </c>
      <c r="F148" s="7" t="s">
        <v>22</v>
      </c>
      <c r="G148" s="7" t="s">
        <v>34</v>
      </c>
      <c r="J148" s="7" t="s">
        <v>28</v>
      </c>
      <c r="L148" s="44">
        <v>64.849999999999994</v>
      </c>
      <c r="M148" s="7" t="s">
        <v>23</v>
      </c>
      <c r="N148" s="7" t="s">
        <v>24</v>
      </c>
      <c r="O148" t="s">
        <v>654</v>
      </c>
    </row>
    <row r="149" spans="1:15" ht="14.25" customHeight="1" x14ac:dyDescent="0.3">
      <c r="A149" s="17" t="s">
        <v>1299</v>
      </c>
      <c r="C149" s="8" t="str">
        <f>G149&amp;", "&amp;O149&amp;", "&amp;N149</f>
        <v>Cojinete, 2K-4507, CATERPILLAR</v>
      </c>
      <c r="D149" s="21" t="s">
        <v>20</v>
      </c>
      <c r="E149" s="21" t="s">
        <v>21</v>
      </c>
      <c r="F149" s="7" t="s">
        <v>22</v>
      </c>
      <c r="G149" s="7" t="s">
        <v>34</v>
      </c>
      <c r="J149" s="7" t="s">
        <v>28</v>
      </c>
      <c r="L149" s="44">
        <v>123.1</v>
      </c>
      <c r="M149" s="7" t="s">
        <v>23</v>
      </c>
      <c r="N149" s="7" t="s">
        <v>24</v>
      </c>
      <c r="O149" t="s">
        <v>655</v>
      </c>
    </row>
    <row r="150" spans="1:15" ht="14.25" customHeight="1" x14ac:dyDescent="0.3">
      <c r="A150" s="17" t="s">
        <v>1299</v>
      </c>
      <c r="C150" s="8" t="str">
        <f>G150&amp;", "&amp;O150&amp;", "&amp;N150</f>
        <v>Cojinete, 308-8824, CATERPILLAR</v>
      </c>
      <c r="D150" s="21" t="s">
        <v>20</v>
      </c>
      <c r="E150" s="21" t="s">
        <v>21</v>
      </c>
      <c r="F150" s="7" t="s">
        <v>22</v>
      </c>
      <c r="G150" s="7" t="s">
        <v>34</v>
      </c>
      <c r="J150" s="7" t="s">
        <v>28</v>
      </c>
      <c r="L150" s="44">
        <v>1653.49</v>
      </c>
      <c r="M150" s="7" t="s">
        <v>23</v>
      </c>
      <c r="N150" s="7" t="s">
        <v>24</v>
      </c>
      <c r="O150" t="s">
        <v>656</v>
      </c>
    </row>
    <row r="151" spans="1:15" ht="14.25" customHeight="1" x14ac:dyDescent="0.3">
      <c r="A151" s="17" t="s">
        <v>1299</v>
      </c>
      <c r="C151" s="8" t="str">
        <f>G151&amp;", "&amp;O151&amp;", "&amp;N151</f>
        <v>Cojinete, 3G-2582, CATERPILLAR</v>
      </c>
      <c r="D151" s="21" t="s">
        <v>20</v>
      </c>
      <c r="E151" s="21" t="s">
        <v>21</v>
      </c>
      <c r="F151" s="7" t="s">
        <v>22</v>
      </c>
      <c r="G151" s="7" t="s">
        <v>34</v>
      </c>
      <c r="J151" s="7" t="s">
        <v>28</v>
      </c>
      <c r="L151" s="44">
        <v>183.33</v>
      </c>
      <c r="M151" s="7" t="s">
        <v>23</v>
      </c>
      <c r="N151" s="7" t="s">
        <v>24</v>
      </c>
      <c r="O151" t="s">
        <v>657</v>
      </c>
    </row>
    <row r="152" spans="1:15" ht="14.25" customHeight="1" x14ac:dyDescent="0.3">
      <c r="A152" s="17" t="s">
        <v>1299</v>
      </c>
      <c r="C152" s="8" t="str">
        <f>G152&amp;", "&amp;O152&amp;", "&amp;N152</f>
        <v>Cojinete, 3G-2791, CATERPILLAR</v>
      </c>
      <c r="D152" s="21" t="s">
        <v>20</v>
      </c>
      <c r="E152" s="21" t="s">
        <v>21</v>
      </c>
      <c r="F152" s="7" t="s">
        <v>22</v>
      </c>
      <c r="G152" s="7" t="s">
        <v>34</v>
      </c>
      <c r="J152" s="7" t="s">
        <v>28</v>
      </c>
      <c r="L152" s="44">
        <v>139.22999999999999</v>
      </c>
      <c r="M152" s="7" t="s">
        <v>23</v>
      </c>
      <c r="N152" s="7" t="s">
        <v>24</v>
      </c>
      <c r="O152" t="s">
        <v>658</v>
      </c>
    </row>
    <row r="153" spans="1:15" ht="14.25" customHeight="1" x14ac:dyDescent="0.3">
      <c r="A153" s="17" t="s">
        <v>1299</v>
      </c>
      <c r="C153" s="8" t="str">
        <f>G153&amp;", "&amp;O153&amp;", "&amp;N153</f>
        <v>Cojinete, 3T-8459, CATERPILLAR</v>
      </c>
      <c r="D153" s="21" t="s">
        <v>20</v>
      </c>
      <c r="E153" s="21" t="s">
        <v>21</v>
      </c>
      <c r="F153" s="7" t="s">
        <v>22</v>
      </c>
      <c r="G153" s="7" t="s">
        <v>34</v>
      </c>
      <c r="J153" s="7" t="s">
        <v>28</v>
      </c>
      <c r="L153" s="44">
        <v>172.44</v>
      </c>
      <c r="M153" s="7" t="s">
        <v>23</v>
      </c>
      <c r="N153" s="7" t="s">
        <v>24</v>
      </c>
      <c r="O153" t="s">
        <v>659</v>
      </c>
    </row>
    <row r="154" spans="1:15" ht="14.25" customHeight="1" x14ac:dyDescent="0.3">
      <c r="A154" s="17" t="s">
        <v>1299</v>
      </c>
      <c r="C154" s="8" t="str">
        <f>G154&amp;", "&amp;O154&amp;", "&amp;N154</f>
        <v>Cojinete, 420-5756, CATERPILLAR</v>
      </c>
      <c r="D154" s="21" t="s">
        <v>20</v>
      </c>
      <c r="E154" s="21" t="s">
        <v>21</v>
      </c>
      <c r="F154" s="7" t="s">
        <v>22</v>
      </c>
      <c r="G154" s="7" t="s">
        <v>34</v>
      </c>
      <c r="J154" s="7" t="s">
        <v>28</v>
      </c>
      <c r="L154" s="44">
        <v>2856.31</v>
      </c>
      <c r="M154" s="7" t="s">
        <v>23</v>
      </c>
      <c r="N154" s="7" t="s">
        <v>24</v>
      </c>
      <c r="O154" t="s">
        <v>672</v>
      </c>
    </row>
    <row r="155" spans="1:15" ht="14.25" customHeight="1" x14ac:dyDescent="0.3">
      <c r="A155" s="17" t="s">
        <v>1299</v>
      </c>
      <c r="C155" s="8" t="str">
        <f>G155&amp;", "&amp;O155&amp;", "&amp;N155</f>
        <v>Cojinete, 471-1981, CATERPILLAR</v>
      </c>
      <c r="D155" s="21" t="s">
        <v>20</v>
      </c>
      <c r="E155" s="21" t="s">
        <v>21</v>
      </c>
      <c r="F155" s="7" t="s">
        <v>22</v>
      </c>
      <c r="G155" s="7" t="s">
        <v>34</v>
      </c>
      <c r="J155" s="7" t="s">
        <v>28</v>
      </c>
      <c r="L155" s="44">
        <v>3069.48</v>
      </c>
      <c r="M155" s="7" t="s">
        <v>23</v>
      </c>
      <c r="N155" s="7" t="s">
        <v>24</v>
      </c>
      <c r="O155" t="s">
        <v>673</v>
      </c>
    </row>
    <row r="156" spans="1:15" ht="14.25" customHeight="1" x14ac:dyDescent="0.3">
      <c r="A156" s="17" t="s">
        <v>1299</v>
      </c>
      <c r="C156" s="8" t="str">
        <f>G156&amp;", "&amp;O156&amp;", "&amp;N156</f>
        <v>Cojinete, 4K-3128, CATERPILLAR</v>
      </c>
      <c r="D156" s="21" t="s">
        <v>20</v>
      </c>
      <c r="E156" s="21" t="s">
        <v>21</v>
      </c>
      <c r="F156" s="7" t="s">
        <v>22</v>
      </c>
      <c r="G156" s="7" t="s">
        <v>34</v>
      </c>
      <c r="J156" s="7" t="s">
        <v>28</v>
      </c>
      <c r="L156" s="44">
        <v>151.44</v>
      </c>
      <c r="M156" s="7" t="s">
        <v>23</v>
      </c>
      <c r="N156" s="7" t="s">
        <v>24</v>
      </c>
      <c r="O156" t="s">
        <v>674</v>
      </c>
    </row>
    <row r="157" spans="1:15" ht="14.25" customHeight="1" x14ac:dyDescent="0.3">
      <c r="A157" s="17" t="s">
        <v>1299</v>
      </c>
      <c r="C157" s="8" t="str">
        <f>G157&amp;", "&amp;O157&amp;", "&amp;N157</f>
        <v>Cojinete, 5D-6298, CATERPILLAR</v>
      </c>
      <c r="D157" s="21" t="s">
        <v>20</v>
      </c>
      <c r="E157" s="21" t="s">
        <v>21</v>
      </c>
      <c r="F157" s="7" t="s">
        <v>22</v>
      </c>
      <c r="G157" s="7" t="s">
        <v>34</v>
      </c>
      <c r="J157" s="7" t="s">
        <v>28</v>
      </c>
      <c r="L157" s="44">
        <v>259.3</v>
      </c>
      <c r="M157" s="7" t="s">
        <v>23</v>
      </c>
      <c r="N157" s="7" t="s">
        <v>24</v>
      </c>
      <c r="O157" t="s">
        <v>662</v>
      </c>
    </row>
    <row r="158" spans="1:15" ht="14.25" customHeight="1" x14ac:dyDescent="0.3">
      <c r="A158" s="17" t="s">
        <v>1299</v>
      </c>
      <c r="C158" s="8" t="str">
        <f>G158&amp;", "&amp;O158&amp;", "&amp;N158</f>
        <v>Cojinete, 5J-1192, CATERPILLAR</v>
      </c>
      <c r="D158" s="21" t="s">
        <v>20</v>
      </c>
      <c r="E158" s="21" t="s">
        <v>21</v>
      </c>
      <c r="F158" s="7" t="s">
        <v>22</v>
      </c>
      <c r="G158" s="7" t="s">
        <v>34</v>
      </c>
      <c r="J158" s="7" t="s">
        <v>28</v>
      </c>
      <c r="L158" s="44">
        <v>25.66</v>
      </c>
      <c r="M158" s="7" t="s">
        <v>23</v>
      </c>
      <c r="N158" s="7" t="s">
        <v>24</v>
      </c>
      <c r="O158" t="s">
        <v>675</v>
      </c>
    </row>
    <row r="159" spans="1:15" ht="14.25" customHeight="1" x14ac:dyDescent="0.3">
      <c r="A159" s="17" t="s">
        <v>1299</v>
      </c>
      <c r="C159" s="8" t="str">
        <f>G159&amp;", "&amp;O159&amp;", "&amp;N159</f>
        <v>Cojinete, 610-3658, CATERPILLAR</v>
      </c>
      <c r="D159" s="21" t="s">
        <v>20</v>
      </c>
      <c r="E159" s="21" t="s">
        <v>21</v>
      </c>
      <c r="F159" s="7" t="s">
        <v>22</v>
      </c>
      <c r="G159" s="7" t="s">
        <v>34</v>
      </c>
      <c r="J159" s="7" t="s">
        <v>28</v>
      </c>
      <c r="L159" s="44">
        <v>42.82</v>
      </c>
      <c r="M159" s="7" t="s">
        <v>23</v>
      </c>
      <c r="N159" s="7" t="s">
        <v>24</v>
      </c>
      <c r="O159" t="s">
        <v>663</v>
      </c>
    </row>
    <row r="160" spans="1:15" ht="14.25" customHeight="1" x14ac:dyDescent="0.3">
      <c r="A160" s="17" t="s">
        <v>1299</v>
      </c>
      <c r="C160" s="8" t="str">
        <f>G160&amp;", "&amp;O160&amp;", "&amp;N160</f>
        <v>Cojinete, 6E-0804, CATERPILLAR</v>
      </c>
      <c r="D160" s="21" t="s">
        <v>20</v>
      </c>
      <c r="E160" s="21" t="s">
        <v>21</v>
      </c>
      <c r="F160" s="7" t="s">
        <v>22</v>
      </c>
      <c r="G160" s="7" t="s">
        <v>34</v>
      </c>
      <c r="J160" s="7" t="s">
        <v>28</v>
      </c>
      <c r="L160" s="44">
        <v>262.62</v>
      </c>
      <c r="M160" s="7" t="s">
        <v>23</v>
      </c>
      <c r="N160" s="7" t="s">
        <v>24</v>
      </c>
      <c r="O160" t="s">
        <v>676</v>
      </c>
    </row>
    <row r="161" spans="1:15" ht="14.25" customHeight="1" x14ac:dyDescent="0.3">
      <c r="A161" s="17" t="s">
        <v>1299</v>
      </c>
      <c r="C161" s="8" t="str">
        <f>G161&amp;", "&amp;O161&amp;", "&amp;N161</f>
        <v>Cojinete, 6E-1108, CATERPILLAR</v>
      </c>
      <c r="D161" s="21" t="s">
        <v>20</v>
      </c>
      <c r="E161" s="21" t="s">
        <v>21</v>
      </c>
      <c r="F161" s="7" t="s">
        <v>22</v>
      </c>
      <c r="G161" s="7" t="s">
        <v>34</v>
      </c>
      <c r="J161" s="7" t="s">
        <v>28</v>
      </c>
      <c r="L161" s="44">
        <v>57.18</v>
      </c>
      <c r="M161" s="7" t="s">
        <v>23</v>
      </c>
      <c r="N161" s="7" t="s">
        <v>24</v>
      </c>
      <c r="O161" t="s">
        <v>677</v>
      </c>
    </row>
    <row r="162" spans="1:15" ht="14.25" customHeight="1" x14ac:dyDescent="0.3">
      <c r="A162" s="17" t="s">
        <v>1299</v>
      </c>
      <c r="C162" s="8" t="str">
        <f>G162&amp;", "&amp;O162&amp;", "&amp;N162</f>
        <v>Cojinete, 6E-1166, CATERPILLAR</v>
      </c>
      <c r="D162" s="21" t="s">
        <v>20</v>
      </c>
      <c r="E162" s="21" t="s">
        <v>21</v>
      </c>
      <c r="F162" s="7" t="s">
        <v>22</v>
      </c>
      <c r="G162" s="7" t="s">
        <v>34</v>
      </c>
      <c r="J162" s="7" t="s">
        <v>28</v>
      </c>
      <c r="L162" s="44">
        <v>1965.31</v>
      </c>
      <c r="M162" s="7" t="s">
        <v>23</v>
      </c>
      <c r="N162" s="7" t="s">
        <v>24</v>
      </c>
      <c r="O162" t="s">
        <v>664</v>
      </c>
    </row>
    <row r="163" spans="1:15" ht="14.25" customHeight="1" x14ac:dyDescent="0.3">
      <c r="A163" s="17" t="s">
        <v>1299</v>
      </c>
      <c r="C163" s="8" t="str">
        <f>G163&amp;", "&amp;O163&amp;", "&amp;N163</f>
        <v>Cojinete, 707-46-16030, KOMATSU</v>
      </c>
      <c r="D163" s="21" t="s">
        <v>20</v>
      </c>
      <c r="E163" s="21" t="s">
        <v>21</v>
      </c>
      <c r="F163" s="7" t="s">
        <v>22</v>
      </c>
      <c r="G163" s="7" t="s">
        <v>34</v>
      </c>
      <c r="J163" s="7" t="s">
        <v>28</v>
      </c>
      <c r="L163" s="44">
        <v>2576.8200000000002</v>
      </c>
      <c r="M163" s="7" t="s">
        <v>23</v>
      </c>
      <c r="N163" s="7" t="s">
        <v>30</v>
      </c>
      <c r="O163" t="s">
        <v>612</v>
      </c>
    </row>
    <row r="164" spans="1:15" ht="14.25" customHeight="1" x14ac:dyDescent="0.3">
      <c r="A164" s="17" t="s">
        <v>1299</v>
      </c>
      <c r="C164" s="8" t="str">
        <f>G164&amp;", "&amp;O164&amp;", "&amp;N164</f>
        <v>Cojinete, 707-76-10130, KOMATSU</v>
      </c>
      <c r="D164" s="21" t="s">
        <v>20</v>
      </c>
      <c r="E164" s="21" t="s">
        <v>21</v>
      </c>
      <c r="F164" s="7" t="s">
        <v>22</v>
      </c>
      <c r="G164" s="7" t="s">
        <v>34</v>
      </c>
      <c r="J164" s="7" t="s">
        <v>28</v>
      </c>
      <c r="L164" s="44">
        <v>380</v>
      </c>
      <c r="M164" s="7" t="s">
        <v>23</v>
      </c>
      <c r="N164" s="7" t="s">
        <v>30</v>
      </c>
      <c r="O164" t="s">
        <v>665</v>
      </c>
    </row>
    <row r="165" spans="1:15" ht="14.25" customHeight="1" x14ac:dyDescent="0.3">
      <c r="A165" s="17" t="s">
        <v>1299</v>
      </c>
      <c r="C165" s="8" t="str">
        <f>G165&amp;", "&amp;O165&amp;", "&amp;N165</f>
        <v>Cojinete, 707-76-10140, KOMATSU</v>
      </c>
      <c r="D165" s="21" t="s">
        <v>20</v>
      </c>
      <c r="E165" s="21" t="s">
        <v>21</v>
      </c>
      <c r="F165" s="7" t="s">
        <v>22</v>
      </c>
      <c r="G165" s="7" t="s">
        <v>34</v>
      </c>
      <c r="J165" s="7" t="s">
        <v>28</v>
      </c>
      <c r="L165" s="44">
        <v>600</v>
      </c>
      <c r="M165" s="7" t="s">
        <v>23</v>
      </c>
      <c r="N165" s="7" t="s">
        <v>30</v>
      </c>
      <c r="O165" t="s">
        <v>666</v>
      </c>
    </row>
    <row r="166" spans="1:15" ht="14.25" customHeight="1" x14ac:dyDescent="0.3">
      <c r="A166" s="17" t="s">
        <v>1299</v>
      </c>
      <c r="C166" s="8" t="str">
        <f>G166&amp;", "&amp;O166&amp;", "&amp;N166</f>
        <v>Cojinete, 707-76-18030, KOMATSU</v>
      </c>
      <c r="D166" s="21" t="s">
        <v>20</v>
      </c>
      <c r="E166" s="21" t="s">
        <v>21</v>
      </c>
      <c r="F166" s="7" t="s">
        <v>22</v>
      </c>
      <c r="G166" s="7" t="s">
        <v>34</v>
      </c>
      <c r="J166" s="7" t="s">
        <v>28</v>
      </c>
      <c r="L166" s="44">
        <v>2615.09</v>
      </c>
      <c r="M166" s="7" t="s">
        <v>23</v>
      </c>
      <c r="N166" s="7" t="s">
        <v>30</v>
      </c>
      <c r="O166" t="s">
        <v>678</v>
      </c>
    </row>
    <row r="167" spans="1:15" ht="14.25" customHeight="1" x14ac:dyDescent="0.3">
      <c r="A167" s="17" t="s">
        <v>1299</v>
      </c>
      <c r="C167" s="8" t="str">
        <f>G167&amp;", "&amp;O167&amp;", "&amp;N167</f>
        <v>Cojinete, 707-76-18040, KOMATSU</v>
      </c>
      <c r="D167" s="21" t="s">
        <v>20</v>
      </c>
      <c r="E167" s="21" t="s">
        <v>21</v>
      </c>
      <c r="F167" s="7" t="s">
        <v>22</v>
      </c>
      <c r="G167" s="7" t="s">
        <v>34</v>
      </c>
      <c r="J167" s="7" t="s">
        <v>28</v>
      </c>
      <c r="L167" s="44">
        <v>2890.03</v>
      </c>
      <c r="M167" s="7" t="s">
        <v>23</v>
      </c>
      <c r="N167" s="7" t="s">
        <v>30</v>
      </c>
      <c r="O167" t="s">
        <v>667</v>
      </c>
    </row>
    <row r="168" spans="1:15" ht="14.25" customHeight="1" x14ac:dyDescent="0.3">
      <c r="A168" s="17" t="s">
        <v>1299</v>
      </c>
      <c r="C168" s="8" t="str">
        <f>G168&amp;", "&amp;O168&amp;", "&amp;N168</f>
        <v>Cojinete, 8J-5654, CATERPILLAR</v>
      </c>
      <c r="D168" s="21" t="s">
        <v>20</v>
      </c>
      <c r="E168" s="21" t="s">
        <v>21</v>
      </c>
      <c r="F168" s="7" t="s">
        <v>22</v>
      </c>
      <c r="G168" s="7" t="s">
        <v>34</v>
      </c>
      <c r="J168" s="7" t="s">
        <v>28</v>
      </c>
      <c r="L168" s="44">
        <v>67.92</v>
      </c>
      <c r="M168" s="7" t="s">
        <v>23</v>
      </c>
      <c r="N168" s="7" t="s">
        <v>24</v>
      </c>
      <c r="O168" t="s">
        <v>679</v>
      </c>
    </row>
    <row r="169" spans="1:15" ht="14.25" customHeight="1" x14ac:dyDescent="0.3">
      <c r="A169" s="17" t="s">
        <v>1299</v>
      </c>
      <c r="C169" s="8" t="str">
        <f>G169&amp;", "&amp;O169&amp;", "&amp;N169</f>
        <v>Cojinete, 8J-9910, CATERPILLAR</v>
      </c>
      <c r="D169" s="21" t="s">
        <v>20</v>
      </c>
      <c r="E169" s="21" t="s">
        <v>21</v>
      </c>
      <c r="F169" s="7" t="s">
        <v>22</v>
      </c>
      <c r="G169" s="7" t="s">
        <v>34</v>
      </c>
      <c r="J169" s="7" t="s">
        <v>28</v>
      </c>
      <c r="L169" s="44">
        <v>132.72</v>
      </c>
      <c r="M169" s="7" t="s">
        <v>23</v>
      </c>
      <c r="N169" s="7" t="s">
        <v>24</v>
      </c>
      <c r="O169" t="s">
        <v>668</v>
      </c>
    </row>
    <row r="170" spans="1:15" ht="14.25" customHeight="1" x14ac:dyDescent="0.3">
      <c r="A170" s="17" t="s">
        <v>1299</v>
      </c>
      <c r="C170" s="8" t="str">
        <f>G170&amp;", "&amp;O170&amp;", "&amp;N170</f>
        <v>Cojinete, 8J-9911, CATERPILLAR</v>
      </c>
      <c r="D170" s="21" t="s">
        <v>20</v>
      </c>
      <c r="E170" s="21" t="s">
        <v>21</v>
      </c>
      <c r="F170" s="7" t="s">
        <v>22</v>
      </c>
      <c r="G170" s="7" t="s">
        <v>34</v>
      </c>
      <c r="J170" s="7" t="s">
        <v>28</v>
      </c>
      <c r="L170" s="44">
        <v>60.97</v>
      </c>
      <c r="M170" s="7" t="s">
        <v>23</v>
      </c>
      <c r="N170" s="7" t="s">
        <v>24</v>
      </c>
      <c r="O170" t="s">
        <v>680</v>
      </c>
    </row>
    <row r="171" spans="1:15" ht="14.25" customHeight="1" x14ac:dyDescent="0.3">
      <c r="A171" s="17" t="s">
        <v>1299</v>
      </c>
      <c r="C171" s="8" t="str">
        <f>G171&amp;", "&amp;O171&amp;", "&amp;N171</f>
        <v>Cojinete, 9J-1175, CATERPILLAR</v>
      </c>
      <c r="D171" s="21" t="s">
        <v>20</v>
      </c>
      <c r="E171" s="21" t="s">
        <v>21</v>
      </c>
      <c r="F171" s="7" t="s">
        <v>22</v>
      </c>
      <c r="G171" s="7" t="s">
        <v>34</v>
      </c>
      <c r="J171" s="7" t="s">
        <v>28</v>
      </c>
      <c r="L171" s="44">
        <v>127.54</v>
      </c>
      <c r="M171" s="7" t="s">
        <v>23</v>
      </c>
      <c r="N171" s="7" t="s">
        <v>24</v>
      </c>
      <c r="O171" t="s">
        <v>669</v>
      </c>
    </row>
    <row r="172" spans="1:15" ht="14.25" customHeight="1" x14ac:dyDescent="0.3">
      <c r="A172" s="17" t="s">
        <v>1299</v>
      </c>
      <c r="C172" s="8" t="str">
        <f>G172&amp;", "&amp;O172&amp;", "&amp;N172</f>
        <v>Cojinete, 234-3748, CATERPILLAR</v>
      </c>
      <c r="D172" s="21" t="s">
        <v>20</v>
      </c>
      <c r="E172" s="21" t="s">
        <v>21</v>
      </c>
      <c r="F172" s="7" t="s">
        <v>22</v>
      </c>
      <c r="G172" s="7" t="s">
        <v>34</v>
      </c>
      <c r="J172" s="7" t="s">
        <v>28</v>
      </c>
      <c r="L172" s="44">
        <v>1166</v>
      </c>
      <c r="M172" s="7" t="s">
        <v>23</v>
      </c>
      <c r="N172" s="7" t="s">
        <v>24</v>
      </c>
      <c r="O172" t="s">
        <v>682</v>
      </c>
    </row>
    <row r="173" spans="1:15" ht="14.25" customHeight="1" x14ac:dyDescent="0.3">
      <c r="A173" s="17" t="s">
        <v>1299</v>
      </c>
      <c r="C173" s="8" t="str">
        <f>G173&amp;", "&amp;O173&amp;", "&amp;N173</f>
        <v>Cojinete, 420-5763, CATERPILLAR</v>
      </c>
      <c r="D173" s="21" t="s">
        <v>20</v>
      </c>
      <c r="E173" s="21" t="s">
        <v>21</v>
      </c>
      <c r="F173" s="7" t="s">
        <v>22</v>
      </c>
      <c r="G173" s="7" t="s">
        <v>34</v>
      </c>
      <c r="J173" s="7" t="s">
        <v>28</v>
      </c>
      <c r="L173" s="44">
        <v>5503.67</v>
      </c>
      <c r="M173" s="7" t="s">
        <v>23</v>
      </c>
      <c r="N173" s="7" t="s">
        <v>24</v>
      </c>
      <c r="O173" t="s">
        <v>683</v>
      </c>
    </row>
    <row r="174" spans="1:15" ht="14.25" customHeight="1" x14ac:dyDescent="0.3">
      <c r="A174" s="17" t="s">
        <v>1299</v>
      </c>
      <c r="C174" s="8" t="str">
        <f>G174&amp;", "&amp;O174&amp;", "&amp;N174</f>
        <v>Cojinete, 462-2004, CATERPILLAR</v>
      </c>
      <c r="D174" s="21" t="s">
        <v>20</v>
      </c>
      <c r="E174" s="21" t="s">
        <v>21</v>
      </c>
      <c r="F174" s="7" t="s">
        <v>22</v>
      </c>
      <c r="G174" s="7" t="s">
        <v>34</v>
      </c>
      <c r="J174" s="7" t="s">
        <v>28</v>
      </c>
      <c r="L174" s="44">
        <v>521.33000000000004</v>
      </c>
      <c r="M174" s="7" t="s">
        <v>23</v>
      </c>
      <c r="N174" s="7" t="s">
        <v>24</v>
      </c>
      <c r="O174" t="s">
        <v>684</v>
      </c>
    </row>
    <row r="175" spans="1:15" ht="14.25" customHeight="1" x14ac:dyDescent="0.3">
      <c r="A175" s="17" t="s">
        <v>1299</v>
      </c>
      <c r="C175" s="8" t="str">
        <f>G175&amp;", "&amp;O175&amp;", "&amp;N175</f>
        <v>Cojinete, 471-1979, CATERPILLAR</v>
      </c>
      <c r="D175" s="21" t="s">
        <v>20</v>
      </c>
      <c r="E175" s="21" t="s">
        <v>21</v>
      </c>
      <c r="F175" s="7" t="s">
        <v>22</v>
      </c>
      <c r="G175" s="7" t="s">
        <v>34</v>
      </c>
      <c r="J175" s="7" t="s">
        <v>28</v>
      </c>
      <c r="L175" s="44">
        <v>2694.72</v>
      </c>
      <c r="M175" s="7" t="s">
        <v>23</v>
      </c>
      <c r="N175" s="7" t="s">
        <v>24</v>
      </c>
      <c r="O175" t="s">
        <v>685</v>
      </c>
    </row>
    <row r="176" spans="1:15" ht="14.25" customHeight="1" x14ac:dyDescent="0.3">
      <c r="A176" s="17" t="s">
        <v>1299</v>
      </c>
      <c r="C176" s="8" t="str">
        <f>G176&amp;", "&amp;O176&amp;", "&amp;N176</f>
        <v>Cojinete, 4I-1520, CATERPILLAR</v>
      </c>
      <c r="D176" s="21" t="s">
        <v>20</v>
      </c>
      <c r="E176" s="21" t="s">
        <v>21</v>
      </c>
      <c r="F176" s="7" t="s">
        <v>22</v>
      </c>
      <c r="G176" s="7" t="s">
        <v>34</v>
      </c>
      <c r="J176" s="7" t="s">
        <v>28</v>
      </c>
      <c r="L176" s="44">
        <v>521.33000000000004</v>
      </c>
      <c r="M176" s="7" t="s">
        <v>23</v>
      </c>
      <c r="N176" s="7" t="s">
        <v>24</v>
      </c>
      <c r="O176" t="s">
        <v>686</v>
      </c>
    </row>
    <row r="177" spans="1:15" ht="14.25" customHeight="1" x14ac:dyDescent="0.3">
      <c r="A177" s="17" t="s">
        <v>1299</v>
      </c>
      <c r="C177" s="8" t="str">
        <f>G177&amp;", "&amp;O177&amp;", "&amp;N177</f>
        <v>Cojinete, 6E-1364, CATERPILLAR</v>
      </c>
      <c r="D177" s="21" t="s">
        <v>20</v>
      </c>
      <c r="E177" s="21" t="s">
        <v>21</v>
      </c>
      <c r="F177" s="7" t="s">
        <v>22</v>
      </c>
      <c r="G177" s="7" t="s">
        <v>34</v>
      </c>
      <c r="J177" s="7" t="s">
        <v>28</v>
      </c>
      <c r="L177" s="44">
        <v>1607.31</v>
      </c>
      <c r="M177" s="7" t="s">
        <v>23</v>
      </c>
      <c r="N177" s="7" t="s">
        <v>24</v>
      </c>
      <c r="O177" t="s">
        <v>687</v>
      </c>
    </row>
    <row r="178" spans="1:15" ht="14.25" customHeight="1" x14ac:dyDescent="0.3">
      <c r="A178" s="17" t="s">
        <v>1299</v>
      </c>
      <c r="C178" s="8" t="str">
        <f>G178&amp;", "&amp;O178&amp;", "&amp;N178</f>
        <v>Cojinete, 8X-0742, CATERPILLAR</v>
      </c>
      <c r="D178" s="21" t="s">
        <v>20</v>
      </c>
      <c r="E178" s="21" t="s">
        <v>21</v>
      </c>
      <c r="F178" s="7" t="s">
        <v>22</v>
      </c>
      <c r="G178" s="7" t="s">
        <v>34</v>
      </c>
      <c r="J178" s="7" t="s">
        <v>28</v>
      </c>
      <c r="L178" s="44">
        <v>4014.64</v>
      </c>
      <c r="M178" s="7" t="s">
        <v>23</v>
      </c>
      <c r="N178" s="7" t="s">
        <v>24</v>
      </c>
      <c r="O178" t="s">
        <v>688</v>
      </c>
    </row>
    <row r="179" spans="1:15" ht="14.25" customHeight="1" x14ac:dyDescent="0.3">
      <c r="A179" s="17" t="s">
        <v>1299</v>
      </c>
      <c r="C179" s="8" t="str">
        <f>G179&amp;", "&amp;O179&amp;", "&amp;N179</f>
        <v>Cojinete, 148-3381, CATERPILLAR</v>
      </c>
      <c r="D179" s="21" t="s">
        <v>20</v>
      </c>
      <c r="E179" s="21" t="s">
        <v>21</v>
      </c>
      <c r="F179" s="7" t="s">
        <v>22</v>
      </c>
      <c r="G179" s="7" t="s">
        <v>34</v>
      </c>
      <c r="J179" s="7" t="s">
        <v>28</v>
      </c>
      <c r="L179" s="44">
        <v>1056.6199999999999</v>
      </c>
      <c r="M179" s="7" t="s">
        <v>23</v>
      </c>
      <c r="N179" s="7" t="s">
        <v>24</v>
      </c>
      <c r="O179" t="s">
        <v>689</v>
      </c>
    </row>
    <row r="180" spans="1:15" ht="14.25" customHeight="1" x14ac:dyDescent="0.3">
      <c r="A180" s="17" t="s">
        <v>1299</v>
      </c>
      <c r="C180" s="8" t="str">
        <f>G180&amp;", "&amp;O180&amp;", "&amp;N180</f>
        <v>Cojinete, 172-2997, CATERPILLAR</v>
      </c>
      <c r="D180" s="21" t="s">
        <v>20</v>
      </c>
      <c r="E180" s="21" t="s">
        <v>21</v>
      </c>
      <c r="F180" s="7" t="s">
        <v>22</v>
      </c>
      <c r="G180" s="7" t="s">
        <v>34</v>
      </c>
      <c r="J180" s="7" t="s">
        <v>28</v>
      </c>
      <c r="L180" s="44">
        <v>1355.49</v>
      </c>
      <c r="M180" s="7" t="s">
        <v>23</v>
      </c>
      <c r="N180" s="7" t="s">
        <v>24</v>
      </c>
      <c r="O180" t="s">
        <v>690</v>
      </c>
    </row>
    <row r="181" spans="1:15" ht="14.25" customHeight="1" x14ac:dyDescent="0.3">
      <c r="A181" s="17" t="s">
        <v>1299</v>
      </c>
      <c r="C181" s="8" t="str">
        <f>G181&amp;", "&amp;O181&amp;", "&amp;N181</f>
        <v>Cojinete, 198-5529, CATERPILLAR</v>
      </c>
      <c r="D181" s="21" t="s">
        <v>20</v>
      </c>
      <c r="E181" s="21" t="s">
        <v>21</v>
      </c>
      <c r="F181" s="7" t="s">
        <v>22</v>
      </c>
      <c r="G181" s="7" t="s">
        <v>34</v>
      </c>
      <c r="J181" s="7" t="s">
        <v>28</v>
      </c>
      <c r="L181" s="44">
        <v>724.05</v>
      </c>
      <c r="M181" s="7" t="s">
        <v>23</v>
      </c>
      <c r="N181" s="7" t="s">
        <v>24</v>
      </c>
      <c r="O181" t="s">
        <v>681</v>
      </c>
    </row>
    <row r="182" spans="1:15" ht="14.25" customHeight="1" x14ac:dyDescent="0.3">
      <c r="A182" s="17" t="s">
        <v>1299</v>
      </c>
      <c r="C182" s="8" t="str">
        <f>G182&amp;", "&amp;O182&amp;", "&amp;N182</f>
        <v>Cojinete, 374-4658, CATERPILLAR</v>
      </c>
      <c r="D182" s="21" t="s">
        <v>20</v>
      </c>
      <c r="E182" s="21" t="s">
        <v>21</v>
      </c>
      <c r="F182" s="7" t="s">
        <v>22</v>
      </c>
      <c r="G182" s="7" t="s">
        <v>34</v>
      </c>
      <c r="J182" s="7" t="s">
        <v>28</v>
      </c>
      <c r="L182" s="44">
        <v>1459</v>
      </c>
      <c r="M182" s="7" t="s">
        <v>23</v>
      </c>
      <c r="N182" s="7" t="s">
        <v>24</v>
      </c>
      <c r="O182" t="s">
        <v>691</v>
      </c>
    </row>
    <row r="183" spans="1:15" ht="14.25" customHeight="1" x14ac:dyDescent="0.3">
      <c r="A183" s="17" t="s">
        <v>1299</v>
      </c>
      <c r="C183" s="8" t="str">
        <f>G183&amp;", "&amp;O183&amp;", "&amp;N183</f>
        <v>Cojinete, 420-5764, CATERPILLAR</v>
      </c>
      <c r="D183" s="21" t="s">
        <v>20</v>
      </c>
      <c r="E183" s="21" t="s">
        <v>21</v>
      </c>
      <c r="F183" s="7" t="s">
        <v>22</v>
      </c>
      <c r="G183" s="7" t="s">
        <v>34</v>
      </c>
      <c r="J183" s="7" t="s">
        <v>28</v>
      </c>
      <c r="L183" s="44">
        <v>5148.82</v>
      </c>
      <c r="M183" s="7" t="s">
        <v>23</v>
      </c>
      <c r="N183" s="7" t="s">
        <v>24</v>
      </c>
      <c r="O183" t="s">
        <v>692</v>
      </c>
    </row>
    <row r="184" spans="1:15" ht="14.25" customHeight="1" x14ac:dyDescent="0.3">
      <c r="A184" s="17" t="s">
        <v>1299</v>
      </c>
      <c r="C184" s="8" t="str">
        <f>G184&amp;", "&amp;O184&amp;", "&amp;N184</f>
        <v>Cojinete, 471-1977, CATERPILLAR</v>
      </c>
      <c r="D184" s="21" t="s">
        <v>20</v>
      </c>
      <c r="E184" s="21" t="s">
        <v>21</v>
      </c>
      <c r="F184" s="7" t="s">
        <v>22</v>
      </c>
      <c r="G184" s="7" t="s">
        <v>34</v>
      </c>
      <c r="J184" s="7" t="s">
        <v>28</v>
      </c>
      <c r="L184" s="44">
        <v>1330.87</v>
      </c>
      <c r="M184" s="7" t="s">
        <v>23</v>
      </c>
      <c r="N184" s="7" t="s">
        <v>24</v>
      </c>
      <c r="O184" t="s">
        <v>693</v>
      </c>
    </row>
    <row r="185" spans="1:15" ht="14.25" customHeight="1" x14ac:dyDescent="0.3">
      <c r="A185" s="17" t="s">
        <v>1299</v>
      </c>
      <c r="C185" s="8" t="str">
        <f>G185&amp;", "&amp;O185&amp;", "&amp;N185</f>
        <v>Cojinete, 4E-8078, CATERPILLAR</v>
      </c>
      <c r="D185" s="21" t="s">
        <v>20</v>
      </c>
      <c r="E185" s="21" t="s">
        <v>21</v>
      </c>
      <c r="F185" s="7" t="s">
        <v>22</v>
      </c>
      <c r="G185" s="7" t="s">
        <v>34</v>
      </c>
      <c r="J185" s="7" t="s">
        <v>28</v>
      </c>
      <c r="L185" s="44">
        <v>201.85</v>
      </c>
      <c r="M185" s="7" t="s">
        <v>23</v>
      </c>
      <c r="N185" s="7" t="s">
        <v>24</v>
      </c>
      <c r="O185" t="s">
        <v>694</v>
      </c>
    </row>
    <row r="186" spans="1:15" ht="14.25" customHeight="1" x14ac:dyDescent="0.3">
      <c r="A186" s="17" t="s">
        <v>1299</v>
      </c>
      <c r="C186" s="8" t="str">
        <f>G186&amp;", "&amp;O186&amp;", "&amp;N186</f>
        <v>Cojinete, 6E-0813, CATERPILLAR</v>
      </c>
      <c r="D186" s="21" t="s">
        <v>20</v>
      </c>
      <c r="E186" s="21" t="s">
        <v>21</v>
      </c>
      <c r="F186" s="7" t="s">
        <v>22</v>
      </c>
      <c r="G186" s="7" t="s">
        <v>34</v>
      </c>
      <c r="J186" s="7" t="s">
        <v>28</v>
      </c>
      <c r="L186" s="44">
        <v>1064.54</v>
      </c>
      <c r="M186" s="7" t="s">
        <v>23</v>
      </c>
      <c r="N186" s="7" t="s">
        <v>24</v>
      </c>
      <c r="O186" t="s">
        <v>695</v>
      </c>
    </row>
    <row r="187" spans="1:15" ht="14.25" customHeight="1" x14ac:dyDescent="0.3">
      <c r="A187" s="17" t="s">
        <v>1299</v>
      </c>
      <c r="C187" s="8" t="str">
        <f>G187&amp;", "&amp;O187&amp;", "&amp;N187</f>
        <v>Cojinete, 8X-0743, CATERPILLAR</v>
      </c>
      <c r="D187" s="21" t="s">
        <v>20</v>
      </c>
      <c r="E187" s="21" t="s">
        <v>21</v>
      </c>
      <c r="F187" s="7" t="s">
        <v>22</v>
      </c>
      <c r="G187" s="7" t="s">
        <v>34</v>
      </c>
      <c r="J187" s="7" t="s">
        <v>28</v>
      </c>
      <c r="L187" s="44">
        <v>3160.69</v>
      </c>
      <c r="M187" s="7" t="s">
        <v>23</v>
      </c>
      <c r="N187" s="7" t="s">
        <v>24</v>
      </c>
      <c r="O187" t="s">
        <v>696</v>
      </c>
    </row>
    <row r="188" spans="1:15" ht="14.25" customHeight="1" x14ac:dyDescent="0.3">
      <c r="A188" s="17" t="s">
        <v>1299</v>
      </c>
      <c r="C188" s="8" t="str">
        <f>G188&amp;", "&amp;O188&amp;", "&amp;N188</f>
        <v>Cone Roller, PB9996, KOMATSU</v>
      </c>
      <c r="D188" s="21" t="s">
        <v>20</v>
      </c>
      <c r="E188" s="21" t="s">
        <v>21</v>
      </c>
      <c r="F188" s="7" t="s">
        <v>22</v>
      </c>
      <c r="G188" s="7" t="s">
        <v>699</v>
      </c>
      <c r="J188" s="7" t="s">
        <v>28</v>
      </c>
      <c r="L188" s="44">
        <v>2340</v>
      </c>
      <c r="M188" s="7" t="s">
        <v>23</v>
      </c>
      <c r="N188" s="7" t="s">
        <v>30</v>
      </c>
      <c r="O188" t="s">
        <v>697</v>
      </c>
    </row>
    <row r="189" spans="1:15" ht="14.25" customHeight="1" x14ac:dyDescent="0.3">
      <c r="A189" s="17" t="s">
        <v>1299</v>
      </c>
      <c r="C189" s="8" t="str">
        <f>G189&amp;", "&amp;O189&amp;", "&amp;N189</f>
        <v>Cone Roller, PC1130, KOMATSU</v>
      </c>
      <c r="D189" s="21" t="s">
        <v>20</v>
      </c>
      <c r="E189" s="21" t="s">
        <v>21</v>
      </c>
      <c r="F189" s="7" t="s">
        <v>22</v>
      </c>
      <c r="G189" s="7" t="s">
        <v>699</v>
      </c>
      <c r="J189" s="7" t="s">
        <v>28</v>
      </c>
      <c r="L189" s="44">
        <v>286.2</v>
      </c>
      <c r="M189" s="7" t="s">
        <v>23</v>
      </c>
      <c r="N189" s="7" t="s">
        <v>30</v>
      </c>
      <c r="O189" t="s">
        <v>698</v>
      </c>
    </row>
    <row r="190" spans="1:15" ht="14.25" customHeight="1" x14ac:dyDescent="0.3">
      <c r="A190" s="17" t="s">
        <v>1299</v>
      </c>
      <c r="C190" s="8" t="str">
        <f>G190&amp;", "&amp;O190&amp;", "&amp;N190</f>
        <v>Conjunto amortiguador, 5D-6328, CATERPILLAR</v>
      </c>
      <c r="D190" s="21" t="s">
        <v>20</v>
      </c>
      <c r="E190" s="21" t="s">
        <v>21</v>
      </c>
      <c r="F190" s="7" t="s">
        <v>22</v>
      </c>
      <c r="G190" s="7" t="s">
        <v>701</v>
      </c>
      <c r="J190" s="7" t="s">
        <v>28</v>
      </c>
      <c r="L190" s="44">
        <v>113.63</v>
      </c>
      <c r="M190" s="7" t="s">
        <v>23</v>
      </c>
      <c r="N190" s="7" t="s">
        <v>24</v>
      </c>
      <c r="O190" t="s">
        <v>703</v>
      </c>
    </row>
    <row r="191" spans="1:15" ht="14.25" customHeight="1" x14ac:dyDescent="0.3">
      <c r="A191" s="17" t="s">
        <v>1299</v>
      </c>
      <c r="C191" s="8" t="str">
        <f>G191&amp;", "&amp;O191&amp;", "&amp;N191</f>
        <v>Cojinete, 6V-7959, CATERPILLAR</v>
      </c>
      <c r="D191" s="21" t="s">
        <v>20</v>
      </c>
      <c r="E191" s="21" t="s">
        <v>21</v>
      </c>
      <c r="F191" s="7" t="s">
        <v>22</v>
      </c>
      <c r="G191" s="7" t="s">
        <v>34</v>
      </c>
      <c r="J191" s="7" t="s">
        <v>28</v>
      </c>
      <c r="L191" s="44">
        <v>125</v>
      </c>
      <c r="M191" s="7" t="s">
        <v>23</v>
      </c>
      <c r="N191" s="7" t="s">
        <v>24</v>
      </c>
      <c r="O191" t="s">
        <v>704</v>
      </c>
    </row>
    <row r="192" spans="1:15" ht="14.25" customHeight="1" x14ac:dyDescent="0.3">
      <c r="A192" s="17" t="s">
        <v>1299</v>
      </c>
      <c r="C192" s="8" t="str">
        <f>G192&amp;", "&amp;O192&amp;", "&amp;N192</f>
        <v>Conjunto de enchufe, 435-3388, CATERPILLAR</v>
      </c>
      <c r="D192" s="21" t="s">
        <v>20</v>
      </c>
      <c r="E192" s="21" t="s">
        <v>21</v>
      </c>
      <c r="F192" s="7" t="s">
        <v>22</v>
      </c>
      <c r="G192" s="7" t="s">
        <v>705</v>
      </c>
      <c r="J192" s="7" t="s">
        <v>28</v>
      </c>
      <c r="L192" s="44">
        <v>65.150000000000006</v>
      </c>
      <c r="M192" s="7" t="s">
        <v>23</v>
      </c>
      <c r="N192" s="7" t="s">
        <v>24</v>
      </c>
      <c r="O192" t="s">
        <v>707</v>
      </c>
    </row>
    <row r="193" spans="1:15" ht="14.25" customHeight="1" x14ac:dyDescent="0.3">
      <c r="A193" s="17" t="s">
        <v>1299</v>
      </c>
      <c r="C193" s="8" t="str">
        <f>G193&amp;", "&amp;O193&amp;", "&amp;N193</f>
        <v>Conjunto de enchufe, 593-6443, CATERPILLAR</v>
      </c>
      <c r="D193" s="21" t="s">
        <v>20</v>
      </c>
      <c r="E193" s="21" t="s">
        <v>21</v>
      </c>
      <c r="F193" s="7" t="s">
        <v>22</v>
      </c>
      <c r="G193" s="7" t="s">
        <v>705</v>
      </c>
      <c r="J193" s="7" t="s">
        <v>28</v>
      </c>
      <c r="L193" s="44">
        <v>36.9</v>
      </c>
      <c r="M193" s="7" t="s">
        <v>23</v>
      </c>
      <c r="N193" s="7" t="s">
        <v>24</v>
      </c>
      <c r="O193" t="s">
        <v>708</v>
      </c>
    </row>
    <row r="194" spans="1:15" ht="14.25" customHeight="1" x14ac:dyDescent="0.3">
      <c r="A194" s="17" t="s">
        <v>1299</v>
      </c>
      <c r="C194" s="8" t="str">
        <f>G194&amp;", "&amp;O194&amp;", "&amp;N194</f>
        <v>Conjunto de imán, 610-5958, CATERPILLAR</v>
      </c>
      <c r="D194" s="21" t="s">
        <v>20</v>
      </c>
      <c r="E194" s="21" t="s">
        <v>21</v>
      </c>
      <c r="F194" s="7" t="s">
        <v>22</v>
      </c>
      <c r="G194" s="7" t="s">
        <v>710</v>
      </c>
      <c r="J194" s="7" t="s">
        <v>28</v>
      </c>
      <c r="L194" s="44">
        <v>48.46</v>
      </c>
      <c r="M194" s="7" t="s">
        <v>23</v>
      </c>
      <c r="N194" s="7" t="s">
        <v>24</v>
      </c>
      <c r="O194" t="s">
        <v>709</v>
      </c>
    </row>
    <row r="195" spans="1:15" ht="14.25" customHeight="1" x14ac:dyDescent="0.3">
      <c r="A195" s="17" t="s">
        <v>1299</v>
      </c>
      <c r="C195" s="8" t="str">
        <f>G195&amp;", "&amp;O195&amp;", "&amp;N195</f>
        <v>Conjunto de sello, 192-1425, CATERPILLAR</v>
      </c>
      <c r="D195" s="21" t="s">
        <v>20</v>
      </c>
      <c r="E195" s="21" t="s">
        <v>21</v>
      </c>
      <c r="F195" s="7" t="s">
        <v>22</v>
      </c>
      <c r="G195" s="7" t="s">
        <v>713</v>
      </c>
      <c r="J195" s="7" t="s">
        <v>28</v>
      </c>
      <c r="L195" s="44">
        <v>152.54</v>
      </c>
      <c r="M195" s="7" t="s">
        <v>23</v>
      </c>
      <c r="N195" s="7" t="s">
        <v>24</v>
      </c>
      <c r="O195" t="s">
        <v>714</v>
      </c>
    </row>
    <row r="196" spans="1:15" ht="14.25" customHeight="1" x14ac:dyDescent="0.3">
      <c r="A196" s="17" t="s">
        <v>1299</v>
      </c>
      <c r="C196" s="8" t="str">
        <f>G196&amp;", "&amp;O196&amp;", "&amp;N196</f>
        <v>Conjunto de sello, 192-1435, CATERPILLAR</v>
      </c>
      <c r="D196" s="21" t="s">
        <v>20</v>
      </c>
      <c r="E196" s="21" t="s">
        <v>21</v>
      </c>
      <c r="F196" s="7" t="s">
        <v>22</v>
      </c>
      <c r="G196" s="7" t="s">
        <v>713</v>
      </c>
      <c r="J196" s="7" t="s">
        <v>28</v>
      </c>
      <c r="L196" s="44">
        <v>161.83000000000001</v>
      </c>
      <c r="M196" s="7" t="s">
        <v>23</v>
      </c>
      <c r="N196" s="7" t="s">
        <v>24</v>
      </c>
      <c r="O196" t="s">
        <v>715</v>
      </c>
    </row>
    <row r="197" spans="1:15" ht="14.25" customHeight="1" x14ac:dyDescent="0.3">
      <c r="A197" s="17" t="s">
        <v>1299</v>
      </c>
      <c r="C197" s="8" t="str">
        <f>G197&amp;", "&amp;O197&amp;", "&amp;N197</f>
        <v>Conjunto de sello, 495-8197, CATERPILLAR</v>
      </c>
      <c r="D197" s="21" t="s">
        <v>20</v>
      </c>
      <c r="E197" s="21" t="s">
        <v>21</v>
      </c>
      <c r="F197" s="7" t="s">
        <v>22</v>
      </c>
      <c r="G197" s="7" t="s">
        <v>713</v>
      </c>
      <c r="J197" s="7" t="s">
        <v>28</v>
      </c>
      <c r="L197" s="44">
        <v>62.22</v>
      </c>
      <c r="M197" s="7" t="s">
        <v>23</v>
      </c>
      <c r="N197" s="7" t="s">
        <v>24</v>
      </c>
      <c r="O197" t="s">
        <v>716</v>
      </c>
    </row>
    <row r="198" spans="1:15" ht="14.25" customHeight="1" x14ac:dyDescent="0.3">
      <c r="A198" s="17" t="s">
        <v>1299</v>
      </c>
      <c r="C198" s="8" t="str">
        <f>G198&amp;", "&amp;O198&amp;", "&amp;N198</f>
        <v>Conjunto de sello, 4T-8054, CATERPILLAR</v>
      </c>
      <c r="D198" s="21" t="s">
        <v>20</v>
      </c>
      <c r="E198" s="21" t="s">
        <v>21</v>
      </c>
      <c r="F198" s="7" t="s">
        <v>22</v>
      </c>
      <c r="G198" s="7" t="s">
        <v>713</v>
      </c>
      <c r="J198" s="7" t="s">
        <v>28</v>
      </c>
      <c r="L198" s="44">
        <v>51.4</v>
      </c>
      <c r="M198" s="7" t="s">
        <v>23</v>
      </c>
      <c r="N198" s="7" t="s">
        <v>24</v>
      </c>
      <c r="O198" t="s">
        <v>717</v>
      </c>
    </row>
    <row r="199" spans="1:15" ht="14.25" customHeight="1" x14ac:dyDescent="0.3">
      <c r="A199" s="17" t="s">
        <v>1299</v>
      </c>
      <c r="C199" s="8" t="str">
        <f>G199&amp;", "&amp;O199&amp;", "&amp;N199</f>
        <v>Conjunto de sello, 5J-5402, CATERPILLAR</v>
      </c>
      <c r="D199" s="21" t="s">
        <v>20</v>
      </c>
      <c r="E199" s="21" t="s">
        <v>21</v>
      </c>
      <c r="F199" s="7" t="s">
        <v>22</v>
      </c>
      <c r="G199" s="7" t="s">
        <v>713</v>
      </c>
      <c r="J199" s="7" t="s">
        <v>28</v>
      </c>
      <c r="L199" s="44">
        <v>52.84</v>
      </c>
      <c r="M199" s="7" t="s">
        <v>23</v>
      </c>
      <c r="N199" s="7" t="s">
        <v>24</v>
      </c>
      <c r="O199" t="s">
        <v>718</v>
      </c>
    </row>
    <row r="200" spans="1:15" ht="14.25" customHeight="1" x14ac:dyDescent="0.3">
      <c r="A200" s="17" t="s">
        <v>1299</v>
      </c>
      <c r="C200" s="8" t="str">
        <f>G200&amp;", "&amp;O200&amp;", "&amp;N200</f>
        <v>Conjunto de sello, 8T-1794, CATERPILLAR</v>
      </c>
      <c r="D200" s="21" t="s">
        <v>20</v>
      </c>
      <c r="E200" s="21" t="s">
        <v>21</v>
      </c>
      <c r="F200" s="7" t="s">
        <v>22</v>
      </c>
      <c r="G200" s="7" t="s">
        <v>713</v>
      </c>
      <c r="J200" s="7" t="s">
        <v>28</v>
      </c>
      <c r="L200" s="44">
        <v>219.26</v>
      </c>
      <c r="M200" s="7" t="s">
        <v>23</v>
      </c>
      <c r="N200" s="7" t="s">
        <v>24</v>
      </c>
      <c r="O200" t="s">
        <v>719</v>
      </c>
    </row>
    <row r="201" spans="1:15" ht="14.25" customHeight="1" x14ac:dyDescent="0.3">
      <c r="A201" s="17" t="s">
        <v>1299</v>
      </c>
      <c r="C201" s="8" t="str">
        <f>G201&amp;", "&amp;O201&amp;", "&amp;N201</f>
        <v>Conjunto de tapón, 162-0177, CATERPILLAR</v>
      </c>
      <c r="D201" s="21" t="s">
        <v>20</v>
      </c>
      <c r="E201" s="21" t="s">
        <v>21</v>
      </c>
      <c r="F201" s="7" t="s">
        <v>22</v>
      </c>
      <c r="G201" s="7" t="s">
        <v>726</v>
      </c>
      <c r="J201" s="7" t="s">
        <v>28</v>
      </c>
      <c r="L201" s="44" t="s">
        <v>19</v>
      </c>
      <c r="M201" s="7" t="s">
        <v>23</v>
      </c>
      <c r="N201" s="7" t="s">
        <v>24</v>
      </c>
      <c r="O201" t="s">
        <v>720</v>
      </c>
    </row>
    <row r="202" spans="1:15" ht="14.25" customHeight="1" x14ac:dyDescent="0.3">
      <c r="A202" s="17" t="s">
        <v>1299</v>
      </c>
      <c r="C202" s="8" t="str">
        <f>G202&amp;", "&amp;O202&amp;", "&amp;N202</f>
        <v>Conjunto de tapón, 183-7263, CATERPILLAR</v>
      </c>
      <c r="D202" s="21" t="s">
        <v>20</v>
      </c>
      <c r="E202" s="21" t="s">
        <v>21</v>
      </c>
      <c r="F202" s="7" t="s">
        <v>22</v>
      </c>
      <c r="G202" s="7" t="s">
        <v>726</v>
      </c>
      <c r="J202" s="7" t="s">
        <v>28</v>
      </c>
      <c r="L202" s="44">
        <v>10.32</v>
      </c>
      <c r="M202" s="7" t="s">
        <v>23</v>
      </c>
      <c r="N202" s="7" t="s">
        <v>24</v>
      </c>
      <c r="O202" t="s">
        <v>721</v>
      </c>
    </row>
    <row r="203" spans="1:15" ht="14.25" customHeight="1" x14ac:dyDescent="0.3">
      <c r="A203" s="17" t="s">
        <v>1299</v>
      </c>
      <c r="C203" s="8" t="str">
        <f>G203&amp;", "&amp;O203&amp;", "&amp;N203</f>
        <v>Conjunto de tapón, 207-8218, CATERPILLAR</v>
      </c>
      <c r="D203" s="21" t="s">
        <v>20</v>
      </c>
      <c r="E203" s="21" t="s">
        <v>21</v>
      </c>
      <c r="F203" s="7" t="s">
        <v>22</v>
      </c>
      <c r="G203" s="7" t="s">
        <v>726</v>
      </c>
      <c r="J203" s="7" t="s">
        <v>28</v>
      </c>
      <c r="L203" s="44">
        <v>7.8</v>
      </c>
      <c r="M203" s="7" t="s">
        <v>23</v>
      </c>
      <c r="N203" s="7" t="s">
        <v>24</v>
      </c>
      <c r="O203" t="s">
        <v>722</v>
      </c>
    </row>
    <row r="204" spans="1:15" ht="14.25" customHeight="1" x14ac:dyDescent="0.3">
      <c r="A204" s="17" t="s">
        <v>1299</v>
      </c>
      <c r="C204" s="8" t="str">
        <f>G204&amp;", "&amp;O204&amp;", "&amp;N204</f>
        <v>Conjunto de tapón, 437-0783, CATERPILLAR</v>
      </c>
      <c r="D204" s="21" t="s">
        <v>20</v>
      </c>
      <c r="E204" s="21" t="s">
        <v>21</v>
      </c>
      <c r="F204" s="7" t="s">
        <v>22</v>
      </c>
      <c r="G204" s="7" t="s">
        <v>726</v>
      </c>
      <c r="J204" s="7" t="s">
        <v>28</v>
      </c>
      <c r="L204" s="44" t="s">
        <v>19</v>
      </c>
      <c r="M204" s="7" t="s">
        <v>23</v>
      </c>
      <c r="N204" s="7" t="s">
        <v>24</v>
      </c>
      <c r="O204" t="s">
        <v>723</v>
      </c>
    </row>
    <row r="205" spans="1:15" ht="14.25" customHeight="1" x14ac:dyDescent="0.3">
      <c r="A205" s="17" t="s">
        <v>1299</v>
      </c>
      <c r="C205" s="8" t="str">
        <f>G205&amp;", "&amp;O205&amp;", "&amp;N205</f>
        <v>Conjunto de tapón, 438-1137, CATERPILLAR</v>
      </c>
      <c r="D205" s="21" t="s">
        <v>20</v>
      </c>
      <c r="E205" s="21" t="s">
        <v>21</v>
      </c>
      <c r="F205" s="7" t="s">
        <v>22</v>
      </c>
      <c r="G205" s="7" t="s">
        <v>726</v>
      </c>
      <c r="J205" s="7" t="s">
        <v>28</v>
      </c>
      <c r="L205" s="44">
        <v>47.68</v>
      </c>
      <c r="M205" s="7" t="s">
        <v>23</v>
      </c>
      <c r="N205" s="7" t="s">
        <v>24</v>
      </c>
      <c r="O205" t="s">
        <v>724</v>
      </c>
    </row>
    <row r="206" spans="1:15" ht="14.25" customHeight="1" x14ac:dyDescent="0.3">
      <c r="A206" s="17" t="s">
        <v>1299</v>
      </c>
      <c r="C206" s="8" t="str">
        <f>G206&amp;", "&amp;O206&amp;", "&amp;N206</f>
        <v>Conjunto de tapón, 576-7429, CATERPILLAR</v>
      </c>
      <c r="D206" s="21" t="s">
        <v>20</v>
      </c>
      <c r="E206" s="21" t="s">
        <v>21</v>
      </c>
      <c r="F206" s="7" t="s">
        <v>22</v>
      </c>
      <c r="G206" s="7" t="s">
        <v>726</v>
      </c>
      <c r="J206" s="7" t="s">
        <v>28</v>
      </c>
      <c r="L206" s="44">
        <v>510.1</v>
      </c>
      <c r="M206" s="7" t="s">
        <v>23</v>
      </c>
      <c r="N206" s="7" t="s">
        <v>24</v>
      </c>
      <c r="O206" t="s">
        <v>725</v>
      </c>
    </row>
    <row r="207" spans="1:15" ht="14.25" customHeight="1" x14ac:dyDescent="0.3">
      <c r="A207" s="17" t="s">
        <v>1299</v>
      </c>
      <c r="C207" s="8" t="str">
        <f>G207&amp;", "&amp;O207&amp;", "&amp;N207</f>
        <v>Conjunto de válvula, EC1015, KOMATSU</v>
      </c>
      <c r="D207" s="21" t="s">
        <v>20</v>
      </c>
      <c r="E207" s="21" t="s">
        <v>21</v>
      </c>
      <c r="F207" s="7" t="s">
        <v>22</v>
      </c>
      <c r="G207" s="7" t="s">
        <v>729</v>
      </c>
      <c r="J207" s="7" t="s">
        <v>28</v>
      </c>
      <c r="L207" s="44">
        <v>432.7</v>
      </c>
      <c r="M207" s="7" t="s">
        <v>23</v>
      </c>
      <c r="N207" s="7" t="s">
        <v>30</v>
      </c>
      <c r="O207" t="s">
        <v>730</v>
      </c>
    </row>
    <row r="208" spans="1:15" ht="14.25" customHeight="1" x14ac:dyDescent="0.3">
      <c r="A208" s="17" t="s">
        <v>1299</v>
      </c>
      <c r="C208" s="8" t="str">
        <f>G208&amp;", "&amp;O208&amp;", "&amp;N208</f>
        <v>Conjunto de resorte, 342-9553, CATERPILLAR</v>
      </c>
      <c r="D208" s="21" t="s">
        <v>20</v>
      </c>
      <c r="E208" s="21" t="s">
        <v>21</v>
      </c>
      <c r="F208" s="7" t="s">
        <v>22</v>
      </c>
      <c r="G208" s="7" t="s">
        <v>732</v>
      </c>
      <c r="J208" s="7" t="s">
        <v>28</v>
      </c>
      <c r="L208" s="44">
        <v>231.17</v>
      </c>
      <c r="M208" s="7" t="s">
        <v>23</v>
      </c>
      <c r="N208" s="7" t="s">
        <v>24</v>
      </c>
      <c r="O208" t="s">
        <v>731</v>
      </c>
    </row>
    <row r="209" spans="1:15" ht="14.25" customHeight="1" x14ac:dyDescent="0.3">
      <c r="A209" s="17" t="s">
        <v>1299</v>
      </c>
      <c r="C209" s="8" t="str">
        <f>G209&amp;", "&amp;O209&amp;", "&amp;N209</f>
        <v>Contratuerca, 3J-6899, CATERPILLAR</v>
      </c>
      <c r="D209" s="21" t="s">
        <v>20</v>
      </c>
      <c r="E209" s="21" t="s">
        <v>21</v>
      </c>
      <c r="F209" s="7" t="s">
        <v>22</v>
      </c>
      <c r="G209" s="7" t="s">
        <v>739</v>
      </c>
      <c r="J209" s="7" t="s">
        <v>28</v>
      </c>
      <c r="L209" s="44">
        <v>66.06</v>
      </c>
      <c r="M209" s="7" t="s">
        <v>23</v>
      </c>
      <c r="N209" s="7" t="s">
        <v>24</v>
      </c>
      <c r="O209" t="s">
        <v>735</v>
      </c>
    </row>
    <row r="210" spans="1:15" ht="14.25" customHeight="1" x14ac:dyDescent="0.3">
      <c r="A210" s="17" t="s">
        <v>1299</v>
      </c>
      <c r="C210" s="8" t="str">
        <f>G210&amp;", "&amp;O210&amp;", "&amp;N210</f>
        <v>Contratuerca, 5M-6667, CATERPILLAR</v>
      </c>
      <c r="D210" s="21" t="s">
        <v>20</v>
      </c>
      <c r="E210" s="21" t="s">
        <v>21</v>
      </c>
      <c r="F210" s="7" t="s">
        <v>22</v>
      </c>
      <c r="G210" s="7" t="s">
        <v>739</v>
      </c>
      <c r="J210" s="7" t="s">
        <v>28</v>
      </c>
      <c r="L210" s="44">
        <v>52.56</v>
      </c>
      <c r="M210" s="7" t="s">
        <v>23</v>
      </c>
      <c r="N210" s="7" t="s">
        <v>24</v>
      </c>
      <c r="O210" t="s">
        <v>736</v>
      </c>
    </row>
    <row r="211" spans="1:15" ht="14.25" customHeight="1" x14ac:dyDescent="0.3">
      <c r="A211" s="17" t="s">
        <v>1299</v>
      </c>
      <c r="C211" s="8" t="str">
        <f>G211&amp;", "&amp;O211&amp;", "&amp;N211</f>
        <v>Contratuerca, 7J-9250, CATERPILLAR</v>
      </c>
      <c r="D211" s="21" t="s">
        <v>20</v>
      </c>
      <c r="E211" s="21" t="s">
        <v>21</v>
      </c>
      <c r="F211" s="7" t="s">
        <v>22</v>
      </c>
      <c r="G211" s="7" t="s">
        <v>739</v>
      </c>
      <c r="J211" s="7" t="s">
        <v>28</v>
      </c>
      <c r="L211" s="44">
        <v>764.69</v>
      </c>
      <c r="M211" s="7" t="s">
        <v>23</v>
      </c>
      <c r="N211" s="7" t="s">
        <v>24</v>
      </c>
      <c r="O211" t="s">
        <v>737</v>
      </c>
    </row>
    <row r="212" spans="1:15" ht="14.25" customHeight="1" x14ac:dyDescent="0.3">
      <c r="A212" s="17" t="s">
        <v>1299</v>
      </c>
      <c r="C212" s="8" t="str">
        <f>G212&amp;", "&amp;O212&amp;", "&amp;N212</f>
        <v>Cup Roller., PC0002, KOMATSU</v>
      </c>
      <c r="D212" s="21" t="s">
        <v>20</v>
      </c>
      <c r="E212" s="21" t="s">
        <v>21</v>
      </c>
      <c r="F212" s="7" t="s">
        <v>22</v>
      </c>
      <c r="G212" s="7" t="s">
        <v>742</v>
      </c>
      <c r="J212" s="7" t="s">
        <v>28</v>
      </c>
      <c r="L212" s="44">
        <v>1075</v>
      </c>
      <c r="M212" s="7" t="s">
        <v>23</v>
      </c>
      <c r="N212" s="7" t="s">
        <v>30</v>
      </c>
      <c r="O212" t="s">
        <v>740</v>
      </c>
    </row>
    <row r="213" spans="1:15" ht="14.25" customHeight="1" x14ac:dyDescent="0.3">
      <c r="A213" s="17" t="s">
        <v>1299</v>
      </c>
      <c r="C213" s="8" t="str">
        <f>G213&amp;", "&amp;O213&amp;", "&amp;N213</f>
        <v>Cup Roller., PC1131, KOMATSU</v>
      </c>
      <c r="D213" s="21" t="s">
        <v>20</v>
      </c>
      <c r="E213" s="21" t="s">
        <v>21</v>
      </c>
      <c r="F213" s="7" t="s">
        <v>22</v>
      </c>
      <c r="G213" s="7" t="s">
        <v>742</v>
      </c>
      <c r="J213" s="7" t="s">
        <v>28</v>
      </c>
      <c r="L213" s="44">
        <v>1575</v>
      </c>
      <c r="M213" s="7" t="s">
        <v>23</v>
      </c>
      <c r="N213" s="7" t="s">
        <v>30</v>
      </c>
      <c r="O213" t="s">
        <v>741</v>
      </c>
    </row>
    <row r="214" spans="1:15" ht="14.25" customHeight="1" x14ac:dyDescent="0.3">
      <c r="A214" s="17" t="s">
        <v>1299</v>
      </c>
      <c r="C214" s="8" t="str">
        <f>G214&amp;", "&amp;O214&amp;", "&amp;N214</f>
        <v>Damper, EH-5308, KOMATSU</v>
      </c>
      <c r="D214" s="21" t="s">
        <v>20</v>
      </c>
      <c r="E214" s="21" t="s">
        <v>21</v>
      </c>
      <c r="F214" s="7" t="s">
        <v>22</v>
      </c>
      <c r="G214" s="7" t="s">
        <v>746</v>
      </c>
      <c r="J214" s="7" t="s">
        <v>28</v>
      </c>
      <c r="L214" s="44">
        <v>541.89</v>
      </c>
      <c r="M214" s="7" t="s">
        <v>23</v>
      </c>
      <c r="N214" s="7" t="s">
        <v>30</v>
      </c>
      <c r="O214" t="s">
        <v>744</v>
      </c>
    </row>
    <row r="215" spans="1:15" ht="14.25" customHeight="1" x14ac:dyDescent="0.3">
      <c r="A215" s="17" t="s">
        <v>1299</v>
      </c>
      <c r="C215" s="8" t="str">
        <f>G215&amp;", "&amp;O215&amp;", "&amp;N215</f>
        <v>Damper, EM8371, KOMATSU</v>
      </c>
      <c r="D215" s="21" t="s">
        <v>20</v>
      </c>
      <c r="E215" s="21" t="s">
        <v>21</v>
      </c>
      <c r="F215" s="7" t="s">
        <v>22</v>
      </c>
      <c r="G215" s="7" t="s">
        <v>746</v>
      </c>
      <c r="J215" s="7" t="s">
        <v>28</v>
      </c>
      <c r="L215" s="44">
        <v>1551.02</v>
      </c>
      <c r="M215" s="7" t="s">
        <v>23</v>
      </c>
      <c r="N215" s="7" t="s">
        <v>30</v>
      </c>
      <c r="O215" t="s">
        <v>745</v>
      </c>
    </row>
    <row r="216" spans="1:15" ht="14.25" customHeight="1" x14ac:dyDescent="0.3">
      <c r="A216" s="17" t="s">
        <v>1299</v>
      </c>
      <c r="C216" s="8" t="str">
        <f>G216&amp;", "&amp;O216&amp;", "&amp;N216</f>
        <v>Disco de fricción, 466-3807, CATERPILLAR</v>
      </c>
      <c r="D216" s="21" t="s">
        <v>20</v>
      </c>
      <c r="E216" s="21" t="s">
        <v>21</v>
      </c>
      <c r="F216" s="7" t="s">
        <v>22</v>
      </c>
      <c r="G216" s="7" t="s">
        <v>752</v>
      </c>
      <c r="J216" s="7" t="s">
        <v>28</v>
      </c>
      <c r="L216" s="44">
        <v>598.74</v>
      </c>
      <c r="M216" s="7" t="s">
        <v>23</v>
      </c>
      <c r="N216" s="7" t="s">
        <v>24</v>
      </c>
      <c r="O216" t="s">
        <v>748</v>
      </c>
    </row>
    <row r="217" spans="1:15" ht="14.25" customHeight="1" x14ac:dyDescent="0.3">
      <c r="A217" s="17" t="s">
        <v>1299</v>
      </c>
      <c r="C217" s="8" t="str">
        <f>G217&amp;", "&amp;O217&amp;", "&amp;N217</f>
        <v>Disco de fricción, 9W-7018, CATERPILLAR</v>
      </c>
      <c r="D217" s="21" t="s">
        <v>20</v>
      </c>
      <c r="E217" s="21" t="s">
        <v>21</v>
      </c>
      <c r="F217" s="7" t="s">
        <v>22</v>
      </c>
      <c r="G217" s="7" t="s">
        <v>752</v>
      </c>
      <c r="J217" s="7" t="s">
        <v>28</v>
      </c>
      <c r="L217" s="44">
        <v>796.12</v>
      </c>
      <c r="M217" s="7" t="s">
        <v>23</v>
      </c>
      <c r="N217" s="7" t="s">
        <v>24</v>
      </c>
      <c r="O217" t="s">
        <v>749</v>
      </c>
    </row>
    <row r="218" spans="1:15" ht="14.25" customHeight="1" x14ac:dyDescent="0.3">
      <c r="A218" s="17" t="s">
        <v>1299</v>
      </c>
      <c r="C218" s="8" t="str">
        <f>G218&amp;", "&amp;O218&amp;", "&amp;N218</f>
        <v>Disco de fricción, EH-5307, KOMATSU</v>
      </c>
      <c r="D218" s="21" t="s">
        <v>20</v>
      </c>
      <c r="E218" s="21" t="s">
        <v>21</v>
      </c>
      <c r="F218" s="7" t="s">
        <v>22</v>
      </c>
      <c r="G218" s="7" t="s">
        <v>752</v>
      </c>
      <c r="J218" s="7" t="s">
        <v>28</v>
      </c>
      <c r="L218" s="44">
        <v>650</v>
      </c>
      <c r="M218" s="7" t="s">
        <v>23</v>
      </c>
      <c r="N218" s="7" t="s">
        <v>30</v>
      </c>
      <c r="O218" t="s">
        <v>750</v>
      </c>
    </row>
    <row r="219" spans="1:15" ht="14.25" customHeight="1" x14ac:dyDescent="0.3">
      <c r="A219" s="17" t="s">
        <v>1299</v>
      </c>
      <c r="C219" s="8" t="str">
        <f>G219&amp;", "&amp;O219&amp;", "&amp;N219</f>
        <v>Disco de fricción, EM8366, KOMATSU</v>
      </c>
      <c r="D219" s="21" t="s">
        <v>20</v>
      </c>
      <c r="E219" s="21" t="s">
        <v>21</v>
      </c>
      <c r="F219" s="7" t="s">
        <v>22</v>
      </c>
      <c r="G219" s="7" t="s">
        <v>752</v>
      </c>
      <c r="J219" s="7" t="s">
        <v>28</v>
      </c>
      <c r="L219" s="44">
        <v>2540.02</v>
      </c>
      <c r="M219" s="7" t="s">
        <v>23</v>
      </c>
      <c r="N219" s="7" t="s">
        <v>30</v>
      </c>
      <c r="O219" t="s">
        <v>751</v>
      </c>
    </row>
    <row r="220" spans="1:15" ht="14.25" customHeight="1" x14ac:dyDescent="0.3">
      <c r="A220" s="17" t="s">
        <v>1299</v>
      </c>
      <c r="C220" s="8" t="str">
        <f>G220&amp;", "&amp;O220&amp;", "&amp;N220</f>
        <v>Dowel Spring, PC1427, KOMATSU</v>
      </c>
      <c r="D220" s="21" t="s">
        <v>20</v>
      </c>
      <c r="E220" s="21" t="s">
        <v>21</v>
      </c>
      <c r="F220" s="7" t="s">
        <v>22</v>
      </c>
      <c r="G220" s="7" t="s">
        <v>755</v>
      </c>
      <c r="J220" s="7" t="s">
        <v>28</v>
      </c>
      <c r="L220" s="44">
        <v>3.68</v>
      </c>
      <c r="M220" s="7" t="s">
        <v>23</v>
      </c>
      <c r="N220" s="7" t="s">
        <v>30</v>
      </c>
      <c r="O220" t="s">
        <v>754</v>
      </c>
    </row>
    <row r="221" spans="1:15" ht="14.25" customHeight="1" x14ac:dyDescent="0.3">
      <c r="A221" s="17" t="s">
        <v>1299</v>
      </c>
      <c r="C221" s="8" t="str">
        <f>G221&amp;", "&amp;O221&amp;", "&amp;N221</f>
        <v>Duo cone, 166-8815, CATERPILLAR</v>
      </c>
      <c r="D221" s="21" t="s">
        <v>20</v>
      </c>
      <c r="E221" s="21" t="s">
        <v>21</v>
      </c>
      <c r="F221" s="7" t="s">
        <v>22</v>
      </c>
      <c r="G221" s="7" t="s">
        <v>760</v>
      </c>
      <c r="J221" s="7" t="s">
        <v>28</v>
      </c>
      <c r="L221" s="44">
        <v>600</v>
      </c>
      <c r="M221" s="7" t="s">
        <v>23</v>
      </c>
      <c r="N221" s="7" t="s">
        <v>24</v>
      </c>
      <c r="O221" t="s">
        <v>757</v>
      </c>
    </row>
    <row r="222" spans="1:15" ht="14.25" customHeight="1" x14ac:dyDescent="0.3">
      <c r="A222" s="17" t="s">
        <v>1299</v>
      </c>
      <c r="C222" s="8" t="str">
        <f>G222&amp;", "&amp;O222&amp;", "&amp;N222</f>
        <v>Duo cone, PC-0651, KOMATSU</v>
      </c>
      <c r="D222" s="21" t="s">
        <v>20</v>
      </c>
      <c r="E222" s="21" t="s">
        <v>21</v>
      </c>
      <c r="F222" s="7" t="s">
        <v>22</v>
      </c>
      <c r="G222" s="7" t="s">
        <v>760</v>
      </c>
      <c r="J222" s="7" t="s">
        <v>28</v>
      </c>
      <c r="L222" s="44">
        <v>3000</v>
      </c>
      <c r="M222" s="7" t="s">
        <v>23</v>
      </c>
      <c r="N222" s="7" t="s">
        <v>30</v>
      </c>
      <c r="O222" t="s">
        <v>758</v>
      </c>
    </row>
    <row r="223" spans="1:15" ht="14.25" customHeight="1" x14ac:dyDescent="0.3">
      <c r="A223" s="17" t="s">
        <v>1299</v>
      </c>
      <c r="C223" s="8" t="str">
        <f>G223&amp;", "&amp;O223&amp;", "&amp;N223</f>
        <v>Embolo, 1J-8568, CATERPILLAR</v>
      </c>
      <c r="D223" s="21" t="s">
        <v>20</v>
      </c>
      <c r="E223" s="21" t="s">
        <v>21</v>
      </c>
      <c r="F223" s="7" t="s">
        <v>22</v>
      </c>
      <c r="G223" s="7" t="s">
        <v>765</v>
      </c>
      <c r="J223" s="7" t="s">
        <v>28</v>
      </c>
      <c r="L223" s="44">
        <v>122.1</v>
      </c>
      <c r="M223" s="7" t="s">
        <v>23</v>
      </c>
      <c r="N223" s="7" t="s">
        <v>24</v>
      </c>
      <c r="O223" t="s">
        <v>761</v>
      </c>
    </row>
    <row r="224" spans="1:15" ht="14.25" customHeight="1" x14ac:dyDescent="0.3">
      <c r="A224" s="17" t="s">
        <v>1299</v>
      </c>
      <c r="C224" s="8" t="str">
        <f>G224&amp;", "&amp;O224&amp;", "&amp;N224</f>
        <v>Embolo, 9T-3874, CATERPILLAR</v>
      </c>
      <c r="D224" s="21" t="s">
        <v>20</v>
      </c>
      <c r="E224" s="21" t="s">
        <v>21</v>
      </c>
      <c r="F224" s="7" t="s">
        <v>22</v>
      </c>
      <c r="G224" s="7" t="s">
        <v>765</v>
      </c>
      <c r="J224" s="7" t="s">
        <v>28</v>
      </c>
      <c r="L224" s="44" t="s">
        <v>19</v>
      </c>
      <c r="M224" s="7" t="s">
        <v>23</v>
      </c>
      <c r="N224" s="7" t="s">
        <v>24</v>
      </c>
      <c r="O224" t="s">
        <v>762</v>
      </c>
    </row>
    <row r="225" spans="1:15" ht="14.25" customHeight="1" x14ac:dyDescent="0.3">
      <c r="A225" s="17" t="s">
        <v>1299</v>
      </c>
      <c r="C225" s="8" t="str">
        <f>G225&amp;", "&amp;O225&amp;", "&amp;N225</f>
        <v>Embolo, 9T-3875, CATERPILLAR</v>
      </c>
      <c r="D225" s="21" t="s">
        <v>20</v>
      </c>
      <c r="E225" s="21" t="s">
        <v>21</v>
      </c>
      <c r="F225" s="7" t="s">
        <v>22</v>
      </c>
      <c r="G225" s="7" t="s">
        <v>765</v>
      </c>
      <c r="J225" s="7" t="s">
        <v>28</v>
      </c>
      <c r="L225" s="44" t="s">
        <v>19</v>
      </c>
      <c r="M225" s="7" t="s">
        <v>23</v>
      </c>
      <c r="N225" s="7" t="s">
        <v>24</v>
      </c>
      <c r="O225" t="s">
        <v>763</v>
      </c>
    </row>
    <row r="226" spans="1:15" ht="14.25" customHeight="1" x14ac:dyDescent="0.3">
      <c r="A226" s="17" t="s">
        <v>1299</v>
      </c>
      <c r="C226" s="8" t="str">
        <f>G226&amp;", "&amp;O226&amp;", "&amp;N226</f>
        <v>Espaciador, 4J-4955, CATERPILLAR</v>
      </c>
      <c r="D226" s="21" t="s">
        <v>20</v>
      </c>
      <c r="E226" s="21" t="s">
        <v>21</v>
      </c>
      <c r="F226" s="7" t="s">
        <v>22</v>
      </c>
      <c r="G226" s="7" t="s">
        <v>769</v>
      </c>
      <c r="J226" s="7" t="s">
        <v>28</v>
      </c>
      <c r="L226" s="44">
        <v>8.99</v>
      </c>
      <c r="M226" s="7" t="s">
        <v>23</v>
      </c>
      <c r="N226" s="7" t="s">
        <v>24</v>
      </c>
      <c r="O226" t="s">
        <v>766</v>
      </c>
    </row>
    <row r="227" spans="1:15" ht="14.25" customHeight="1" x14ac:dyDescent="0.3">
      <c r="A227" s="17" t="s">
        <v>1299</v>
      </c>
      <c r="C227" s="8" t="str">
        <f>G227&amp;", "&amp;O227&amp;", "&amp;N227</f>
        <v>Espaciador, 4T-2578, CATERPILLAR</v>
      </c>
      <c r="D227" s="21" t="s">
        <v>20</v>
      </c>
      <c r="E227" s="21" t="s">
        <v>21</v>
      </c>
      <c r="F227" s="7" t="s">
        <v>22</v>
      </c>
      <c r="G227" s="7" t="s">
        <v>769</v>
      </c>
      <c r="J227" s="7" t="s">
        <v>28</v>
      </c>
      <c r="L227" s="44">
        <v>57.82</v>
      </c>
      <c r="M227" s="7" t="s">
        <v>23</v>
      </c>
      <c r="N227" s="7" t="s">
        <v>24</v>
      </c>
      <c r="O227" t="s">
        <v>767</v>
      </c>
    </row>
    <row r="228" spans="1:15" ht="14.25" customHeight="1" x14ac:dyDescent="0.3">
      <c r="A228" s="17" t="s">
        <v>1299</v>
      </c>
      <c r="C228" s="8" t="str">
        <f>G228&amp;", "&amp;O228&amp;", "&amp;N228</f>
        <v>Espaciador, 6E-1444, CATERPILLAR</v>
      </c>
      <c r="D228" s="21" t="s">
        <v>20</v>
      </c>
      <c r="E228" s="21" t="s">
        <v>21</v>
      </c>
      <c r="F228" s="7" t="s">
        <v>22</v>
      </c>
      <c r="G228" s="7" t="s">
        <v>769</v>
      </c>
      <c r="J228" s="7" t="s">
        <v>28</v>
      </c>
      <c r="L228" s="44">
        <v>89.69</v>
      </c>
      <c r="M228" s="7" t="s">
        <v>23</v>
      </c>
      <c r="N228" s="7" t="s">
        <v>24</v>
      </c>
      <c r="O228" t="s">
        <v>768</v>
      </c>
    </row>
    <row r="229" spans="1:15" ht="14.25" customHeight="1" x14ac:dyDescent="0.3">
      <c r="A229" s="17" t="s">
        <v>1299</v>
      </c>
      <c r="C229" s="8" t="str">
        <f>G229&amp;", "&amp;O229&amp;", "&amp;N229</f>
        <v>Espiga, 159-0049, CATERPILLAR</v>
      </c>
      <c r="D229" s="21" t="s">
        <v>20</v>
      </c>
      <c r="E229" s="21" t="s">
        <v>21</v>
      </c>
      <c r="F229" s="7" t="s">
        <v>22</v>
      </c>
      <c r="G229" s="7" t="s">
        <v>772</v>
      </c>
      <c r="J229" s="7" t="s">
        <v>28</v>
      </c>
      <c r="L229" s="44">
        <v>155.36000000000001</v>
      </c>
      <c r="M229" s="7" t="s">
        <v>23</v>
      </c>
      <c r="N229" s="7" t="s">
        <v>24</v>
      </c>
      <c r="O229" t="s">
        <v>770</v>
      </c>
    </row>
    <row r="230" spans="1:15" ht="14.25" customHeight="1" x14ac:dyDescent="0.3">
      <c r="A230" s="17" t="s">
        <v>1299</v>
      </c>
      <c r="C230" s="8" t="str">
        <f>G230&amp;", "&amp;O230&amp;", "&amp;N230</f>
        <v>Espiga, 470-0207, CATERPILLAR</v>
      </c>
      <c r="D230" s="21" t="s">
        <v>20</v>
      </c>
      <c r="E230" s="21" t="s">
        <v>21</v>
      </c>
      <c r="F230" s="7" t="s">
        <v>22</v>
      </c>
      <c r="G230" s="7" t="s">
        <v>772</v>
      </c>
      <c r="J230" s="7" t="s">
        <v>28</v>
      </c>
      <c r="L230" s="44">
        <v>98.05</v>
      </c>
      <c r="M230" s="7" t="s">
        <v>23</v>
      </c>
      <c r="N230" s="7" t="s">
        <v>24</v>
      </c>
      <c r="O230" t="s">
        <v>771</v>
      </c>
    </row>
    <row r="231" spans="1:15" ht="14.25" customHeight="1" x14ac:dyDescent="0.3">
      <c r="A231" s="17" t="s">
        <v>1299</v>
      </c>
      <c r="C231" s="8" t="str">
        <f>G231&amp;", "&amp;O231&amp;", "&amp;N231</f>
        <v>Arandela, WA0720, KOMATSU</v>
      </c>
      <c r="D231" s="21" t="s">
        <v>20</v>
      </c>
      <c r="E231" s="21" t="s">
        <v>21</v>
      </c>
      <c r="F231" s="7" t="s">
        <v>22</v>
      </c>
      <c r="G231" s="7" t="s">
        <v>563</v>
      </c>
      <c r="J231" s="7" t="s">
        <v>28</v>
      </c>
      <c r="L231" s="44">
        <v>2200</v>
      </c>
      <c r="M231" s="7" t="s">
        <v>23</v>
      </c>
      <c r="N231" s="7" t="s">
        <v>30</v>
      </c>
      <c r="O231" t="s">
        <v>775</v>
      </c>
    </row>
    <row r="232" spans="1:15" ht="14.25" customHeight="1" x14ac:dyDescent="0.3">
      <c r="A232" s="17" t="s">
        <v>1299</v>
      </c>
      <c r="C232" s="8" t="str">
        <f>G232&amp;", "&amp;O232&amp;", "&amp;N232</f>
        <v>Grupo de sensor, 221-3416, CATERPILLAR</v>
      </c>
      <c r="D232" s="21" t="s">
        <v>20</v>
      </c>
      <c r="E232" s="21" t="s">
        <v>21</v>
      </c>
      <c r="F232" s="7" t="s">
        <v>22</v>
      </c>
      <c r="G232" s="7" t="s">
        <v>782</v>
      </c>
      <c r="J232" s="7" t="s">
        <v>28</v>
      </c>
      <c r="L232" s="44">
        <v>1464.97</v>
      </c>
      <c r="M232" s="7" t="s">
        <v>23</v>
      </c>
      <c r="N232" s="7" t="s">
        <v>24</v>
      </c>
      <c r="O232" t="s">
        <v>776</v>
      </c>
    </row>
    <row r="233" spans="1:15" ht="14.25" customHeight="1" x14ac:dyDescent="0.3">
      <c r="A233" s="17" t="s">
        <v>1299</v>
      </c>
      <c r="C233" s="8" t="str">
        <f>G233&amp;", "&amp;O233&amp;", "&amp;N233</f>
        <v>Grupo de sensor, 267-5257, CATERPILLAR</v>
      </c>
      <c r="D233" s="21" t="s">
        <v>20</v>
      </c>
      <c r="E233" s="21" t="s">
        <v>21</v>
      </c>
      <c r="F233" s="7" t="s">
        <v>22</v>
      </c>
      <c r="G233" s="7" t="s">
        <v>782</v>
      </c>
      <c r="J233" s="7" t="s">
        <v>28</v>
      </c>
      <c r="L233" s="44">
        <v>279.57</v>
      </c>
      <c r="M233" s="7" t="s">
        <v>23</v>
      </c>
      <c r="N233" s="7" t="s">
        <v>24</v>
      </c>
      <c r="O233" t="s">
        <v>777</v>
      </c>
    </row>
    <row r="234" spans="1:15" ht="14.25" customHeight="1" x14ac:dyDescent="0.3">
      <c r="A234" s="17" t="s">
        <v>1299</v>
      </c>
      <c r="C234" s="8" t="str">
        <f>G234&amp;", "&amp;O234&amp;", "&amp;N234</f>
        <v>Grupo de sensor, 271-6517, CATERPILLAR</v>
      </c>
      <c r="D234" s="21" t="s">
        <v>20</v>
      </c>
      <c r="E234" s="21" t="s">
        <v>21</v>
      </c>
      <c r="F234" s="7" t="s">
        <v>22</v>
      </c>
      <c r="G234" s="7" t="s">
        <v>782</v>
      </c>
      <c r="J234" s="7" t="s">
        <v>28</v>
      </c>
      <c r="L234" s="44">
        <v>1460.44</v>
      </c>
      <c r="M234" s="7" t="s">
        <v>23</v>
      </c>
      <c r="N234" s="7" t="s">
        <v>24</v>
      </c>
      <c r="O234" t="s">
        <v>778</v>
      </c>
    </row>
    <row r="235" spans="1:15" ht="14.25" customHeight="1" x14ac:dyDescent="0.3">
      <c r="A235" s="17" t="s">
        <v>1299</v>
      </c>
      <c r="C235" s="8" t="str">
        <f>G235&amp;", "&amp;O235&amp;", "&amp;N235</f>
        <v>Grupo de sensor, 384-8716, CATERPILLAR</v>
      </c>
      <c r="D235" s="21" t="s">
        <v>20</v>
      </c>
      <c r="E235" s="21" t="s">
        <v>21</v>
      </c>
      <c r="F235" s="7" t="s">
        <v>22</v>
      </c>
      <c r="G235" s="7" t="s">
        <v>782</v>
      </c>
      <c r="J235" s="7" t="s">
        <v>28</v>
      </c>
      <c r="L235" s="44">
        <v>1389.79</v>
      </c>
      <c r="M235" s="7" t="s">
        <v>23</v>
      </c>
      <c r="N235" s="7" t="s">
        <v>24</v>
      </c>
      <c r="O235" t="s">
        <v>779</v>
      </c>
    </row>
    <row r="236" spans="1:15" ht="14.25" customHeight="1" x14ac:dyDescent="0.3">
      <c r="A236" s="17" t="s">
        <v>1299</v>
      </c>
      <c r="C236" s="8" t="str">
        <f>G236&amp;", "&amp;O236&amp;", "&amp;N236</f>
        <v>Grupo de sensor, 494-4368, CATERPILLAR</v>
      </c>
      <c r="D236" s="21" t="s">
        <v>20</v>
      </c>
      <c r="E236" s="21" t="s">
        <v>21</v>
      </c>
      <c r="F236" s="7" t="s">
        <v>22</v>
      </c>
      <c r="G236" s="7" t="s">
        <v>782</v>
      </c>
      <c r="J236" s="7" t="s">
        <v>28</v>
      </c>
      <c r="L236" s="44">
        <v>1579.05</v>
      </c>
      <c r="M236" s="7" t="s">
        <v>23</v>
      </c>
      <c r="N236" s="7" t="s">
        <v>24</v>
      </c>
      <c r="O236" t="s">
        <v>780</v>
      </c>
    </row>
    <row r="237" spans="1:15" ht="14.25" customHeight="1" x14ac:dyDescent="0.3">
      <c r="A237" s="17" t="s">
        <v>1299</v>
      </c>
      <c r="C237" s="8" t="str">
        <f>G237&amp;", "&amp;O237&amp;", "&amp;N237</f>
        <v>Grupo de sensor, 589-7725, CATERPILLAR</v>
      </c>
      <c r="D237" s="21" t="s">
        <v>20</v>
      </c>
      <c r="E237" s="21" t="s">
        <v>21</v>
      </c>
      <c r="F237" s="7" t="s">
        <v>22</v>
      </c>
      <c r="G237" s="7" t="s">
        <v>782</v>
      </c>
      <c r="J237" s="7" t="s">
        <v>28</v>
      </c>
      <c r="L237" s="44">
        <v>1355.64</v>
      </c>
      <c r="M237" s="7" t="s">
        <v>23</v>
      </c>
      <c r="N237" s="7" t="s">
        <v>24</v>
      </c>
      <c r="O237" t="s">
        <v>781</v>
      </c>
    </row>
    <row r="238" spans="1:15" ht="14.25" customHeight="1" x14ac:dyDescent="0.3">
      <c r="A238" s="17" t="s">
        <v>1299</v>
      </c>
      <c r="C238" s="8" t="str">
        <f>G238&amp;", "&amp;O238&amp;", "&amp;N238</f>
        <v>Protector de válvula, VZ4269, KOMATSU</v>
      </c>
      <c r="D238" s="21" t="s">
        <v>20</v>
      </c>
      <c r="E238" s="21" t="s">
        <v>21</v>
      </c>
      <c r="F238" s="7" t="s">
        <v>22</v>
      </c>
      <c r="G238" s="7" t="s">
        <v>784</v>
      </c>
      <c r="J238" s="7" t="s">
        <v>28</v>
      </c>
      <c r="L238" s="44">
        <v>40.619999999999997</v>
      </c>
      <c r="M238" s="7" t="s">
        <v>23</v>
      </c>
      <c r="N238" s="7" t="s">
        <v>30</v>
      </c>
      <c r="O238" t="s">
        <v>783</v>
      </c>
    </row>
    <row r="239" spans="1:15" ht="14.25" customHeight="1" x14ac:dyDescent="0.3">
      <c r="A239" s="17" t="s">
        <v>1299</v>
      </c>
      <c r="C239" s="8" t="str">
        <f>G239&amp;", "&amp;O239&amp;", "&amp;N239</f>
        <v>Guia, 105-7262, CATERPILLAR</v>
      </c>
      <c r="D239" s="21" t="s">
        <v>20</v>
      </c>
      <c r="E239" s="21" t="s">
        <v>21</v>
      </c>
      <c r="F239" s="7" t="s">
        <v>22</v>
      </c>
      <c r="G239" s="7" t="s">
        <v>37</v>
      </c>
      <c r="J239" s="7" t="s">
        <v>28</v>
      </c>
      <c r="L239" s="44">
        <v>137.01</v>
      </c>
      <c r="M239" s="7" t="s">
        <v>23</v>
      </c>
      <c r="N239" s="7" t="s">
        <v>24</v>
      </c>
      <c r="O239" t="s">
        <v>788</v>
      </c>
    </row>
    <row r="240" spans="1:15" ht="14.25" customHeight="1" x14ac:dyDescent="0.3">
      <c r="A240" s="17" t="s">
        <v>1299</v>
      </c>
      <c r="C240" s="8" t="str">
        <f>G240&amp;", "&amp;O240&amp;", "&amp;N240</f>
        <v>Guia, 541-6301, CATERPILLAR</v>
      </c>
      <c r="D240" s="21" t="s">
        <v>20</v>
      </c>
      <c r="E240" s="21" t="s">
        <v>21</v>
      </c>
      <c r="F240" s="7" t="s">
        <v>22</v>
      </c>
      <c r="G240" s="7" t="s">
        <v>37</v>
      </c>
      <c r="J240" s="7" t="s">
        <v>28</v>
      </c>
      <c r="L240" s="44">
        <v>60.52</v>
      </c>
      <c r="M240" s="7" t="s">
        <v>23</v>
      </c>
      <c r="N240" s="7" t="s">
        <v>24</v>
      </c>
      <c r="O240" t="s">
        <v>789</v>
      </c>
    </row>
    <row r="241" spans="1:16" ht="14.25" customHeight="1" x14ac:dyDescent="0.3">
      <c r="A241" s="17" t="s">
        <v>1299</v>
      </c>
      <c r="C241" s="8" t="str">
        <f>G241&amp;", "&amp;O241&amp;", "&amp;N241</f>
        <v>Guia, 626-4511, CATERPILLAR</v>
      </c>
      <c r="D241" s="21" t="s">
        <v>20</v>
      </c>
      <c r="E241" s="21" t="s">
        <v>21</v>
      </c>
      <c r="F241" s="7" t="s">
        <v>22</v>
      </c>
      <c r="G241" s="7" t="s">
        <v>37</v>
      </c>
      <c r="J241" s="7" t="s">
        <v>28</v>
      </c>
      <c r="L241" s="44">
        <v>67.180000000000007</v>
      </c>
      <c r="M241" s="7" t="s">
        <v>23</v>
      </c>
      <c r="N241" s="7" t="s">
        <v>24</v>
      </c>
      <c r="O241" t="s">
        <v>790</v>
      </c>
    </row>
    <row r="242" spans="1:16" ht="14.25" customHeight="1" x14ac:dyDescent="0.3">
      <c r="A242" s="17" t="s">
        <v>1299</v>
      </c>
      <c r="C242" s="8" t="str">
        <f>G242&amp;", "&amp;O242&amp;", "&amp;N242</f>
        <v>Guia, 626-4512, CATERPILLAR</v>
      </c>
      <c r="D242" s="21" t="s">
        <v>20</v>
      </c>
      <c r="E242" s="21" t="s">
        <v>21</v>
      </c>
      <c r="F242" s="7" t="s">
        <v>22</v>
      </c>
      <c r="G242" s="7" t="s">
        <v>37</v>
      </c>
      <c r="J242" s="7" t="s">
        <v>28</v>
      </c>
      <c r="L242" s="44">
        <v>58.77</v>
      </c>
      <c r="M242" s="7" t="s">
        <v>23</v>
      </c>
      <c r="N242" s="7" t="s">
        <v>24</v>
      </c>
      <c r="O242" t="s">
        <v>791</v>
      </c>
    </row>
    <row r="243" spans="1:16" ht="14.25" customHeight="1" x14ac:dyDescent="0.3">
      <c r="A243" s="17" t="s">
        <v>1299</v>
      </c>
      <c r="C243" s="8" t="str">
        <f>G243&amp;", "&amp;O243&amp;", "&amp;N243</f>
        <v>Guia, 626-7386, CATERPILLAR</v>
      </c>
      <c r="D243" s="21" t="s">
        <v>20</v>
      </c>
      <c r="E243" s="21" t="s">
        <v>21</v>
      </c>
      <c r="F243" s="7" t="s">
        <v>22</v>
      </c>
      <c r="G243" s="7" t="s">
        <v>37</v>
      </c>
      <c r="J243" s="7" t="s">
        <v>28</v>
      </c>
      <c r="L243" s="44">
        <v>74.03</v>
      </c>
      <c r="M243" s="7" t="s">
        <v>23</v>
      </c>
      <c r="N243" s="7" t="s">
        <v>24</v>
      </c>
      <c r="O243" t="s">
        <v>792</v>
      </c>
    </row>
    <row r="244" spans="1:16" ht="14.25" customHeight="1" x14ac:dyDescent="0.3">
      <c r="A244" s="18" t="s">
        <v>1300</v>
      </c>
      <c r="C244" s="8" t="str">
        <f>G244&amp;", "&amp;O244&amp;", "&amp;N244</f>
        <v>Guia, 8T-0785, CATERPILLAR</v>
      </c>
      <c r="D244" s="21" t="s">
        <v>20</v>
      </c>
      <c r="E244" s="21" t="s">
        <v>21</v>
      </c>
      <c r="F244" s="7" t="s">
        <v>22</v>
      </c>
      <c r="G244" s="7" t="s">
        <v>37</v>
      </c>
      <c r="J244" s="7" t="s">
        <v>28</v>
      </c>
      <c r="L244" s="42">
        <v>17.850000000000001</v>
      </c>
      <c r="M244" s="7" t="s">
        <v>23</v>
      </c>
      <c r="N244" s="7" t="s">
        <v>24</v>
      </c>
      <c r="O244" t="s">
        <v>793</v>
      </c>
      <c r="P244" s="29"/>
    </row>
    <row r="245" spans="1:16" ht="14.25" customHeight="1" x14ac:dyDescent="0.3">
      <c r="A245" s="18" t="s">
        <v>1300</v>
      </c>
      <c r="C245" s="8" t="str">
        <f>G245&amp;", "&amp;O245&amp;", "&amp;N245</f>
        <v>Guia, 8T-8390, CATERPILLAR</v>
      </c>
      <c r="D245" s="21" t="s">
        <v>20</v>
      </c>
      <c r="E245" s="21" t="s">
        <v>21</v>
      </c>
      <c r="F245" s="7" t="s">
        <v>22</v>
      </c>
      <c r="G245" s="7" t="s">
        <v>37</v>
      </c>
      <c r="J245" s="7" t="s">
        <v>28</v>
      </c>
      <c r="L245" s="42">
        <v>46.54</v>
      </c>
      <c r="M245" s="7" t="s">
        <v>23</v>
      </c>
      <c r="N245" s="7" t="s">
        <v>24</v>
      </c>
      <c r="O245" t="s">
        <v>794</v>
      </c>
      <c r="P245" s="29"/>
    </row>
    <row r="246" spans="1:16" ht="14.25" customHeight="1" x14ac:dyDescent="0.3">
      <c r="A246" s="18" t="s">
        <v>1300</v>
      </c>
      <c r="C246" s="8" t="str">
        <f>G246&amp;", "&amp;O246&amp;", "&amp;N246</f>
        <v>Guia, 9T-0094, CATERPILLAR</v>
      </c>
      <c r="D246" s="21" t="s">
        <v>20</v>
      </c>
      <c r="E246" s="21" t="s">
        <v>21</v>
      </c>
      <c r="F246" s="7" t="s">
        <v>22</v>
      </c>
      <c r="G246" s="7" t="s">
        <v>37</v>
      </c>
      <c r="J246" s="7" t="s">
        <v>28</v>
      </c>
      <c r="L246" s="42">
        <v>24.64</v>
      </c>
      <c r="M246" s="7" t="s">
        <v>23</v>
      </c>
      <c r="N246" s="7" t="s">
        <v>24</v>
      </c>
      <c r="O246" t="s">
        <v>795</v>
      </c>
      <c r="P246" s="29"/>
    </row>
    <row r="247" spans="1:16" ht="14.25" customHeight="1" x14ac:dyDescent="0.3">
      <c r="A247" s="18" t="s">
        <v>1300</v>
      </c>
      <c r="C247" s="8" t="str">
        <f>G247&amp;", "&amp;O247&amp;", "&amp;N247</f>
        <v>Guia, PC2584, KOMATSU</v>
      </c>
      <c r="D247" s="21" t="s">
        <v>20</v>
      </c>
      <c r="E247" s="21" t="s">
        <v>21</v>
      </c>
      <c r="F247" s="7" t="s">
        <v>22</v>
      </c>
      <c r="G247" s="7" t="s">
        <v>37</v>
      </c>
      <c r="J247" s="7" t="s">
        <v>28</v>
      </c>
      <c r="L247" s="42">
        <v>1750</v>
      </c>
      <c r="M247" s="7" t="s">
        <v>23</v>
      </c>
      <c r="N247" s="7" t="s">
        <v>30</v>
      </c>
      <c r="O247" t="s">
        <v>796</v>
      </c>
      <c r="P247" s="29"/>
    </row>
    <row r="248" spans="1:16" ht="14.25" customHeight="1" x14ac:dyDescent="0.3">
      <c r="A248" s="18" t="s">
        <v>1300</v>
      </c>
      <c r="C248" s="8" t="str">
        <f>G248&amp;", "&amp;O248&amp;", "&amp;N248</f>
        <v>Guia, PC2585, KOMATSU</v>
      </c>
      <c r="D248" s="21" t="s">
        <v>20</v>
      </c>
      <c r="E248" s="21" t="s">
        <v>21</v>
      </c>
      <c r="F248" s="7" t="s">
        <v>22</v>
      </c>
      <c r="G248" s="7" t="s">
        <v>37</v>
      </c>
      <c r="J248" s="7" t="s">
        <v>28</v>
      </c>
      <c r="L248" s="42">
        <v>1750</v>
      </c>
      <c r="M248" s="7" t="s">
        <v>23</v>
      </c>
      <c r="N248" s="7" t="s">
        <v>30</v>
      </c>
      <c r="O248" t="s">
        <v>797</v>
      </c>
      <c r="P248" s="29"/>
    </row>
    <row r="249" spans="1:16" ht="14.25" customHeight="1" x14ac:dyDescent="0.3">
      <c r="A249" s="18" t="s">
        <v>1300</v>
      </c>
      <c r="C249" s="8" t="str">
        <f>G249&amp;", "&amp;O249&amp;", "&amp;N249</f>
        <v>Guia, 626-7385, CATERPILLAR</v>
      </c>
      <c r="D249" s="21" t="s">
        <v>20</v>
      </c>
      <c r="E249" s="21" t="s">
        <v>21</v>
      </c>
      <c r="F249" s="7" t="s">
        <v>22</v>
      </c>
      <c r="G249" s="7" t="s">
        <v>37</v>
      </c>
      <c r="J249" s="7" t="s">
        <v>28</v>
      </c>
      <c r="L249" s="42">
        <v>81.260000000000005</v>
      </c>
      <c r="M249" s="7" t="s">
        <v>23</v>
      </c>
      <c r="N249" s="7" t="s">
        <v>24</v>
      </c>
      <c r="O249" t="s">
        <v>798</v>
      </c>
      <c r="P249" s="29"/>
    </row>
    <row r="250" spans="1:16" ht="14.25" customHeight="1" x14ac:dyDescent="0.3">
      <c r="A250" s="18" t="s">
        <v>1300</v>
      </c>
      <c r="C250" s="8" t="str">
        <f>G250&amp;", "&amp;O250&amp;", "&amp;N250</f>
        <v>Guia, 58B-60-01290, KOMATSU</v>
      </c>
      <c r="D250" s="21" t="s">
        <v>20</v>
      </c>
      <c r="E250" s="21" t="s">
        <v>21</v>
      </c>
      <c r="F250" s="7" t="s">
        <v>22</v>
      </c>
      <c r="G250" s="7" t="s">
        <v>37</v>
      </c>
      <c r="J250" s="7" t="s">
        <v>28</v>
      </c>
      <c r="L250" s="42">
        <v>2163.58</v>
      </c>
      <c r="M250" s="7" t="s">
        <v>23</v>
      </c>
      <c r="N250" s="7" t="s">
        <v>30</v>
      </c>
      <c r="O250" t="s">
        <v>799</v>
      </c>
      <c r="P250" s="29"/>
    </row>
    <row r="251" spans="1:16" ht="14.25" customHeight="1" x14ac:dyDescent="0.3">
      <c r="A251" s="18" t="s">
        <v>1300</v>
      </c>
      <c r="C251" s="8" t="str">
        <f>G251&amp;", "&amp;O251&amp;", "&amp;N251</f>
        <v>Guia, PC0903, KOMATSU</v>
      </c>
      <c r="D251" s="21" t="s">
        <v>20</v>
      </c>
      <c r="E251" s="21" t="s">
        <v>21</v>
      </c>
      <c r="F251" s="7" t="s">
        <v>22</v>
      </c>
      <c r="G251" s="7" t="s">
        <v>37</v>
      </c>
      <c r="J251" s="7" t="s">
        <v>28</v>
      </c>
      <c r="L251" s="42">
        <v>744.65</v>
      </c>
      <c r="M251" s="7" t="s">
        <v>23</v>
      </c>
      <c r="N251" s="7" t="s">
        <v>30</v>
      </c>
      <c r="O251" t="s">
        <v>38</v>
      </c>
      <c r="P251" s="29"/>
    </row>
    <row r="252" spans="1:16" ht="14.25" customHeight="1" x14ac:dyDescent="0.3">
      <c r="A252" s="18" t="s">
        <v>1300</v>
      </c>
      <c r="C252" s="8" t="str">
        <f>G252&amp;", "&amp;O252&amp;", "&amp;N252</f>
        <v>Guia, 58B-60-01280, KOMATSU</v>
      </c>
      <c r="D252" s="21" t="s">
        <v>20</v>
      </c>
      <c r="E252" s="21" t="s">
        <v>21</v>
      </c>
      <c r="F252" s="7" t="s">
        <v>22</v>
      </c>
      <c r="G252" s="7" t="s">
        <v>37</v>
      </c>
      <c r="J252" s="7" t="s">
        <v>28</v>
      </c>
      <c r="L252" s="42">
        <v>2386.8000000000002</v>
      </c>
      <c r="M252" s="7" t="s">
        <v>23</v>
      </c>
      <c r="N252" s="7" t="s">
        <v>30</v>
      </c>
      <c r="O252" t="s">
        <v>800</v>
      </c>
      <c r="P252" s="29"/>
    </row>
    <row r="253" spans="1:16" ht="14.25" customHeight="1" x14ac:dyDescent="0.3">
      <c r="A253" s="18" t="s">
        <v>1300</v>
      </c>
      <c r="C253" s="8" t="str">
        <f>G253&amp;", "&amp;O253&amp;", "&amp;N253</f>
        <v>Guia, PC0902, KOMATSU</v>
      </c>
      <c r="D253" s="21" t="s">
        <v>20</v>
      </c>
      <c r="E253" s="21" t="s">
        <v>21</v>
      </c>
      <c r="F253" s="7" t="s">
        <v>22</v>
      </c>
      <c r="G253" s="7" t="s">
        <v>37</v>
      </c>
      <c r="J253" s="7" t="s">
        <v>28</v>
      </c>
      <c r="L253" s="42">
        <v>744.65</v>
      </c>
      <c r="M253" s="7" t="s">
        <v>23</v>
      </c>
      <c r="N253" s="7" t="s">
        <v>30</v>
      </c>
      <c r="O253" t="s">
        <v>39</v>
      </c>
      <c r="P253" s="29"/>
    </row>
    <row r="254" spans="1:16" ht="14.25" customHeight="1" x14ac:dyDescent="0.3">
      <c r="A254" s="18" t="s">
        <v>1300</v>
      </c>
      <c r="C254" s="8" t="str">
        <f>G254&amp;", "&amp;O254&amp;", "&amp;N254</f>
        <v>Guia, EJ6985, KOMATSU</v>
      </c>
      <c r="D254" s="21" t="s">
        <v>20</v>
      </c>
      <c r="E254" s="21" t="s">
        <v>21</v>
      </c>
      <c r="F254" s="7" t="s">
        <v>22</v>
      </c>
      <c r="G254" s="7" t="s">
        <v>37</v>
      </c>
      <c r="J254" s="7" t="s">
        <v>28</v>
      </c>
      <c r="L254" s="42" t="s">
        <v>19</v>
      </c>
      <c r="M254" s="7" t="s">
        <v>23</v>
      </c>
      <c r="N254" s="7" t="s">
        <v>30</v>
      </c>
      <c r="O254" t="s">
        <v>801</v>
      </c>
      <c r="P254" s="29"/>
    </row>
    <row r="255" spans="1:16" ht="14.25" customHeight="1" x14ac:dyDescent="0.3">
      <c r="A255" s="18" t="s">
        <v>1300</v>
      </c>
      <c r="C255" s="8" t="str">
        <f>G255&amp;", "&amp;O255&amp;", "&amp;N255</f>
        <v>Iman, 214-1639, CATERPILLAR</v>
      </c>
      <c r="D255" s="21" t="s">
        <v>20</v>
      </c>
      <c r="E255" s="21" t="s">
        <v>21</v>
      </c>
      <c r="F255" s="7" t="s">
        <v>22</v>
      </c>
      <c r="G255" s="7" t="s">
        <v>805</v>
      </c>
      <c r="J255" s="7" t="s">
        <v>28</v>
      </c>
      <c r="L255" s="42">
        <v>102.62</v>
      </c>
      <c r="M255" s="7" t="s">
        <v>23</v>
      </c>
      <c r="N255" s="7" t="s">
        <v>24</v>
      </c>
      <c r="O255" t="s">
        <v>802</v>
      </c>
      <c r="P255" s="29"/>
    </row>
    <row r="256" spans="1:16" ht="14.25" customHeight="1" x14ac:dyDescent="0.3">
      <c r="A256" s="18" t="s">
        <v>1300</v>
      </c>
      <c r="C256" s="8" t="str">
        <f>G256&amp;", "&amp;O256&amp;", "&amp;N256</f>
        <v>Iman, 217-3311, CATERPILLAR</v>
      </c>
      <c r="D256" s="21" t="s">
        <v>20</v>
      </c>
      <c r="E256" s="21" t="s">
        <v>21</v>
      </c>
      <c r="F256" s="7" t="s">
        <v>22</v>
      </c>
      <c r="G256" s="7" t="s">
        <v>805</v>
      </c>
      <c r="J256" s="7" t="s">
        <v>28</v>
      </c>
      <c r="L256" s="42">
        <v>75.95</v>
      </c>
      <c r="M256" s="7" t="s">
        <v>23</v>
      </c>
      <c r="N256" s="7" t="s">
        <v>24</v>
      </c>
      <c r="O256" t="s">
        <v>803</v>
      </c>
      <c r="P256" s="29"/>
    </row>
    <row r="257" spans="1:16" ht="14.25" customHeight="1" x14ac:dyDescent="0.3">
      <c r="A257" s="18" t="s">
        <v>1300</v>
      </c>
      <c r="C257" s="8" t="str">
        <f>G257&amp;", "&amp;O257&amp;", "&amp;N257</f>
        <v>Iman, 217-3312, CATERPILLAR</v>
      </c>
      <c r="D257" s="21" t="s">
        <v>20</v>
      </c>
      <c r="E257" s="21" t="s">
        <v>21</v>
      </c>
      <c r="F257" s="7" t="s">
        <v>22</v>
      </c>
      <c r="G257" s="7" t="s">
        <v>805</v>
      </c>
      <c r="J257" s="7" t="s">
        <v>28</v>
      </c>
      <c r="L257" s="42">
        <v>48.46</v>
      </c>
      <c r="M257" s="7" t="s">
        <v>23</v>
      </c>
      <c r="N257" s="7" t="s">
        <v>24</v>
      </c>
      <c r="O257" t="s">
        <v>804</v>
      </c>
      <c r="P257" s="29"/>
    </row>
    <row r="258" spans="1:16" ht="14.25" customHeight="1" x14ac:dyDescent="0.3">
      <c r="A258" s="18" t="s">
        <v>1300</v>
      </c>
      <c r="C258" s="8" t="str">
        <f>G258&amp;", "&amp;O258&amp;", "&amp;N258</f>
        <v>Insert, 122-9351, CATERPILLAR</v>
      </c>
      <c r="D258" s="21" t="s">
        <v>20</v>
      </c>
      <c r="E258" s="21" t="s">
        <v>21</v>
      </c>
      <c r="F258" s="7" t="s">
        <v>22</v>
      </c>
      <c r="G258" s="7" t="s">
        <v>811</v>
      </c>
      <c r="J258" s="7" t="s">
        <v>28</v>
      </c>
      <c r="L258" s="42">
        <v>203.83</v>
      </c>
      <c r="M258" s="7" t="s">
        <v>23</v>
      </c>
      <c r="N258" s="7" t="s">
        <v>24</v>
      </c>
      <c r="O258" t="s">
        <v>807</v>
      </c>
      <c r="P258" s="29"/>
    </row>
    <row r="259" spans="1:16" ht="14.25" customHeight="1" x14ac:dyDescent="0.3">
      <c r="A259" s="18" t="s">
        <v>1300</v>
      </c>
      <c r="C259" s="8" t="str">
        <f>G259&amp;", "&amp;O259&amp;", "&amp;N259</f>
        <v>Insert, 164-6426, CATERPILLAR</v>
      </c>
      <c r="D259" s="21" t="s">
        <v>20</v>
      </c>
      <c r="E259" s="21" t="s">
        <v>21</v>
      </c>
      <c r="F259" s="7" t="s">
        <v>22</v>
      </c>
      <c r="G259" s="7" t="s">
        <v>811</v>
      </c>
      <c r="J259" s="7" t="s">
        <v>28</v>
      </c>
      <c r="L259" s="42">
        <v>172.62</v>
      </c>
      <c r="M259" s="7" t="s">
        <v>23</v>
      </c>
      <c r="N259" s="7" t="s">
        <v>24</v>
      </c>
      <c r="O259" t="s">
        <v>808</v>
      </c>
      <c r="P259" s="29"/>
    </row>
    <row r="260" spans="1:16" ht="14.25" customHeight="1" x14ac:dyDescent="0.3">
      <c r="A260" s="18" t="s">
        <v>1300</v>
      </c>
      <c r="C260" s="8" t="str">
        <f>G260&amp;", "&amp;O260&amp;", "&amp;N260</f>
        <v>Insert, 5J-2528, CATERPILLAR</v>
      </c>
      <c r="D260" s="21" t="s">
        <v>20</v>
      </c>
      <c r="E260" s="21" t="s">
        <v>21</v>
      </c>
      <c r="F260" s="7" t="s">
        <v>22</v>
      </c>
      <c r="G260" s="7" t="s">
        <v>811</v>
      </c>
      <c r="J260" s="7" t="s">
        <v>28</v>
      </c>
      <c r="L260" s="42">
        <v>116.42</v>
      </c>
      <c r="M260" s="7" t="s">
        <v>23</v>
      </c>
      <c r="N260" s="7" t="s">
        <v>24</v>
      </c>
      <c r="O260" t="s">
        <v>809</v>
      </c>
      <c r="P260" s="29"/>
    </row>
    <row r="261" spans="1:16" ht="14.25" customHeight="1" x14ac:dyDescent="0.3">
      <c r="A261" s="18" t="s">
        <v>1300</v>
      </c>
      <c r="C261" s="8" t="str">
        <f>G261&amp;", "&amp;O261&amp;", "&amp;N261</f>
        <v>Insert, 9J-0520, CATERPILLAR</v>
      </c>
      <c r="D261" s="21" t="s">
        <v>20</v>
      </c>
      <c r="E261" s="21" t="s">
        <v>21</v>
      </c>
      <c r="F261" s="7" t="s">
        <v>22</v>
      </c>
      <c r="G261" s="7" t="s">
        <v>811</v>
      </c>
      <c r="J261" s="7" t="s">
        <v>28</v>
      </c>
      <c r="L261" s="42">
        <v>154.57</v>
      </c>
      <c r="M261" s="7" t="s">
        <v>23</v>
      </c>
      <c r="N261" s="7" t="s">
        <v>24</v>
      </c>
      <c r="O261" t="s">
        <v>810</v>
      </c>
      <c r="P261" s="29"/>
    </row>
    <row r="262" spans="1:16" ht="14.25" customHeight="1" x14ac:dyDescent="0.3">
      <c r="A262" s="18" t="s">
        <v>1300</v>
      </c>
      <c r="C262" s="8" t="str">
        <f>G262&amp;", "&amp;O262&amp;", "&amp;N262</f>
        <v>Iron Cast, 707-44-16910, KOMATSU</v>
      </c>
      <c r="D262" s="21" t="s">
        <v>20</v>
      </c>
      <c r="E262" s="21" t="s">
        <v>21</v>
      </c>
      <c r="F262" s="7" t="s">
        <v>22</v>
      </c>
      <c r="G262" s="7" t="s">
        <v>817</v>
      </c>
      <c r="J262" s="7" t="s">
        <v>28</v>
      </c>
      <c r="L262" s="42">
        <v>75.69</v>
      </c>
      <c r="M262" s="7" t="s">
        <v>23</v>
      </c>
      <c r="N262" s="7" t="s">
        <v>30</v>
      </c>
      <c r="O262" t="s">
        <v>813</v>
      </c>
      <c r="P262" s="29"/>
    </row>
    <row r="263" spans="1:16" ht="14.25" customHeight="1" x14ac:dyDescent="0.3">
      <c r="A263" s="18" t="s">
        <v>1300</v>
      </c>
      <c r="C263" s="8" t="str">
        <f>G263&amp;", "&amp;O263&amp;", "&amp;N263</f>
        <v>Iron Cast, 707-44-22920, KOMATSU</v>
      </c>
      <c r="D263" s="21" t="s">
        <v>20</v>
      </c>
      <c r="E263" s="21" t="s">
        <v>21</v>
      </c>
      <c r="F263" s="7" t="s">
        <v>22</v>
      </c>
      <c r="G263" s="7" t="s">
        <v>817</v>
      </c>
      <c r="J263" s="7" t="s">
        <v>28</v>
      </c>
      <c r="L263" s="42">
        <v>63.81</v>
      </c>
      <c r="M263" s="7" t="s">
        <v>23</v>
      </c>
      <c r="N263" s="7" t="s">
        <v>30</v>
      </c>
      <c r="O263" t="s">
        <v>814</v>
      </c>
      <c r="P263" s="29"/>
    </row>
    <row r="264" spans="1:16" ht="14.25" customHeight="1" x14ac:dyDescent="0.3">
      <c r="A264" s="18" t="s">
        <v>1300</v>
      </c>
      <c r="C264" s="8" t="str">
        <f>G264&amp;", "&amp;O264&amp;", "&amp;N264</f>
        <v>Iron Cast, 707-44-25910, KOMATSU</v>
      </c>
      <c r="D264" s="21" t="s">
        <v>20</v>
      </c>
      <c r="E264" s="21" t="s">
        <v>21</v>
      </c>
      <c r="F264" s="7" t="s">
        <v>22</v>
      </c>
      <c r="G264" s="7" t="s">
        <v>817</v>
      </c>
      <c r="J264" s="7" t="s">
        <v>28</v>
      </c>
      <c r="L264" s="42">
        <v>247.30500000000001</v>
      </c>
      <c r="M264" s="7" t="s">
        <v>23</v>
      </c>
      <c r="N264" s="7" t="s">
        <v>30</v>
      </c>
      <c r="O264" t="s">
        <v>815</v>
      </c>
      <c r="P264" s="29"/>
    </row>
    <row r="265" spans="1:16" ht="14.25" customHeight="1" x14ac:dyDescent="0.3">
      <c r="A265" s="18" t="s">
        <v>1300</v>
      </c>
      <c r="C265" s="8" t="str">
        <f>G265&amp;", "&amp;O265&amp;", "&amp;N265</f>
        <v>Juego de recptáculo, 102-8804, CATERPILLAR</v>
      </c>
      <c r="D265" s="21" t="s">
        <v>20</v>
      </c>
      <c r="E265" s="21" t="s">
        <v>21</v>
      </c>
      <c r="F265" s="7" t="s">
        <v>22</v>
      </c>
      <c r="G265" s="7" t="s">
        <v>819</v>
      </c>
      <c r="J265" s="7" t="s">
        <v>28</v>
      </c>
      <c r="L265" s="42">
        <v>13.54</v>
      </c>
      <c r="M265" s="7" t="s">
        <v>23</v>
      </c>
      <c r="N265" s="7" t="s">
        <v>24</v>
      </c>
      <c r="O265" t="s">
        <v>818</v>
      </c>
      <c r="P265" s="29"/>
    </row>
    <row r="266" spans="1:16" ht="14.25" customHeight="1" x14ac:dyDescent="0.3">
      <c r="A266" s="18" t="s">
        <v>1300</v>
      </c>
      <c r="C266" s="8" t="str">
        <f>G266&amp;", "&amp;O266&amp;", "&amp;N266</f>
        <v>Kit de bladder, 148-2599, CATERPILLAR</v>
      </c>
      <c r="D266" s="21" t="s">
        <v>20</v>
      </c>
      <c r="E266" s="21" t="s">
        <v>21</v>
      </c>
      <c r="F266" s="7" t="s">
        <v>22</v>
      </c>
      <c r="G266" s="7" t="s">
        <v>822</v>
      </c>
      <c r="J266" s="7" t="s">
        <v>28</v>
      </c>
      <c r="L266" s="42">
        <v>2815.95</v>
      </c>
      <c r="M266" s="7" t="s">
        <v>23</v>
      </c>
      <c r="N266" s="7" t="s">
        <v>24</v>
      </c>
      <c r="O266" t="s">
        <v>25</v>
      </c>
      <c r="P266" s="29"/>
    </row>
    <row r="267" spans="1:16" ht="14.25" customHeight="1" x14ac:dyDescent="0.3">
      <c r="A267" s="18" t="s">
        <v>1300</v>
      </c>
      <c r="C267" s="8" t="str">
        <f>G267&amp;", "&amp;O267&amp;", "&amp;N267</f>
        <v>Kit de bladder, XA4112, KOMATSU</v>
      </c>
      <c r="D267" s="21" t="s">
        <v>20</v>
      </c>
      <c r="E267" s="21" t="s">
        <v>21</v>
      </c>
      <c r="F267" s="7" t="s">
        <v>22</v>
      </c>
      <c r="G267" s="7" t="s">
        <v>822</v>
      </c>
      <c r="J267" s="7" t="s">
        <v>28</v>
      </c>
      <c r="L267" s="42">
        <v>2550.2800000000002</v>
      </c>
      <c r="M267" s="7" t="s">
        <v>23</v>
      </c>
      <c r="N267" s="7" t="s">
        <v>30</v>
      </c>
      <c r="O267" t="s">
        <v>823</v>
      </c>
      <c r="P267" s="29"/>
    </row>
    <row r="268" spans="1:16" ht="14.25" customHeight="1" x14ac:dyDescent="0.3">
      <c r="A268" s="18" t="s">
        <v>1300</v>
      </c>
      <c r="C268" s="8" t="str">
        <f>G268&amp;", "&amp;O268&amp;", "&amp;N268</f>
        <v>Kit de bladder, XA4155, KOMATSU</v>
      </c>
      <c r="D268" s="21" t="s">
        <v>20</v>
      </c>
      <c r="E268" s="21" t="s">
        <v>21</v>
      </c>
      <c r="F268" s="7" t="s">
        <v>22</v>
      </c>
      <c r="G268" s="7" t="s">
        <v>822</v>
      </c>
      <c r="J268" s="7" t="s">
        <v>28</v>
      </c>
      <c r="L268" s="42">
        <v>2441.25</v>
      </c>
      <c r="M268" s="7" t="s">
        <v>23</v>
      </c>
      <c r="N268" s="7" t="s">
        <v>30</v>
      </c>
      <c r="O268" t="s">
        <v>824</v>
      </c>
      <c r="P268" s="29"/>
    </row>
    <row r="269" spans="1:16" ht="14.25" customHeight="1" x14ac:dyDescent="0.3">
      <c r="A269" s="18" t="s">
        <v>1300</v>
      </c>
      <c r="C269" s="8" t="str">
        <f>G269&amp;", "&amp;O269&amp;", "&amp;N269</f>
        <v>Kit de sellos, 227-5347, CATERPILLAR</v>
      </c>
      <c r="D269" s="21" t="s">
        <v>20</v>
      </c>
      <c r="E269" s="21" t="s">
        <v>21</v>
      </c>
      <c r="F269" s="7" t="s">
        <v>22</v>
      </c>
      <c r="G269" s="7" t="s">
        <v>27</v>
      </c>
      <c r="J269" s="7" t="s">
        <v>28</v>
      </c>
      <c r="L269" s="42" t="s">
        <v>1310</v>
      </c>
      <c r="M269" s="7" t="s">
        <v>23</v>
      </c>
      <c r="N269" s="7" t="s">
        <v>24</v>
      </c>
      <c r="O269" t="s">
        <v>825</v>
      </c>
      <c r="P269" s="29"/>
    </row>
    <row r="270" spans="1:16" ht="14.25" customHeight="1" x14ac:dyDescent="0.3">
      <c r="A270" s="18" t="s">
        <v>1300</v>
      </c>
      <c r="C270" s="8" t="str">
        <f>G270&amp;", "&amp;O270&amp;", "&amp;N270</f>
        <v>Kit de sellos, 227-5348, CATERPILLAR</v>
      </c>
      <c r="D270" s="21" t="s">
        <v>20</v>
      </c>
      <c r="E270" s="21" t="s">
        <v>21</v>
      </c>
      <c r="F270" s="7" t="s">
        <v>22</v>
      </c>
      <c r="G270" s="7" t="s">
        <v>27</v>
      </c>
      <c r="J270" s="7" t="s">
        <v>28</v>
      </c>
      <c r="L270" s="42">
        <v>292.44</v>
      </c>
      <c r="M270" s="7" t="s">
        <v>23</v>
      </c>
      <c r="N270" s="7" t="s">
        <v>24</v>
      </c>
      <c r="O270" t="s">
        <v>826</v>
      </c>
      <c r="P270" s="29"/>
    </row>
    <row r="271" spans="1:16" ht="14.25" customHeight="1" x14ac:dyDescent="0.3">
      <c r="A271" s="18" t="s">
        <v>1300</v>
      </c>
      <c r="C271" s="8" t="str">
        <f>G271&amp;", "&amp;O271&amp;", "&amp;N271</f>
        <v>Kit de sellos, 228-1775, CATERPILLAR</v>
      </c>
      <c r="D271" s="21" t="s">
        <v>20</v>
      </c>
      <c r="E271" s="21" t="s">
        <v>21</v>
      </c>
      <c r="F271" s="7" t="s">
        <v>22</v>
      </c>
      <c r="G271" s="7" t="s">
        <v>27</v>
      </c>
      <c r="J271" s="7" t="s">
        <v>28</v>
      </c>
      <c r="L271" s="42">
        <v>549.01</v>
      </c>
      <c r="M271" s="7" t="s">
        <v>23</v>
      </c>
      <c r="N271" s="7" t="s">
        <v>24</v>
      </c>
      <c r="O271" t="s">
        <v>827</v>
      </c>
      <c r="P271" s="29"/>
    </row>
    <row r="272" spans="1:16" ht="14.25" customHeight="1" x14ac:dyDescent="0.3">
      <c r="A272" s="18" t="s">
        <v>1300</v>
      </c>
      <c r="C272" s="8" t="str">
        <f>G272&amp;", "&amp;O272&amp;", "&amp;N272</f>
        <v>Kit de sellos, 229-2626, CATERPILLAR</v>
      </c>
      <c r="D272" s="21" t="s">
        <v>20</v>
      </c>
      <c r="E272" s="21" t="s">
        <v>21</v>
      </c>
      <c r="F272" s="7" t="s">
        <v>22</v>
      </c>
      <c r="G272" s="7" t="s">
        <v>27</v>
      </c>
      <c r="J272" s="7" t="s">
        <v>28</v>
      </c>
      <c r="L272" s="42">
        <v>267.89999999999998</v>
      </c>
      <c r="M272" s="7" t="s">
        <v>23</v>
      </c>
      <c r="N272" s="7" t="s">
        <v>24</v>
      </c>
      <c r="O272" t="s">
        <v>828</v>
      </c>
      <c r="P272" s="29"/>
    </row>
    <row r="273" spans="1:16" ht="14.25" customHeight="1" x14ac:dyDescent="0.3">
      <c r="A273" s="18" t="s">
        <v>1300</v>
      </c>
      <c r="C273" s="8" t="str">
        <f>G273&amp;", "&amp;O273&amp;", "&amp;N273</f>
        <v>Kit de sellos, 229-5507, CATERPILLAR</v>
      </c>
      <c r="D273" s="21" t="s">
        <v>20</v>
      </c>
      <c r="E273" s="21" t="s">
        <v>21</v>
      </c>
      <c r="F273" s="7" t="s">
        <v>22</v>
      </c>
      <c r="G273" s="7" t="s">
        <v>27</v>
      </c>
      <c r="J273" s="7" t="s">
        <v>28</v>
      </c>
      <c r="L273" s="42">
        <v>604.35</v>
      </c>
      <c r="M273" s="7" t="s">
        <v>23</v>
      </c>
      <c r="N273" s="7" t="s">
        <v>24</v>
      </c>
      <c r="O273" t="s">
        <v>829</v>
      </c>
      <c r="P273" s="29"/>
    </row>
    <row r="274" spans="1:16" ht="14.25" customHeight="1" x14ac:dyDescent="0.3">
      <c r="A274" s="18" t="s">
        <v>1300</v>
      </c>
      <c r="C274" s="8" t="str">
        <f>G274&amp;", "&amp;O274&amp;", "&amp;N274</f>
        <v>Kit de sellos, 229-5538, CATERPILLAR</v>
      </c>
      <c r="D274" s="21" t="s">
        <v>20</v>
      </c>
      <c r="E274" s="21" t="s">
        <v>21</v>
      </c>
      <c r="F274" s="7" t="s">
        <v>22</v>
      </c>
      <c r="G274" s="7" t="s">
        <v>27</v>
      </c>
      <c r="J274" s="7" t="s">
        <v>28</v>
      </c>
      <c r="L274" s="42">
        <v>260.37</v>
      </c>
      <c r="M274" s="7" t="s">
        <v>23</v>
      </c>
      <c r="N274" s="7" t="s">
        <v>24</v>
      </c>
      <c r="O274" t="s">
        <v>830</v>
      </c>
      <c r="P274" s="29"/>
    </row>
    <row r="275" spans="1:16" ht="14.25" customHeight="1" x14ac:dyDescent="0.3">
      <c r="A275" s="18" t="s">
        <v>1300</v>
      </c>
      <c r="C275" s="8" t="str">
        <f>G275&amp;", "&amp;O275&amp;", "&amp;N275</f>
        <v>Kit de sellos, 229-5546, CATERPILLAR</v>
      </c>
      <c r="D275" s="21" t="s">
        <v>20</v>
      </c>
      <c r="E275" s="21" t="s">
        <v>21</v>
      </c>
      <c r="F275" s="7" t="s">
        <v>22</v>
      </c>
      <c r="G275" s="7" t="s">
        <v>27</v>
      </c>
      <c r="J275" s="7" t="s">
        <v>28</v>
      </c>
      <c r="L275" s="42">
        <v>887.28</v>
      </c>
      <c r="M275" s="7" t="s">
        <v>23</v>
      </c>
      <c r="N275" s="7" t="s">
        <v>24</v>
      </c>
      <c r="O275" t="s">
        <v>831</v>
      </c>
      <c r="P275" s="29"/>
    </row>
    <row r="276" spans="1:16" ht="14.25" customHeight="1" x14ac:dyDescent="0.3">
      <c r="A276" s="18" t="s">
        <v>1300</v>
      </c>
      <c r="C276" s="8" t="str">
        <f>G276&amp;", "&amp;O276&amp;", "&amp;N276</f>
        <v>Kit de sellos, 229-5549, CATERPILLAR</v>
      </c>
      <c r="D276" s="21" t="s">
        <v>20</v>
      </c>
      <c r="E276" s="21" t="s">
        <v>21</v>
      </c>
      <c r="F276" s="7" t="s">
        <v>22</v>
      </c>
      <c r="G276" s="7" t="s">
        <v>27</v>
      </c>
      <c r="J276" s="7" t="s">
        <v>28</v>
      </c>
      <c r="L276" s="42">
        <v>780.89</v>
      </c>
      <c r="M276" s="7" t="s">
        <v>23</v>
      </c>
      <c r="N276" s="7" t="s">
        <v>24</v>
      </c>
      <c r="O276" t="s">
        <v>832</v>
      </c>
      <c r="P276" s="29"/>
    </row>
    <row r="277" spans="1:16" ht="14.25" customHeight="1" x14ac:dyDescent="0.3">
      <c r="A277" s="18" t="s">
        <v>1300</v>
      </c>
      <c r="C277" s="8" t="str">
        <f>G277&amp;", "&amp;O277&amp;", "&amp;N277</f>
        <v>Kit de sellos, 229-7188, CATERPILLAR</v>
      </c>
      <c r="D277" s="21" t="s">
        <v>20</v>
      </c>
      <c r="E277" s="21" t="s">
        <v>21</v>
      </c>
      <c r="F277" s="7" t="s">
        <v>22</v>
      </c>
      <c r="G277" s="7" t="s">
        <v>27</v>
      </c>
      <c r="J277" s="7" t="s">
        <v>28</v>
      </c>
      <c r="L277" s="42">
        <v>388</v>
      </c>
      <c r="M277" s="7" t="s">
        <v>23</v>
      </c>
      <c r="N277" s="7" t="s">
        <v>24</v>
      </c>
      <c r="O277" t="s">
        <v>833</v>
      </c>
      <c r="P277" s="29"/>
    </row>
    <row r="278" spans="1:16" ht="14.25" customHeight="1" x14ac:dyDescent="0.3">
      <c r="A278" s="18" t="s">
        <v>1300</v>
      </c>
      <c r="C278" s="8" t="str">
        <f>G278&amp;", "&amp;O278&amp;", "&amp;N278</f>
        <v>Kit de sellos, 233-9205, CATERPILLAR</v>
      </c>
      <c r="D278" s="21" t="s">
        <v>20</v>
      </c>
      <c r="E278" s="21" t="s">
        <v>21</v>
      </c>
      <c r="F278" s="7" t="s">
        <v>22</v>
      </c>
      <c r="G278" s="7" t="s">
        <v>27</v>
      </c>
      <c r="J278" s="7" t="s">
        <v>28</v>
      </c>
      <c r="L278" s="42">
        <v>247.63</v>
      </c>
      <c r="M278" s="7" t="s">
        <v>23</v>
      </c>
      <c r="N278" s="7" t="s">
        <v>24</v>
      </c>
      <c r="O278" t="s">
        <v>834</v>
      </c>
      <c r="P278" s="29"/>
    </row>
    <row r="279" spans="1:16" ht="14.25" customHeight="1" x14ac:dyDescent="0.3">
      <c r="A279" s="18" t="s">
        <v>1300</v>
      </c>
      <c r="C279" s="8" t="str">
        <f>G279&amp;", "&amp;O279&amp;", "&amp;N279</f>
        <v>Kit de sellos, 234-1948, CATERPILLAR</v>
      </c>
      <c r="D279" s="21" t="s">
        <v>20</v>
      </c>
      <c r="E279" s="21" t="s">
        <v>21</v>
      </c>
      <c r="F279" s="7" t="s">
        <v>22</v>
      </c>
      <c r="G279" s="7" t="s">
        <v>27</v>
      </c>
      <c r="J279" s="7" t="s">
        <v>28</v>
      </c>
      <c r="L279" s="42">
        <v>270.37</v>
      </c>
      <c r="M279" s="7" t="s">
        <v>23</v>
      </c>
      <c r="N279" s="7" t="s">
        <v>24</v>
      </c>
      <c r="O279" t="s">
        <v>835</v>
      </c>
      <c r="P279" s="29"/>
    </row>
    <row r="280" spans="1:16" ht="14.25" customHeight="1" x14ac:dyDescent="0.3">
      <c r="A280" s="18" t="s">
        <v>1300</v>
      </c>
      <c r="C280" s="8" t="str">
        <f>G280&amp;", "&amp;O280&amp;", "&amp;N280</f>
        <v>Kit de sellos, 234-1949, CATERPILLAR</v>
      </c>
      <c r="D280" s="21" t="s">
        <v>20</v>
      </c>
      <c r="E280" s="21" t="s">
        <v>21</v>
      </c>
      <c r="F280" s="7" t="s">
        <v>22</v>
      </c>
      <c r="G280" s="7" t="s">
        <v>27</v>
      </c>
      <c r="J280" s="7" t="s">
        <v>28</v>
      </c>
      <c r="L280" s="42">
        <v>259.31</v>
      </c>
      <c r="M280" s="7" t="s">
        <v>23</v>
      </c>
      <c r="N280" s="7" t="s">
        <v>24</v>
      </c>
      <c r="O280" t="s">
        <v>836</v>
      </c>
      <c r="P280" s="29"/>
    </row>
    <row r="281" spans="1:16" ht="14.25" customHeight="1" x14ac:dyDescent="0.3">
      <c r="A281" s="18" t="s">
        <v>1300</v>
      </c>
      <c r="C281" s="8" t="str">
        <f>G281&amp;", "&amp;O281&amp;", "&amp;N281</f>
        <v>Kit de sellos, 235-0974, CATERPILLAR</v>
      </c>
      <c r="D281" s="21" t="s">
        <v>20</v>
      </c>
      <c r="E281" s="21" t="s">
        <v>21</v>
      </c>
      <c r="F281" s="7" t="s">
        <v>22</v>
      </c>
      <c r="G281" s="7" t="s">
        <v>27</v>
      </c>
      <c r="J281" s="7" t="s">
        <v>28</v>
      </c>
      <c r="L281" s="42">
        <v>479.04</v>
      </c>
      <c r="M281" s="7" t="s">
        <v>23</v>
      </c>
      <c r="N281" s="7" t="s">
        <v>24</v>
      </c>
      <c r="O281" t="s">
        <v>837</v>
      </c>
      <c r="P281" s="29"/>
    </row>
    <row r="282" spans="1:16" ht="14.25" customHeight="1" x14ac:dyDescent="0.3">
      <c r="A282" s="18" t="s">
        <v>1300</v>
      </c>
      <c r="C282" s="8" t="str">
        <f>G282&amp;", "&amp;O282&amp;", "&amp;N282</f>
        <v>Kit de sellos, 244-2073, CATERPILLAR</v>
      </c>
      <c r="D282" s="21" t="s">
        <v>20</v>
      </c>
      <c r="E282" s="21" t="s">
        <v>21</v>
      </c>
      <c r="F282" s="7" t="s">
        <v>22</v>
      </c>
      <c r="G282" s="7" t="s">
        <v>27</v>
      </c>
      <c r="J282" s="7" t="s">
        <v>28</v>
      </c>
      <c r="L282" s="42">
        <v>322.3</v>
      </c>
      <c r="M282" s="7" t="s">
        <v>23</v>
      </c>
      <c r="N282" s="7" t="s">
        <v>24</v>
      </c>
      <c r="O282" t="s">
        <v>838</v>
      </c>
      <c r="P282" s="29"/>
    </row>
    <row r="283" spans="1:16" ht="14.25" customHeight="1" x14ac:dyDescent="0.3">
      <c r="A283" s="18" t="s">
        <v>1300</v>
      </c>
      <c r="C283" s="8" t="str">
        <f>G283&amp;", "&amp;O283&amp;", "&amp;N283</f>
        <v>Kit de sellos, 245-6835, CATERPILLAR</v>
      </c>
      <c r="D283" s="21" t="s">
        <v>20</v>
      </c>
      <c r="E283" s="21" t="s">
        <v>21</v>
      </c>
      <c r="F283" s="7" t="s">
        <v>22</v>
      </c>
      <c r="G283" s="7" t="s">
        <v>27</v>
      </c>
      <c r="J283" s="7" t="s">
        <v>28</v>
      </c>
      <c r="L283" s="42">
        <v>510.81</v>
      </c>
      <c r="M283" s="7" t="s">
        <v>23</v>
      </c>
      <c r="N283" s="7" t="s">
        <v>24</v>
      </c>
      <c r="O283" t="s">
        <v>839</v>
      </c>
      <c r="P283" s="29"/>
    </row>
    <row r="284" spans="1:16" ht="14.25" customHeight="1" x14ac:dyDescent="0.3">
      <c r="A284" s="18" t="s">
        <v>1300</v>
      </c>
      <c r="C284" s="8" t="str">
        <f>G284&amp;", "&amp;O284&amp;", "&amp;N284</f>
        <v>Kit de sellos, 245-9840, CATERPILLAR</v>
      </c>
      <c r="D284" s="21" t="s">
        <v>20</v>
      </c>
      <c r="E284" s="21" t="s">
        <v>21</v>
      </c>
      <c r="F284" s="7" t="s">
        <v>22</v>
      </c>
      <c r="G284" s="7" t="s">
        <v>27</v>
      </c>
      <c r="J284" s="7" t="s">
        <v>28</v>
      </c>
      <c r="L284" s="42">
        <v>540.57000000000005</v>
      </c>
      <c r="M284" s="7" t="s">
        <v>23</v>
      </c>
      <c r="N284" s="7" t="s">
        <v>24</v>
      </c>
      <c r="O284" t="s">
        <v>840</v>
      </c>
      <c r="P284" s="29"/>
    </row>
    <row r="285" spans="1:16" ht="14.25" customHeight="1" x14ac:dyDescent="0.3">
      <c r="A285" s="18" t="s">
        <v>1300</v>
      </c>
      <c r="C285" s="8" t="str">
        <f>G285&amp;", "&amp;O285&amp;", "&amp;N285</f>
        <v>Kit de sellos, 246-0635, CATERPILLAR</v>
      </c>
      <c r="D285" s="21" t="s">
        <v>20</v>
      </c>
      <c r="E285" s="21" t="s">
        <v>21</v>
      </c>
      <c r="F285" s="7" t="s">
        <v>22</v>
      </c>
      <c r="G285" s="7" t="s">
        <v>27</v>
      </c>
      <c r="J285" s="7" t="s">
        <v>28</v>
      </c>
      <c r="L285" s="42">
        <v>698.35</v>
      </c>
      <c r="M285" s="7" t="s">
        <v>23</v>
      </c>
      <c r="N285" s="7" t="s">
        <v>24</v>
      </c>
      <c r="O285" t="s">
        <v>841</v>
      </c>
      <c r="P285" s="29"/>
    </row>
    <row r="286" spans="1:16" ht="14.25" customHeight="1" x14ac:dyDescent="0.3">
      <c r="A286" s="18" t="s">
        <v>1300</v>
      </c>
      <c r="C286" s="8" t="str">
        <f>G286&amp;", "&amp;O286&amp;", "&amp;N286</f>
        <v>Kit de sellos, 246-0649, CATERPILLAR</v>
      </c>
      <c r="D286" s="21" t="s">
        <v>20</v>
      </c>
      <c r="E286" s="21" t="s">
        <v>21</v>
      </c>
      <c r="F286" s="7" t="s">
        <v>22</v>
      </c>
      <c r="G286" s="7" t="s">
        <v>27</v>
      </c>
      <c r="J286" s="7" t="s">
        <v>28</v>
      </c>
      <c r="L286" s="42">
        <v>752.79</v>
      </c>
      <c r="M286" s="7" t="s">
        <v>23</v>
      </c>
      <c r="N286" s="7" t="s">
        <v>24</v>
      </c>
      <c r="O286" t="s">
        <v>842</v>
      </c>
      <c r="P286" s="29"/>
    </row>
    <row r="287" spans="1:16" ht="14.25" customHeight="1" x14ac:dyDescent="0.3">
      <c r="A287" s="18" t="s">
        <v>1300</v>
      </c>
      <c r="C287" s="8" t="str">
        <f>G287&amp;", "&amp;O287&amp;", "&amp;N287</f>
        <v>Kit de sellos, 246-3431, CATERPILLAR</v>
      </c>
      <c r="D287" s="21" t="s">
        <v>20</v>
      </c>
      <c r="E287" s="21" t="s">
        <v>21</v>
      </c>
      <c r="F287" s="7" t="s">
        <v>22</v>
      </c>
      <c r="G287" s="7" t="s">
        <v>27</v>
      </c>
      <c r="J287" s="7" t="s">
        <v>28</v>
      </c>
      <c r="L287" s="42">
        <v>686.42</v>
      </c>
      <c r="M287" s="7" t="s">
        <v>23</v>
      </c>
      <c r="N287" s="7" t="s">
        <v>24</v>
      </c>
      <c r="O287" t="s">
        <v>843</v>
      </c>
      <c r="P287" s="29"/>
    </row>
    <row r="288" spans="1:16" ht="14.25" customHeight="1" x14ac:dyDescent="0.3">
      <c r="A288" s="18" t="s">
        <v>1300</v>
      </c>
      <c r="C288" s="8" t="str">
        <f>G288&amp;", "&amp;O288&amp;", "&amp;N288</f>
        <v>Kit de sellos, 248-1198, CATERPILLAR</v>
      </c>
      <c r="D288" s="21" t="s">
        <v>20</v>
      </c>
      <c r="E288" s="21" t="s">
        <v>21</v>
      </c>
      <c r="F288" s="7" t="s">
        <v>22</v>
      </c>
      <c r="G288" s="7" t="s">
        <v>27</v>
      </c>
      <c r="J288" s="7" t="s">
        <v>28</v>
      </c>
      <c r="L288" s="42">
        <v>911.01</v>
      </c>
      <c r="M288" s="7" t="s">
        <v>23</v>
      </c>
      <c r="N288" s="7" t="s">
        <v>24</v>
      </c>
      <c r="O288" t="s">
        <v>844</v>
      </c>
      <c r="P288" s="29"/>
    </row>
    <row r="289" spans="1:16" ht="14.25" customHeight="1" x14ac:dyDescent="0.3">
      <c r="A289" s="18" t="s">
        <v>1300</v>
      </c>
      <c r="C289" s="8" t="str">
        <f>G289&amp;", "&amp;O289&amp;", "&amp;N289</f>
        <v>Kit de sellos, 252-5105, CATERPILLAR</v>
      </c>
      <c r="D289" s="21" t="s">
        <v>20</v>
      </c>
      <c r="E289" s="21" t="s">
        <v>21</v>
      </c>
      <c r="F289" s="7" t="s">
        <v>22</v>
      </c>
      <c r="G289" s="7" t="s">
        <v>27</v>
      </c>
      <c r="J289" s="7" t="s">
        <v>28</v>
      </c>
      <c r="L289" s="42">
        <v>349.41</v>
      </c>
      <c r="M289" s="7" t="s">
        <v>23</v>
      </c>
      <c r="N289" s="7" t="s">
        <v>24</v>
      </c>
      <c r="O289" t="s">
        <v>845</v>
      </c>
      <c r="P289" s="29"/>
    </row>
    <row r="290" spans="1:16" ht="14.25" customHeight="1" x14ac:dyDescent="0.3">
      <c r="A290" s="18" t="s">
        <v>1300</v>
      </c>
      <c r="C290" s="8" t="str">
        <f>G290&amp;", "&amp;O290&amp;", "&amp;N290</f>
        <v>Kit de sellos, 261-8001, CATERPILLAR</v>
      </c>
      <c r="D290" s="21" t="s">
        <v>20</v>
      </c>
      <c r="E290" s="21" t="s">
        <v>21</v>
      </c>
      <c r="F290" s="7" t="s">
        <v>22</v>
      </c>
      <c r="G290" s="7" t="s">
        <v>27</v>
      </c>
      <c r="J290" s="7" t="s">
        <v>28</v>
      </c>
      <c r="L290" s="42">
        <v>395.11</v>
      </c>
      <c r="M290" s="7" t="s">
        <v>23</v>
      </c>
      <c r="N290" s="7" t="s">
        <v>24</v>
      </c>
      <c r="O290" t="s">
        <v>846</v>
      </c>
      <c r="P290" s="29"/>
    </row>
    <row r="291" spans="1:16" ht="14.25" customHeight="1" x14ac:dyDescent="0.3">
      <c r="A291" s="18" t="s">
        <v>1300</v>
      </c>
      <c r="C291" s="8" t="str">
        <f>G291&amp;", "&amp;O291&amp;", "&amp;N291</f>
        <v>Kit de sellos, 295-9892, CATERPILLAR</v>
      </c>
      <c r="D291" s="21" t="s">
        <v>20</v>
      </c>
      <c r="E291" s="21" t="s">
        <v>21</v>
      </c>
      <c r="F291" s="7" t="s">
        <v>22</v>
      </c>
      <c r="G291" s="7" t="s">
        <v>27</v>
      </c>
      <c r="J291" s="7" t="s">
        <v>28</v>
      </c>
      <c r="L291" s="42">
        <v>479.01</v>
      </c>
      <c r="M291" s="7" t="s">
        <v>23</v>
      </c>
      <c r="N291" s="7" t="s">
        <v>24</v>
      </c>
      <c r="O291" t="s">
        <v>847</v>
      </c>
      <c r="P291" s="29"/>
    </row>
    <row r="292" spans="1:16" ht="14.25" customHeight="1" x14ac:dyDescent="0.3">
      <c r="A292" s="18" t="s">
        <v>1300</v>
      </c>
      <c r="C292" s="8" t="str">
        <f>G292&amp;", "&amp;O292&amp;", "&amp;N292</f>
        <v>Kit de sellos, 307-6273, CATERPILLAR</v>
      </c>
      <c r="D292" s="21" t="s">
        <v>20</v>
      </c>
      <c r="E292" s="21" t="s">
        <v>21</v>
      </c>
      <c r="F292" s="7" t="s">
        <v>22</v>
      </c>
      <c r="G292" s="7" t="s">
        <v>27</v>
      </c>
      <c r="J292" s="7" t="s">
        <v>28</v>
      </c>
      <c r="L292" s="42">
        <v>222.05</v>
      </c>
      <c r="M292" s="7" t="s">
        <v>23</v>
      </c>
      <c r="N292" s="7" t="s">
        <v>24</v>
      </c>
      <c r="O292" t="s">
        <v>848</v>
      </c>
      <c r="P292" s="29"/>
    </row>
    <row r="293" spans="1:16" ht="14.25" customHeight="1" x14ac:dyDescent="0.3">
      <c r="A293" s="18" t="s">
        <v>1300</v>
      </c>
      <c r="C293" s="8" t="str">
        <f>G293&amp;", "&amp;O293&amp;", "&amp;N293</f>
        <v>Kit de sellos, 317-6054, CATERPILLAR</v>
      </c>
      <c r="D293" s="21" t="s">
        <v>20</v>
      </c>
      <c r="E293" s="21" t="s">
        <v>21</v>
      </c>
      <c r="F293" s="7" t="s">
        <v>22</v>
      </c>
      <c r="G293" s="7" t="s">
        <v>27</v>
      </c>
      <c r="J293" s="7" t="s">
        <v>28</v>
      </c>
      <c r="L293" s="42">
        <v>269.08999999999997</v>
      </c>
      <c r="M293" s="7" t="s">
        <v>23</v>
      </c>
      <c r="N293" s="7" t="s">
        <v>24</v>
      </c>
      <c r="O293" t="s">
        <v>849</v>
      </c>
      <c r="P293" s="29"/>
    </row>
    <row r="294" spans="1:16" ht="14.25" customHeight="1" x14ac:dyDescent="0.3">
      <c r="A294" s="18" t="s">
        <v>1300</v>
      </c>
      <c r="C294" s="8" t="str">
        <f>G294&amp;", "&amp;O294&amp;", "&amp;N294</f>
        <v>Kit de sellos, 319-8295, CATERPILLAR</v>
      </c>
      <c r="D294" s="21" t="s">
        <v>20</v>
      </c>
      <c r="E294" s="21" t="s">
        <v>21</v>
      </c>
      <c r="F294" s="7" t="s">
        <v>22</v>
      </c>
      <c r="G294" s="7" t="s">
        <v>27</v>
      </c>
      <c r="J294" s="7" t="s">
        <v>28</v>
      </c>
      <c r="L294" s="42">
        <v>603.30999999999995</v>
      </c>
      <c r="M294" s="7" t="s">
        <v>23</v>
      </c>
      <c r="N294" s="7" t="s">
        <v>24</v>
      </c>
      <c r="O294" t="s">
        <v>850</v>
      </c>
      <c r="P294" s="29"/>
    </row>
    <row r="295" spans="1:16" ht="14.25" customHeight="1" x14ac:dyDescent="0.3">
      <c r="A295" s="18" t="s">
        <v>1300</v>
      </c>
      <c r="C295" s="8" t="str">
        <f>G295&amp;", "&amp;O295&amp;", "&amp;N295</f>
        <v>Kit de sellos, 323-4199, CATERPILLAR</v>
      </c>
      <c r="D295" s="21" t="s">
        <v>20</v>
      </c>
      <c r="E295" s="21" t="s">
        <v>21</v>
      </c>
      <c r="F295" s="7" t="s">
        <v>22</v>
      </c>
      <c r="G295" s="7" t="s">
        <v>27</v>
      </c>
      <c r="J295" s="7" t="s">
        <v>28</v>
      </c>
      <c r="L295" s="42">
        <v>368.25</v>
      </c>
      <c r="M295" s="7" t="s">
        <v>23</v>
      </c>
      <c r="N295" s="7" t="s">
        <v>24</v>
      </c>
      <c r="O295" t="s">
        <v>851</v>
      </c>
      <c r="P295" s="29"/>
    </row>
    <row r="296" spans="1:16" ht="14.25" customHeight="1" x14ac:dyDescent="0.3">
      <c r="A296" s="18" t="s">
        <v>1300</v>
      </c>
      <c r="C296" s="8" t="str">
        <f>G296&amp;", "&amp;O296&amp;", "&amp;N296</f>
        <v>Kit de sellos, 326-0502, CATERPILLAR</v>
      </c>
      <c r="D296" s="21" t="s">
        <v>20</v>
      </c>
      <c r="E296" s="21" t="s">
        <v>21</v>
      </c>
      <c r="F296" s="7" t="s">
        <v>22</v>
      </c>
      <c r="G296" s="7" t="s">
        <v>27</v>
      </c>
      <c r="J296" s="7" t="s">
        <v>28</v>
      </c>
      <c r="L296" s="42">
        <v>231.98</v>
      </c>
      <c r="M296" s="7" t="s">
        <v>23</v>
      </c>
      <c r="N296" s="7" t="s">
        <v>24</v>
      </c>
      <c r="O296" t="s">
        <v>852</v>
      </c>
      <c r="P296" s="29"/>
    </row>
    <row r="297" spans="1:16" ht="14.25" customHeight="1" x14ac:dyDescent="0.3">
      <c r="A297" s="18" t="s">
        <v>1300</v>
      </c>
      <c r="C297" s="8" t="str">
        <f>G297&amp;", "&amp;O297&amp;", "&amp;N297</f>
        <v>Kit de sellos, 333-8750, CATERPILLAR</v>
      </c>
      <c r="D297" s="21" t="s">
        <v>20</v>
      </c>
      <c r="E297" s="21" t="s">
        <v>21</v>
      </c>
      <c r="F297" s="7" t="s">
        <v>22</v>
      </c>
      <c r="G297" s="7" t="s">
        <v>27</v>
      </c>
      <c r="J297" s="7" t="s">
        <v>28</v>
      </c>
      <c r="L297" s="42">
        <v>498.59</v>
      </c>
      <c r="M297" s="7" t="s">
        <v>23</v>
      </c>
      <c r="N297" s="7" t="s">
        <v>24</v>
      </c>
      <c r="O297" t="s">
        <v>853</v>
      </c>
      <c r="P297" s="29"/>
    </row>
    <row r="298" spans="1:16" ht="14.25" customHeight="1" x14ac:dyDescent="0.3">
      <c r="A298" s="18" t="s">
        <v>1300</v>
      </c>
      <c r="C298" s="8" t="str">
        <f>G298&amp;", "&amp;O298&amp;", "&amp;N298</f>
        <v>Kit de sellos, 336-7346, CATERPILLAR</v>
      </c>
      <c r="D298" s="21" t="s">
        <v>20</v>
      </c>
      <c r="E298" s="21" t="s">
        <v>21</v>
      </c>
      <c r="F298" s="7" t="s">
        <v>22</v>
      </c>
      <c r="G298" s="7" t="s">
        <v>27</v>
      </c>
      <c r="J298" s="7" t="s">
        <v>28</v>
      </c>
      <c r="L298" s="42">
        <v>393.23</v>
      </c>
      <c r="M298" s="7" t="s">
        <v>23</v>
      </c>
      <c r="N298" s="7" t="s">
        <v>24</v>
      </c>
      <c r="O298" t="s">
        <v>854</v>
      </c>
      <c r="P298" s="29"/>
    </row>
    <row r="299" spans="1:16" ht="14.25" customHeight="1" x14ac:dyDescent="0.3">
      <c r="A299" s="18" t="s">
        <v>1300</v>
      </c>
      <c r="C299" s="8" t="str">
        <f>G299&amp;", "&amp;O299&amp;", "&amp;N299</f>
        <v>Kit de sellos, 350-7157, CATERPILLAR</v>
      </c>
      <c r="D299" s="21" t="s">
        <v>20</v>
      </c>
      <c r="E299" s="21" t="s">
        <v>21</v>
      </c>
      <c r="F299" s="7" t="s">
        <v>22</v>
      </c>
      <c r="G299" s="7" t="s">
        <v>27</v>
      </c>
      <c r="J299" s="7" t="s">
        <v>28</v>
      </c>
      <c r="L299" s="42">
        <v>1783.7</v>
      </c>
      <c r="M299" s="7" t="s">
        <v>23</v>
      </c>
      <c r="N299" s="7" t="s">
        <v>24</v>
      </c>
      <c r="O299" t="s">
        <v>855</v>
      </c>
      <c r="P299" s="29"/>
    </row>
    <row r="300" spans="1:16" ht="14.25" customHeight="1" x14ac:dyDescent="0.3">
      <c r="A300" s="18" t="s">
        <v>1300</v>
      </c>
      <c r="C300" s="8" t="str">
        <f>G300&amp;", "&amp;O300&amp;", "&amp;N300</f>
        <v>Kit de sellos, 370-1866, CATERPILLAR</v>
      </c>
      <c r="D300" s="21" t="s">
        <v>20</v>
      </c>
      <c r="E300" s="21" t="s">
        <v>21</v>
      </c>
      <c r="F300" s="7" t="s">
        <v>22</v>
      </c>
      <c r="G300" s="7" t="s">
        <v>27</v>
      </c>
      <c r="J300" s="7" t="s">
        <v>28</v>
      </c>
      <c r="L300" s="42">
        <v>1000.4</v>
      </c>
      <c r="M300" s="7" t="s">
        <v>23</v>
      </c>
      <c r="N300" s="7" t="s">
        <v>24</v>
      </c>
      <c r="O300" t="s">
        <v>856</v>
      </c>
      <c r="P300" s="29"/>
    </row>
    <row r="301" spans="1:16" ht="14.25" customHeight="1" x14ac:dyDescent="0.3">
      <c r="A301" s="18" t="s">
        <v>1300</v>
      </c>
      <c r="C301" s="8" t="str">
        <f>G301&amp;", "&amp;O301&amp;", "&amp;N301</f>
        <v>Kit de sellos, 370-1869, CATERPILLAR</v>
      </c>
      <c r="D301" s="21" t="s">
        <v>20</v>
      </c>
      <c r="E301" s="21" t="s">
        <v>21</v>
      </c>
      <c r="F301" s="7" t="s">
        <v>22</v>
      </c>
      <c r="G301" s="7" t="s">
        <v>27</v>
      </c>
      <c r="J301" s="7" t="s">
        <v>28</v>
      </c>
      <c r="L301" s="42">
        <v>958.57</v>
      </c>
      <c r="M301" s="7" t="s">
        <v>23</v>
      </c>
      <c r="N301" s="7" t="s">
        <v>24</v>
      </c>
      <c r="O301" t="s">
        <v>857</v>
      </c>
      <c r="P301" s="29"/>
    </row>
    <row r="302" spans="1:16" ht="14.25" customHeight="1" x14ac:dyDescent="0.3">
      <c r="A302" s="18" t="s">
        <v>1300</v>
      </c>
      <c r="C302" s="8" t="str">
        <f>G302&amp;", "&amp;O302&amp;", "&amp;N302</f>
        <v>Kit de sellos, 370-1871, CATERPILLAR</v>
      </c>
      <c r="D302" s="21" t="s">
        <v>20</v>
      </c>
      <c r="E302" s="21" t="s">
        <v>21</v>
      </c>
      <c r="F302" s="7" t="s">
        <v>22</v>
      </c>
      <c r="G302" s="7" t="s">
        <v>27</v>
      </c>
      <c r="J302" s="7" t="s">
        <v>28</v>
      </c>
      <c r="L302" s="42">
        <v>857.56</v>
      </c>
      <c r="M302" s="7" t="s">
        <v>23</v>
      </c>
      <c r="N302" s="7" t="s">
        <v>24</v>
      </c>
      <c r="O302" t="s">
        <v>858</v>
      </c>
      <c r="P302" s="29"/>
    </row>
    <row r="303" spans="1:16" ht="14.25" customHeight="1" x14ac:dyDescent="0.3">
      <c r="A303" s="18" t="s">
        <v>1300</v>
      </c>
      <c r="C303" s="8" t="str">
        <f>G303&amp;", "&amp;O303&amp;", "&amp;N303</f>
        <v>Kit de sellos, 370-1940, CATERPILLAR</v>
      </c>
      <c r="D303" s="21" t="s">
        <v>20</v>
      </c>
      <c r="E303" s="21" t="s">
        <v>21</v>
      </c>
      <c r="F303" s="7" t="s">
        <v>22</v>
      </c>
      <c r="G303" s="7" t="s">
        <v>27</v>
      </c>
      <c r="J303" s="7" t="s">
        <v>28</v>
      </c>
      <c r="L303" s="42">
        <v>793.65</v>
      </c>
      <c r="M303" s="7" t="s">
        <v>23</v>
      </c>
      <c r="N303" s="7" t="s">
        <v>24</v>
      </c>
      <c r="O303" t="s">
        <v>859</v>
      </c>
      <c r="P303" s="29"/>
    </row>
    <row r="304" spans="1:16" ht="14.25" customHeight="1" x14ac:dyDescent="0.3">
      <c r="A304" s="18" t="s">
        <v>1300</v>
      </c>
      <c r="C304" s="8" t="str">
        <f>G304&amp;", "&amp;O304&amp;", "&amp;N304</f>
        <v>Kit de sellos, 380-2688, CATERPILLAR</v>
      </c>
      <c r="D304" s="21" t="s">
        <v>20</v>
      </c>
      <c r="E304" s="21" t="s">
        <v>21</v>
      </c>
      <c r="F304" s="7" t="s">
        <v>22</v>
      </c>
      <c r="G304" s="7" t="s">
        <v>27</v>
      </c>
      <c r="J304" s="7" t="s">
        <v>28</v>
      </c>
      <c r="L304" s="42">
        <v>1570.44</v>
      </c>
      <c r="M304" s="7" t="s">
        <v>23</v>
      </c>
      <c r="N304" s="7" t="s">
        <v>24</v>
      </c>
      <c r="O304" t="s">
        <v>860</v>
      </c>
      <c r="P304" s="29"/>
    </row>
    <row r="305" spans="1:16" ht="14.25" customHeight="1" x14ac:dyDescent="0.3">
      <c r="A305" s="18" t="s">
        <v>1300</v>
      </c>
      <c r="C305" s="8" t="str">
        <f>G305&amp;", "&amp;O305&amp;", "&amp;N305</f>
        <v>Kit de sellos, 423-2110, CATERPILLAR</v>
      </c>
      <c r="D305" s="21" t="s">
        <v>20</v>
      </c>
      <c r="E305" s="21" t="s">
        <v>21</v>
      </c>
      <c r="F305" s="7" t="s">
        <v>22</v>
      </c>
      <c r="G305" s="7" t="s">
        <v>27</v>
      </c>
      <c r="J305" s="7" t="s">
        <v>28</v>
      </c>
      <c r="L305" s="42">
        <v>4280.37</v>
      </c>
      <c r="M305" s="7" t="s">
        <v>23</v>
      </c>
      <c r="N305" s="7" t="s">
        <v>24</v>
      </c>
      <c r="O305" t="s">
        <v>861</v>
      </c>
      <c r="P305" s="29"/>
    </row>
    <row r="306" spans="1:16" ht="14.25" customHeight="1" x14ac:dyDescent="0.3">
      <c r="A306" s="18" t="s">
        <v>1300</v>
      </c>
      <c r="C306" s="8" t="str">
        <f>G306&amp;", "&amp;O306&amp;", "&amp;N306</f>
        <v>Kit de sellos, 424-5393, CATERPILLAR</v>
      </c>
      <c r="D306" s="21" t="s">
        <v>20</v>
      </c>
      <c r="E306" s="21" t="s">
        <v>21</v>
      </c>
      <c r="F306" s="7" t="s">
        <v>22</v>
      </c>
      <c r="G306" s="7" t="s">
        <v>27</v>
      </c>
      <c r="J306" s="7" t="s">
        <v>28</v>
      </c>
      <c r="L306" s="42">
        <v>2511.88</v>
      </c>
      <c r="M306" s="7" t="s">
        <v>23</v>
      </c>
      <c r="N306" s="7" t="s">
        <v>24</v>
      </c>
      <c r="O306" t="s">
        <v>862</v>
      </c>
      <c r="P306" s="29"/>
    </row>
    <row r="307" spans="1:16" ht="14.25" customHeight="1" x14ac:dyDescent="0.3">
      <c r="A307" s="18" t="s">
        <v>1300</v>
      </c>
      <c r="C307" s="8" t="str">
        <f>G307&amp;", "&amp;O307&amp;", "&amp;N307</f>
        <v>Kit de sellos, 425-1297, CATERPILLAR</v>
      </c>
      <c r="D307" s="21" t="s">
        <v>20</v>
      </c>
      <c r="E307" s="21" t="s">
        <v>21</v>
      </c>
      <c r="F307" s="7" t="s">
        <v>22</v>
      </c>
      <c r="G307" s="7" t="s">
        <v>27</v>
      </c>
      <c r="J307" s="7" t="s">
        <v>28</v>
      </c>
      <c r="L307" s="42">
        <v>395.01</v>
      </c>
      <c r="M307" s="7" t="s">
        <v>23</v>
      </c>
      <c r="N307" s="7" t="s">
        <v>24</v>
      </c>
      <c r="O307" t="s">
        <v>863</v>
      </c>
      <c r="P307" s="29"/>
    </row>
    <row r="308" spans="1:16" ht="14.25" customHeight="1" x14ac:dyDescent="0.3">
      <c r="A308" s="18" t="s">
        <v>1300</v>
      </c>
      <c r="C308" s="8" t="str">
        <f>G308&amp;", "&amp;O308&amp;", "&amp;N308</f>
        <v>Kit de sellos, 425-2108, CATERPILLAR</v>
      </c>
      <c r="D308" s="21" t="s">
        <v>20</v>
      </c>
      <c r="E308" s="21" t="s">
        <v>21</v>
      </c>
      <c r="F308" s="7" t="s">
        <v>22</v>
      </c>
      <c r="G308" s="7" t="s">
        <v>27</v>
      </c>
      <c r="J308" s="7" t="s">
        <v>28</v>
      </c>
      <c r="L308" s="42">
        <v>248.62</v>
      </c>
      <c r="M308" s="7" t="s">
        <v>23</v>
      </c>
      <c r="N308" s="7" t="s">
        <v>24</v>
      </c>
      <c r="O308" t="s">
        <v>864</v>
      </c>
      <c r="P308" s="29"/>
    </row>
    <row r="309" spans="1:16" ht="14.25" customHeight="1" x14ac:dyDescent="0.3">
      <c r="A309" s="18" t="s">
        <v>1300</v>
      </c>
      <c r="C309" s="8" t="str">
        <f>G309&amp;", "&amp;O309&amp;", "&amp;N309</f>
        <v>Kit de sellos, 437-3627, CATERPILLAR</v>
      </c>
      <c r="D309" s="21" t="s">
        <v>20</v>
      </c>
      <c r="E309" s="21" t="s">
        <v>21</v>
      </c>
      <c r="F309" s="7" t="s">
        <v>22</v>
      </c>
      <c r="G309" s="7" t="s">
        <v>27</v>
      </c>
      <c r="J309" s="7" t="s">
        <v>28</v>
      </c>
      <c r="L309" s="42">
        <v>1873.41</v>
      </c>
      <c r="M309" s="7" t="s">
        <v>23</v>
      </c>
      <c r="N309" s="7" t="s">
        <v>24</v>
      </c>
      <c r="O309" t="s">
        <v>865</v>
      </c>
      <c r="P309" s="29"/>
    </row>
    <row r="310" spans="1:16" ht="14.25" customHeight="1" x14ac:dyDescent="0.3">
      <c r="A310" s="18" t="s">
        <v>1300</v>
      </c>
      <c r="C310" s="8" t="str">
        <f>G310&amp;", "&amp;O310&amp;", "&amp;N310</f>
        <v>Kit de sellos, 438-8593, CATERPILLAR</v>
      </c>
      <c r="D310" s="21" t="s">
        <v>20</v>
      </c>
      <c r="E310" s="21" t="s">
        <v>21</v>
      </c>
      <c r="F310" s="7" t="s">
        <v>22</v>
      </c>
      <c r="G310" s="7" t="s">
        <v>27</v>
      </c>
      <c r="J310" s="7" t="s">
        <v>28</v>
      </c>
      <c r="L310" s="42">
        <v>340.54</v>
      </c>
      <c r="M310" s="7" t="s">
        <v>23</v>
      </c>
      <c r="N310" s="7" t="s">
        <v>24</v>
      </c>
      <c r="O310" t="s">
        <v>866</v>
      </c>
      <c r="P310" s="29"/>
    </row>
    <row r="311" spans="1:16" ht="14.25" customHeight="1" x14ac:dyDescent="0.3">
      <c r="A311" s="18" t="s">
        <v>1300</v>
      </c>
      <c r="C311" s="8" t="str">
        <f>G311&amp;", "&amp;O311&amp;", "&amp;N311</f>
        <v>Kit de sellos, 452-7462, CATERPILLAR</v>
      </c>
      <c r="D311" s="21" t="s">
        <v>20</v>
      </c>
      <c r="E311" s="21" t="s">
        <v>21</v>
      </c>
      <c r="F311" s="7" t="s">
        <v>22</v>
      </c>
      <c r="G311" s="7" t="s">
        <v>27</v>
      </c>
      <c r="J311" s="7" t="s">
        <v>28</v>
      </c>
      <c r="L311" s="42">
        <v>451.53</v>
      </c>
      <c r="M311" s="7" t="s">
        <v>23</v>
      </c>
      <c r="N311" s="7" t="s">
        <v>24</v>
      </c>
      <c r="O311" t="s">
        <v>867</v>
      </c>
      <c r="P311" s="29"/>
    </row>
    <row r="312" spans="1:16" ht="14.25" customHeight="1" x14ac:dyDescent="0.3">
      <c r="A312" s="18" t="s">
        <v>1300</v>
      </c>
      <c r="C312" s="8" t="str">
        <f>G312&amp;", "&amp;O312&amp;", "&amp;N312</f>
        <v>Kit de sellos, 455-4975, CATERPILLAR</v>
      </c>
      <c r="D312" s="21" t="s">
        <v>20</v>
      </c>
      <c r="E312" s="21" t="s">
        <v>21</v>
      </c>
      <c r="F312" s="7" t="s">
        <v>22</v>
      </c>
      <c r="G312" s="7" t="s">
        <v>27</v>
      </c>
      <c r="J312" s="7" t="s">
        <v>28</v>
      </c>
      <c r="L312" s="42">
        <v>1584.25</v>
      </c>
      <c r="M312" s="7" t="s">
        <v>23</v>
      </c>
      <c r="N312" s="7" t="s">
        <v>24</v>
      </c>
      <c r="O312" t="s">
        <v>868</v>
      </c>
      <c r="P312" s="29"/>
    </row>
    <row r="313" spans="1:16" ht="14.25" customHeight="1" x14ac:dyDescent="0.3">
      <c r="A313" s="18" t="s">
        <v>1300</v>
      </c>
      <c r="C313" s="8" t="str">
        <f>G313&amp;", "&amp;O313&amp;", "&amp;N313</f>
        <v>Kit de sellos, 457-6093, CATERPILLAR</v>
      </c>
      <c r="D313" s="21" t="s">
        <v>20</v>
      </c>
      <c r="E313" s="21" t="s">
        <v>21</v>
      </c>
      <c r="F313" s="7" t="s">
        <v>22</v>
      </c>
      <c r="G313" s="7" t="s">
        <v>27</v>
      </c>
      <c r="J313" s="7" t="s">
        <v>28</v>
      </c>
      <c r="L313" s="42" t="s">
        <v>1311</v>
      </c>
      <c r="M313" s="7" t="s">
        <v>23</v>
      </c>
      <c r="N313" s="7" t="s">
        <v>24</v>
      </c>
      <c r="O313" t="s">
        <v>869</v>
      </c>
      <c r="P313" s="29"/>
    </row>
    <row r="314" spans="1:16" ht="14.25" customHeight="1" x14ac:dyDescent="0.3">
      <c r="A314" s="18" t="s">
        <v>1300</v>
      </c>
      <c r="C314" s="8" t="str">
        <f>G314&amp;", "&amp;O314&amp;", "&amp;N314</f>
        <v>Kit de sellos, 471-0317, CATERPILLAR</v>
      </c>
      <c r="D314" s="21" t="s">
        <v>20</v>
      </c>
      <c r="E314" s="21" t="s">
        <v>21</v>
      </c>
      <c r="F314" s="7" t="s">
        <v>22</v>
      </c>
      <c r="G314" s="7" t="s">
        <v>27</v>
      </c>
      <c r="J314" s="7" t="s">
        <v>28</v>
      </c>
      <c r="L314" s="42">
        <v>314.02</v>
      </c>
      <c r="M314" s="7" t="s">
        <v>23</v>
      </c>
      <c r="N314" s="7" t="s">
        <v>24</v>
      </c>
      <c r="O314" t="s">
        <v>870</v>
      </c>
      <c r="P314" s="29"/>
    </row>
    <row r="315" spans="1:16" ht="14.25" customHeight="1" x14ac:dyDescent="0.3">
      <c r="A315" s="18" t="s">
        <v>1300</v>
      </c>
      <c r="C315" s="8" t="str">
        <f>G315&amp;", "&amp;O315&amp;", "&amp;N315</f>
        <v>Kit de sellos, 477-9286, CATERPILLAR</v>
      </c>
      <c r="D315" s="21" t="s">
        <v>20</v>
      </c>
      <c r="E315" s="21" t="s">
        <v>21</v>
      </c>
      <c r="F315" s="7" t="s">
        <v>22</v>
      </c>
      <c r="G315" s="7" t="s">
        <v>27</v>
      </c>
      <c r="J315" s="7" t="s">
        <v>28</v>
      </c>
      <c r="L315" s="42">
        <v>731.6</v>
      </c>
      <c r="M315" s="7" t="s">
        <v>23</v>
      </c>
      <c r="N315" s="7" t="s">
        <v>24</v>
      </c>
      <c r="O315" t="s">
        <v>871</v>
      </c>
      <c r="P315" s="29"/>
    </row>
    <row r="316" spans="1:16" ht="14.25" customHeight="1" x14ac:dyDescent="0.3">
      <c r="A316" s="18" t="s">
        <v>1300</v>
      </c>
      <c r="C316" s="8" t="str">
        <f>G316&amp;", "&amp;O316&amp;", "&amp;N316</f>
        <v>Kit de sellos, 518-5134, CATERPILLAR</v>
      </c>
      <c r="D316" s="21" t="s">
        <v>20</v>
      </c>
      <c r="E316" s="21" t="s">
        <v>21</v>
      </c>
      <c r="F316" s="7" t="s">
        <v>22</v>
      </c>
      <c r="G316" s="7" t="s">
        <v>27</v>
      </c>
      <c r="J316" s="7" t="s">
        <v>28</v>
      </c>
      <c r="L316" s="42">
        <v>697.58</v>
      </c>
      <c r="M316" s="7" t="s">
        <v>23</v>
      </c>
      <c r="N316" s="7" t="s">
        <v>24</v>
      </c>
      <c r="O316" t="s">
        <v>872</v>
      </c>
      <c r="P316" s="29"/>
    </row>
    <row r="317" spans="1:16" ht="14.25" customHeight="1" x14ac:dyDescent="0.3">
      <c r="A317" s="18" t="s">
        <v>1300</v>
      </c>
      <c r="C317" s="8" t="str">
        <f>G317&amp;", "&amp;O317&amp;", "&amp;N317</f>
        <v>Kit de sellos, 518-5140, CATERPILLAR</v>
      </c>
      <c r="D317" s="21" t="s">
        <v>20</v>
      </c>
      <c r="E317" s="21" t="s">
        <v>21</v>
      </c>
      <c r="F317" s="7" t="s">
        <v>22</v>
      </c>
      <c r="G317" s="7" t="s">
        <v>27</v>
      </c>
      <c r="J317" s="7" t="s">
        <v>28</v>
      </c>
      <c r="L317" s="42">
        <v>680.49</v>
      </c>
      <c r="M317" s="7" t="s">
        <v>23</v>
      </c>
      <c r="N317" s="7" t="s">
        <v>24</v>
      </c>
      <c r="O317" t="s">
        <v>873</v>
      </c>
      <c r="P317" s="29"/>
    </row>
    <row r="318" spans="1:16" ht="14.25" customHeight="1" x14ac:dyDescent="0.3">
      <c r="A318" s="18" t="s">
        <v>1300</v>
      </c>
      <c r="C318" s="8" t="str">
        <f>G318&amp;", "&amp;O318&amp;", "&amp;N318</f>
        <v>Kit de sellos, 570-1985, CATERPILLAR</v>
      </c>
      <c r="D318" s="21" t="s">
        <v>20</v>
      </c>
      <c r="E318" s="21" t="s">
        <v>21</v>
      </c>
      <c r="F318" s="7" t="s">
        <v>22</v>
      </c>
      <c r="G318" s="7" t="s">
        <v>27</v>
      </c>
      <c r="J318" s="7" t="s">
        <v>28</v>
      </c>
      <c r="L318" s="42" t="s">
        <v>1312</v>
      </c>
      <c r="M318" s="7" t="s">
        <v>23</v>
      </c>
      <c r="N318" s="7" t="s">
        <v>24</v>
      </c>
      <c r="O318" t="s">
        <v>874</v>
      </c>
      <c r="P318" s="29"/>
    </row>
    <row r="319" spans="1:16" ht="14.25" customHeight="1" x14ac:dyDescent="0.3">
      <c r="A319" s="18" t="s">
        <v>1300</v>
      </c>
      <c r="C319" s="8" t="str">
        <f>G319&amp;", "&amp;O319&amp;", "&amp;N319</f>
        <v>Kit de sellos, 580-7879, CATERPILLAR</v>
      </c>
      <c r="D319" s="21" t="s">
        <v>20</v>
      </c>
      <c r="E319" s="21" t="s">
        <v>21</v>
      </c>
      <c r="F319" s="7" t="s">
        <v>22</v>
      </c>
      <c r="G319" s="7" t="s">
        <v>27</v>
      </c>
      <c r="J319" s="7" t="s">
        <v>28</v>
      </c>
      <c r="L319" s="42">
        <v>1961.14</v>
      </c>
      <c r="M319" s="7" t="s">
        <v>23</v>
      </c>
      <c r="N319" s="7" t="s">
        <v>24</v>
      </c>
      <c r="O319" t="s">
        <v>875</v>
      </c>
      <c r="P319" s="29"/>
    </row>
    <row r="320" spans="1:16" ht="14.25" customHeight="1" x14ac:dyDescent="0.3">
      <c r="A320" s="18" t="s">
        <v>1300</v>
      </c>
      <c r="C320" s="8" t="str">
        <f>G320&amp;", "&amp;O320&amp;", "&amp;N320</f>
        <v>Kit de sellos, 58B-98-01320, KOMATSU</v>
      </c>
      <c r="D320" s="21" t="s">
        <v>20</v>
      </c>
      <c r="E320" s="21" t="s">
        <v>21</v>
      </c>
      <c r="F320" s="7" t="s">
        <v>22</v>
      </c>
      <c r="G320" s="7" t="s">
        <v>27</v>
      </c>
      <c r="J320" s="7" t="s">
        <v>28</v>
      </c>
      <c r="L320" s="42">
        <v>1301.5899999999999</v>
      </c>
      <c r="M320" s="7" t="s">
        <v>23</v>
      </c>
      <c r="N320" s="7" t="s">
        <v>30</v>
      </c>
      <c r="O320" t="s">
        <v>876</v>
      </c>
      <c r="P320" s="29"/>
    </row>
    <row r="321" spans="1:16" ht="14.25" customHeight="1" x14ac:dyDescent="0.3">
      <c r="A321" s="18" t="s">
        <v>1300</v>
      </c>
      <c r="C321" s="8" t="str">
        <f>G321&amp;", "&amp;O321&amp;", "&amp;N321</f>
        <v>Kit de sellos, 58B-FS-AK020, KOMATSU</v>
      </c>
      <c r="D321" s="21" t="s">
        <v>20</v>
      </c>
      <c r="E321" s="21" t="s">
        <v>21</v>
      </c>
      <c r="F321" s="7" t="s">
        <v>22</v>
      </c>
      <c r="G321" s="7" t="s">
        <v>27</v>
      </c>
      <c r="J321" s="7" t="s">
        <v>28</v>
      </c>
      <c r="L321" s="42" t="s">
        <v>19</v>
      </c>
      <c r="M321" s="7" t="s">
        <v>23</v>
      </c>
      <c r="N321" s="7" t="s">
        <v>30</v>
      </c>
      <c r="O321" t="s">
        <v>877</v>
      </c>
      <c r="P321" s="29"/>
    </row>
    <row r="322" spans="1:16" ht="14.25" customHeight="1" x14ac:dyDescent="0.3">
      <c r="A322" s="18" t="s">
        <v>1300</v>
      </c>
      <c r="C322" s="8" t="str">
        <f>G322&amp;", "&amp;O322&amp;", "&amp;N322</f>
        <v>Kit de sellos, 58B-HC-AK020, KOMATSU</v>
      </c>
      <c r="D322" s="21" t="s">
        <v>20</v>
      </c>
      <c r="E322" s="21" t="s">
        <v>21</v>
      </c>
      <c r="F322" s="7" t="s">
        <v>22</v>
      </c>
      <c r="G322" s="7" t="s">
        <v>27</v>
      </c>
      <c r="J322" s="7" t="s">
        <v>28</v>
      </c>
      <c r="L322" s="42" t="s">
        <v>19</v>
      </c>
      <c r="M322" s="7" t="s">
        <v>23</v>
      </c>
      <c r="N322" s="7" t="s">
        <v>30</v>
      </c>
      <c r="O322" t="s">
        <v>878</v>
      </c>
      <c r="P322" s="29"/>
    </row>
    <row r="323" spans="1:16" ht="14.25" customHeight="1" x14ac:dyDescent="0.3">
      <c r="A323" s="18" t="s">
        <v>1300</v>
      </c>
      <c r="C323" s="8" t="str">
        <f>G323&amp;", "&amp;O323&amp;", "&amp;N323</f>
        <v>Kit de sellos, 58B-RS-AK010, KOMATSU</v>
      </c>
      <c r="D323" s="21" t="s">
        <v>20</v>
      </c>
      <c r="E323" s="21" t="s">
        <v>21</v>
      </c>
      <c r="F323" s="7" t="s">
        <v>22</v>
      </c>
      <c r="G323" s="7" t="s">
        <v>27</v>
      </c>
      <c r="J323" s="7" t="s">
        <v>28</v>
      </c>
      <c r="L323" s="42">
        <v>1892.31</v>
      </c>
      <c r="M323" s="7" t="s">
        <v>23</v>
      </c>
      <c r="N323" s="7" t="s">
        <v>30</v>
      </c>
      <c r="O323" t="s">
        <v>879</v>
      </c>
      <c r="P323" s="29"/>
    </row>
    <row r="324" spans="1:16" ht="14.25" customHeight="1" x14ac:dyDescent="0.3">
      <c r="A324" s="18" t="s">
        <v>1300</v>
      </c>
      <c r="C324" s="8" t="str">
        <f>G324&amp;", "&amp;O324&amp;", "&amp;N324</f>
        <v>Kit de sellos, 58B-SC-AK030, KOMATSU</v>
      </c>
      <c r="D324" s="21" t="s">
        <v>20</v>
      </c>
      <c r="E324" s="21" t="s">
        <v>21</v>
      </c>
      <c r="F324" s="7" t="s">
        <v>22</v>
      </c>
      <c r="G324" s="7" t="s">
        <v>27</v>
      </c>
      <c r="J324" s="7" t="s">
        <v>28</v>
      </c>
      <c r="L324" s="42">
        <v>300</v>
      </c>
      <c r="M324" s="7" t="s">
        <v>23</v>
      </c>
      <c r="N324" s="7" t="s">
        <v>30</v>
      </c>
      <c r="O324" t="s">
        <v>880</v>
      </c>
      <c r="P324" s="29"/>
    </row>
    <row r="325" spans="1:16" ht="14.25" customHeight="1" x14ac:dyDescent="0.3">
      <c r="A325" s="18" t="s">
        <v>1300</v>
      </c>
      <c r="C325" s="8" t="str">
        <f>G325&amp;", "&amp;O325&amp;", "&amp;N325</f>
        <v>Kit de sellos, 58F-HC-AK020, KOMATSU</v>
      </c>
      <c r="D325" s="21" t="s">
        <v>20</v>
      </c>
      <c r="E325" s="21" t="s">
        <v>21</v>
      </c>
      <c r="F325" s="7" t="s">
        <v>22</v>
      </c>
      <c r="G325" s="7" t="s">
        <v>27</v>
      </c>
      <c r="J325" s="7" t="s">
        <v>28</v>
      </c>
      <c r="L325" s="42">
        <v>2638.56</v>
      </c>
      <c r="M325" s="7" t="s">
        <v>23</v>
      </c>
      <c r="N325" s="7" t="s">
        <v>30</v>
      </c>
      <c r="O325" t="s">
        <v>881</v>
      </c>
      <c r="P325" s="29"/>
    </row>
    <row r="326" spans="1:16" ht="14.25" customHeight="1" x14ac:dyDescent="0.3">
      <c r="A326" s="18" t="s">
        <v>1300</v>
      </c>
      <c r="C326" s="8" t="str">
        <f>G326&amp;", "&amp;O326&amp;", "&amp;N326</f>
        <v>Kit de sellos, 590-5387, CATERPILLAR</v>
      </c>
      <c r="D326" s="21" t="s">
        <v>20</v>
      </c>
      <c r="E326" s="21" t="s">
        <v>21</v>
      </c>
      <c r="F326" s="7" t="s">
        <v>22</v>
      </c>
      <c r="G326" s="7" t="s">
        <v>27</v>
      </c>
      <c r="J326" s="7" t="s">
        <v>28</v>
      </c>
      <c r="L326" s="42">
        <v>13774.89</v>
      </c>
      <c r="M326" s="7" t="s">
        <v>23</v>
      </c>
      <c r="N326" s="7" t="s">
        <v>24</v>
      </c>
      <c r="O326" t="s">
        <v>882</v>
      </c>
      <c r="P326" s="29"/>
    </row>
    <row r="327" spans="1:16" ht="14.25" customHeight="1" x14ac:dyDescent="0.3">
      <c r="A327" s="18" t="s">
        <v>1300</v>
      </c>
      <c r="C327" s="8" t="str">
        <f>G327&amp;", "&amp;O327&amp;", "&amp;N327</f>
        <v>Kit de sellos, 598-1521, CATERPILLAR</v>
      </c>
      <c r="D327" s="21" t="s">
        <v>20</v>
      </c>
      <c r="E327" s="21" t="s">
        <v>21</v>
      </c>
      <c r="F327" s="7" t="s">
        <v>22</v>
      </c>
      <c r="G327" s="7" t="s">
        <v>27</v>
      </c>
      <c r="J327" s="7" t="s">
        <v>28</v>
      </c>
      <c r="L327" s="42" t="s">
        <v>1312</v>
      </c>
      <c r="M327" s="7" t="s">
        <v>23</v>
      </c>
      <c r="N327" s="7" t="s">
        <v>24</v>
      </c>
      <c r="O327" t="s">
        <v>883</v>
      </c>
      <c r="P327" s="29"/>
    </row>
    <row r="328" spans="1:16" ht="14.25" customHeight="1" x14ac:dyDescent="0.3">
      <c r="A328" s="18" t="s">
        <v>1300</v>
      </c>
      <c r="C328" s="8" t="str">
        <f>G328&amp;", "&amp;O328&amp;", "&amp;N328</f>
        <v>Kit de sellos, 622-9406, CATERPILLAR</v>
      </c>
      <c r="D328" s="21" t="s">
        <v>20</v>
      </c>
      <c r="E328" s="21" t="s">
        <v>21</v>
      </c>
      <c r="F328" s="7" t="s">
        <v>22</v>
      </c>
      <c r="G328" s="7" t="s">
        <v>27</v>
      </c>
      <c r="J328" s="7" t="s">
        <v>28</v>
      </c>
      <c r="L328" s="42">
        <v>269.98</v>
      </c>
      <c r="M328" s="7" t="s">
        <v>23</v>
      </c>
      <c r="N328" s="7" t="s">
        <v>24</v>
      </c>
      <c r="O328" t="s">
        <v>884</v>
      </c>
      <c r="P328" s="29"/>
    </row>
    <row r="329" spans="1:16" ht="14.25" customHeight="1" x14ac:dyDescent="0.3">
      <c r="A329" s="18" t="s">
        <v>1300</v>
      </c>
      <c r="C329" s="8" t="str">
        <f>G329&amp;", "&amp;O329&amp;", "&amp;N329</f>
        <v>Kit de sellos, 622-9407, CATERPILLAR</v>
      </c>
      <c r="D329" s="21" t="s">
        <v>20</v>
      </c>
      <c r="E329" s="21" t="s">
        <v>21</v>
      </c>
      <c r="F329" s="7" t="s">
        <v>22</v>
      </c>
      <c r="G329" s="7" t="s">
        <v>27</v>
      </c>
      <c r="J329" s="7" t="s">
        <v>28</v>
      </c>
      <c r="L329" s="42">
        <v>336.74</v>
      </c>
      <c r="M329" s="7" t="s">
        <v>23</v>
      </c>
      <c r="N329" s="7" t="s">
        <v>24</v>
      </c>
      <c r="O329" t="s">
        <v>885</v>
      </c>
      <c r="P329" s="29"/>
    </row>
    <row r="330" spans="1:16" ht="14.25" customHeight="1" x14ac:dyDescent="0.3">
      <c r="A330" s="18" t="s">
        <v>1300</v>
      </c>
      <c r="C330" s="8" t="str">
        <f>G330&amp;", "&amp;O330&amp;", "&amp;N330</f>
        <v>Kit de sellos, 622-9408, CATERPILLAR</v>
      </c>
      <c r="D330" s="21" t="s">
        <v>20</v>
      </c>
      <c r="E330" s="21" t="s">
        <v>21</v>
      </c>
      <c r="F330" s="7" t="s">
        <v>22</v>
      </c>
      <c r="G330" s="7" t="s">
        <v>27</v>
      </c>
      <c r="J330" s="7" t="s">
        <v>28</v>
      </c>
      <c r="L330" s="42">
        <v>340</v>
      </c>
      <c r="M330" s="7" t="s">
        <v>23</v>
      </c>
      <c r="N330" s="7" t="s">
        <v>24</v>
      </c>
      <c r="O330" t="s">
        <v>886</v>
      </c>
      <c r="P330" s="29"/>
    </row>
    <row r="331" spans="1:16" ht="14.25" customHeight="1" x14ac:dyDescent="0.3">
      <c r="A331" s="18" t="s">
        <v>1300</v>
      </c>
      <c r="C331" s="8" t="str">
        <f>G331&amp;", "&amp;O331&amp;", "&amp;N331</f>
        <v>Kit de sellos, 622-9410, CATERPILLAR</v>
      </c>
      <c r="D331" s="21" t="s">
        <v>20</v>
      </c>
      <c r="E331" s="21" t="s">
        <v>21</v>
      </c>
      <c r="F331" s="7" t="s">
        <v>22</v>
      </c>
      <c r="G331" s="7" t="s">
        <v>27</v>
      </c>
      <c r="J331" s="7" t="s">
        <v>28</v>
      </c>
      <c r="L331" s="42">
        <v>187.7</v>
      </c>
      <c r="M331" s="7" t="s">
        <v>23</v>
      </c>
      <c r="N331" s="7" t="s">
        <v>24</v>
      </c>
      <c r="O331" t="s">
        <v>887</v>
      </c>
      <c r="P331" s="29"/>
    </row>
    <row r="332" spans="1:16" ht="14.25" customHeight="1" x14ac:dyDescent="0.3">
      <c r="A332" s="18" t="s">
        <v>1300</v>
      </c>
      <c r="C332" s="8" t="str">
        <f>G332&amp;", "&amp;O332&amp;", "&amp;N332</f>
        <v>Kit de sellos, 651-0155, CATERPILLAR</v>
      </c>
      <c r="D332" s="21" t="s">
        <v>20</v>
      </c>
      <c r="E332" s="21" t="s">
        <v>21</v>
      </c>
      <c r="F332" s="7" t="s">
        <v>22</v>
      </c>
      <c r="G332" s="7" t="s">
        <v>27</v>
      </c>
      <c r="J332" s="7" t="s">
        <v>28</v>
      </c>
      <c r="L332" s="42" t="s">
        <v>1312</v>
      </c>
      <c r="M332" s="7" t="s">
        <v>23</v>
      </c>
      <c r="N332" s="7" t="s">
        <v>24</v>
      </c>
      <c r="O332" t="s">
        <v>888</v>
      </c>
      <c r="P332" s="29"/>
    </row>
    <row r="333" spans="1:16" ht="14.25" customHeight="1" x14ac:dyDescent="0.3">
      <c r="A333" s="18" t="s">
        <v>1300</v>
      </c>
      <c r="C333" s="8" t="str">
        <f>G333&amp;", "&amp;O333&amp;", "&amp;N333</f>
        <v>Kit de sellos, 707-99-53050, KOMATSU</v>
      </c>
      <c r="D333" s="21" t="s">
        <v>20</v>
      </c>
      <c r="E333" s="21" t="s">
        <v>21</v>
      </c>
      <c r="F333" s="7" t="s">
        <v>22</v>
      </c>
      <c r="G333" s="7" t="s">
        <v>27</v>
      </c>
      <c r="J333" s="7" t="s">
        <v>28</v>
      </c>
      <c r="L333" s="42">
        <v>350</v>
      </c>
      <c r="M333" s="7" t="s">
        <v>23</v>
      </c>
      <c r="N333" s="7" t="s">
        <v>30</v>
      </c>
      <c r="O333" t="s">
        <v>889</v>
      </c>
      <c r="P333" s="29"/>
    </row>
    <row r="334" spans="1:16" ht="14.25" customHeight="1" x14ac:dyDescent="0.3">
      <c r="A334" s="18" t="s">
        <v>1300</v>
      </c>
      <c r="C334" s="8" t="str">
        <f>G334&amp;", "&amp;O334&amp;", "&amp;N334</f>
        <v>Kit de sellos, 707-99-67640, KOMATSU</v>
      </c>
      <c r="D334" s="21" t="s">
        <v>20</v>
      </c>
      <c r="E334" s="21" t="s">
        <v>21</v>
      </c>
      <c r="F334" s="7" t="s">
        <v>22</v>
      </c>
      <c r="G334" s="7" t="s">
        <v>27</v>
      </c>
      <c r="J334" s="7" t="s">
        <v>28</v>
      </c>
      <c r="L334" s="42">
        <v>150</v>
      </c>
      <c r="M334" s="7" t="s">
        <v>23</v>
      </c>
      <c r="N334" s="7" t="s">
        <v>30</v>
      </c>
      <c r="O334" t="s">
        <v>890</v>
      </c>
      <c r="P334" s="29"/>
    </row>
    <row r="335" spans="1:16" ht="14.25" customHeight="1" x14ac:dyDescent="0.3">
      <c r="A335" s="18" t="s">
        <v>1300</v>
      </c>
      <c r="C335" s="8" t="str">
        <f>G335&amp;", "&amp;O335&amp;", "&amp;N335</f>
        <v>Kit de sellos, 707-99-72390, KOMATSU</v>
      </c>
      <c r="D335" s="21" t="s">
        <v>20</v>
      </c>
      <c r="E335" s="21" t="s">
        <v>21</v>
      </c>
      <c r="F335" s="7" t="s">
        <v>22</v>
      </c>
      <c r="G335" s="7" t="s">
        <v>27</v>
      </c>
      <c r="J335" s="7" t="s">
        <v>28</v>
      </c>
      <c r="L335" s="42">
        <v>247.39500000000001</v>
      </c>
      <c r="M335" s="7" t="s">
        <v>23</v>
      </c>
      <c r="N335" s="7" t="s">
        <v>30</v>
      </c>
      <c r="O335" t="s">
        <v>891</v>
      </c>
      <c r="P335" s="29"/>
    </row>
    <row r="336" spans="1:16" ht="14.25" customHeight="1" x14ac:dyDescent="0.3">
      <c r="A336" s="18" t="s">
        <v>1300</v>
      </c>
      <c r="C336" s="8" t="str">
        <f>G336&amp;", "&amp;O336&amp;", "&amp;N336</f>
        <v>Kit de sellos, 707-99-75600, KOMATSU</v>
      </c>
      <c r="D336" s="21" t="s">
        <v>20</v>
      </c>
      <c r="E336" s="21" t="s">
        <v>21</v>
      </c>
      <c r="F336" s="7" t="s">
        <v>22</v>
      </c>
      <c r="G336" s="7" t="s">
        <v>27</v>
      </c>
      <c r="J336" s="7" t="s">
        <v>28</v>
      </c>
      <c r="L336" s="42">
        <v>299.59500000000003</v>
      </c>
      <c r="M336" s="7" t="s">
        <v>23</v>
      </c>
      <c r="N336" s="7" t="s">
        <v>30</v>
      </c>
      <c r="O336" t="s">
        <v>892</v>
      </c>
      <c r="P336" s="29"/>
    </row>
    <row r="337" spans="1:16" ht="14.25" customHeight="1" x14ac:dyDescent="0.3">
      <c r="A337" s="18" t="s">
        <v>1300</v>
      </c>
      <c r="C337" s="8" t="str">
        <f>G337&amp;", "&amp;O337&amp;", "&amp;N337</f>
        <v>Kit de sellos, 707-99-77620, KOMATSU</v>
      </c>
      <c r="D337" s="21" t="s">
        <v>20</v>
      </c>
      <c r="E337" s="21" t="s">
        <v>21</v>
      </c>
      <c r="F337" s="7" t="s">
        <v>22</v>
      </c>
      <c r="G337" s="7" t="s">
        <v>27</v>
      </c>
      <c r="J337" s="7" t="s">
        <v>28</v>
      </c>
      <c r="L337" s="42" t="s">
        <v>19</v>
      </c>
      <c r="M337" s="7" t="s">
        <v>23</v>
      </c>
      <c r="N337" s="7" t="s">
        <v>30</v>
      </c>
      <c r="O337" t="s">
        <v>893</v>
      </c>
      <c r="P337" s="29"/>
    </row>
    <row r="338" spans="1:16" ht="14.25" customHeight="1" x14ac:dyDescent="0.3">
      <c r="A338" s="18" t="s">
        <v>1300</v>
      </c>
      <c r="C338" s="8" t="str">
        <f>G338&amp;", "&amp;O338&amp;", "&amp;N338</f>
        <v>Kit de sellos, 707-99-78440, KOMATSU</v>
      </c>
      <c r="D338" s="21" t="s">
        <v>20</v>
      </c>
      <c r="E338" s="21" t="s">
        <v>21</v>
      </c>
      <c r="F338" s="7" t="s">
        <v>22</v>
      </c>
      <c r="G338" s="7" t="s">
        <v>27</v>
      </c>
      <c r="J338" s="7" t="s">
        <v>28</v>
      </c>
      <c r="L338" s="42">
        <v>1125</v>
      </c>
      <c r="M338" s="7" t="s">
        <v>23</v>
      </c>
      <c r="N338" s="7" t="s">
        <v>30</v>
      </c>
      <c r="O338" t="s">
        <v>894</v>
      </c>
      <c r="P338" s="29"/>
    </row>
    <row r="339" spans="1:16" ht="14.25" customHeight="1" x14ac:dyDescent="0.3">
      <c r="A339" s="18" t="s">
        <v>1300</v>
      </c>
      <c r="C339" s="8" t="str">
        <f>G339&amp;", "&amp;O339&amp;", "&amp;N339</f>
        <v>Kit de sellos, 707-99-84200, KOMATSU</v>
      </c>
      <c r="D339" s="21" t="s">
        <v>20</v>
      </c>
      <c r="E339" s="21" t="s">
        <v>21</v>
      </c>
      <c r="F339" s="7" t="s">
        <v>22</v>
      </c>
      <c r="G339" s="7" t="s">
        <v>27</v>
      </c>
      <c r="J339" s="7" t="s">
        <v>28</v>
      </c>
      <c r="L339" s="42">
        <v>579.79999999999995</v>
      </c>
      <c r="M339" s="7" t="s">
        <v>23</v>
      </c>
      <c r="N339" s="7" t="s">
        <v>30</v>
      </c>
      <c r="O339" t="s">
        <v>895</v>
      </c>
      <c r="P339" s="29"/>
    </row>
    <row r="340" spans="1:16" ht="14.25" customHeight="1" x14ac:dyDescent="0.3">
      <c r="A340" s="18" t="s">
        <v>1300</v>
      </c>
      <c r="C340" s="8" t="str">
        <f>G340&amp;", "&amp;O340&amp;", "&amp;N340</f>
        <v>Kit de sellos, 707-99-85900, KOMATSU</v>
      </c>
      <c r="D340" s="21" t="s">
        <v>20</v>
      </c>
      <c r="E340" s="21" t="s">
        <v>21</v>
      </c>
      <c r="F340" s="7" t="s">
        <v>22</v>
      </c>
      <c r="G340" s="7" t="s">
        <v>27</v>
      </c>
      <c r="J340" s="7" t="s">
        <v>28</v>
      </c>
      <c r="L340" s="42">
        <v>682.5</v>
      </c>
      <c r="M340" s="7" t="s">
        <v>23</v>
      </c>
      <c r="N340" s="7" t="s">
        <v>30</v>
      </c>
      <c r="O340" t="s">
        <v>896</v>
      </c>
      <c r="P340" s="29"/>
    </row>
    <row r="341" spans="1:16" ht="14.25" customHeight="1" x14ac:dyDescent="0.3">
      <c r="A341" s="18" t="s">
        <v>1300</v>
      </c>
      <c r="C341" s="8" t="str">
        <f>G341&amp;", "&amp;O341&amp;", "&amp;N341</f>
        <v>Kit de sellos, 707-99-96200, KOMATSU</v>
      </c>
      <c r="D341" s="21" t="s">
        <v>20</v>
      </c>
      <c r="E341" s="21" t="s">
        <v>21</v>
      </c>
      <c r="F341" s="7" t="s">
        <v>22</v>
      </c>
      <c r="G341" s="7" t="s">
        <v>27</v>
      </c>
      <c r="J341" s="7" t="s">
        <v>28</v>
      </c>
      <c r="L341" s="42" t="s">
        <v>19</v>
      </c>
      <c r="M341" s="7" t="s">
        <v>23</v>
      </c>
      <c r="N341" s="7" t="s">
        <v>30</v>
      </c>
      <c r="O341" t="s">
        <v>897</v>
      </c>
      <c r="P341" s="29"/>
    </row>
    <row r="342" spans="1:16" ht="14.25" customHeight="1" x14ac:dyDescent="0.3">
      <c r="A342" s="18" t="s">
        <v>1300</v>
      </c>
      <c r="C342" s="8" t="str">
        <f>G342&amp;", "&amp;O342&amp;", "&amp;N342</f>
        <v>Kit de sellos, 721-98-02900, KOMATSU</v>
      </c>
      <c r="D342" s="21" t="s">
        <v>20</v>
      </c>
      <c r="E342" s="21" t="s">
        <v>21</v>
      </c>
      <c r="F342" s="7" t="s">
        <v>22</v>
      </c>
      <c r="G342" s="7" t="s">
        <v>27</v>
      </c>
      <c r="J342" s="7" t="s">
        <v>28</v>
      </c>
      <c r="L342" s="42" t="s">
        <v>19</v>
      </c>
      <c r="M342" s="7" t="s">
        <v>23</v>
      </c>
      <c r="N342" s="7" t="s">
        <v>30</v>
      </c>
      <c r="O342" t="s">
        <v>898</v>
      </c>
      <c r="P342" s="29"/>
    </row>
    <row r="343" spans="1:16" ht="14.25" customHeight="1" x14ac:dyDescent="0.3">
      <c r="A343" s="18" t="s">
        <v>1300</v>
      </c>
      <c r="C343" s="8" t="str">
        <f>G343&amp;", "&amp;O343&amp;", "&amp;N343</f>
        <v>Kit de sellos, 721-98-03890, KOMATSU</v>
      </c>
      <c r="D343" s="21" t="s">
        <v>20</v>
      </c>
      <c r="E343" s="21" t="s">
        <v>21</v>
      </c>
      <c r="F343" s="7" t="s">
        <v>22</v>
      </c>
      <c r="G343" s="7" t="s">
        <v>27</v>
      </c>
      <c r="J343" s="7" t="s">
        <v>28</v>
      </c>
      <c r="L343" s="42" t="s">
        <v>19</v>
      </c>
      <c r="M343" s="7" t="s">
        <v>23</v>
      </c>
      <c r="N343" s="7" t="s">
        <v>30</v>
      </c>
      <c r="O343" t="s">
        <v>899</v>
      </c>
      <c r="P343" s="29"/>
    </row>
    <row r="344" spans="1:16" ht="14.25" customHeight="1" x14ac:dyDescent="0.3">
      <c r="A344" s="18" t="s">
        <v>1300</v>
      </c>
      <c r="C344" s="8" t="str">
        <f>G344&amp;", "&amp;O344&amp;", "&amp;N344</f>
        <v>Kit de sellos, AK0720, KOMATSU</v>
      </c>
      <c r="D344" s="21" t="s">
        <v>20</v>
      </c>
      <c r="E344" s="21" t="s">
        <v>21</v>
      </c>
      <c r="F344" s="7" t="s">
        <v>22</v>
      </c>
      <c r="G344" s="7" t="s">
        <v>27</v>
      </c>
      <c r="J344" s="7" t="s">
        <v>28</v>
      </c>
      <c r="L344" s="42" t="s">
        <v>19</v>
      </c>
      <c r="M344" s="7" t="s">
        <v>23</v>
      </c>
      <c r="N344" s="7" t="s">
        <v>30</v>
      </c>
      <c r="O344" t="s">
        <v>900</v>
      </c>
      <c r="P344" s="29"/>
    </row>
    <row r="345" spans="1:16" ht="14.25" customHeight="1" x14ac:dyDescent="0.3">
      <c r="A345" s="18" t="s">
        <v>1300</v>
      </c>
      <c r="C345" s="8" t="str">
        <f>G345&amp;", "&amp;O345&amp;", "&amp;N345</f>
        <v>Kit de sellos, AK4307, KOMATSU</v>
      </c>
      <c r="D345" s="21" t="s">
        <v>20</v>
      </c>
      <c r="E345" s="21" t="s">
        <v>21</v>
      </c>
      <c r="F345" s="7" t="s">
        <v>22</v>
      </c>
      <c r="G345" s="7" t="s">
        <v>27</v>
      </c>
      <c r="J345" s="7" t="s">
        <v>28</v>
      </c>
      <c r="L345" s="42">
        <v>286.83</v>
      </c>
      <c r="M345" s="7" t="s">
        <v>23</v>
      </c>
      <c r="N345" s="7" t="s">
        <v>30</v>
      </c>
      <c r="O345" t="s">
        <v>31</v>
      </c>
      <c r="P345" s="29"/>
    </row>
    <row r="346" spans="1:16" ht="14.25" customHeight="1" x14ac:dyDescent="0.3">
      <c r="A346" s="18" t="s">
        <v>1300</v>
      </c>
      <c r="C346" s="8" t="str">
        <f>G346&amp;", "&amp;O346&amp;", "&amp;N346</f>
        <v>Kit de sellos, AK-4308, KOMATSU</v>
      </c>
      <c r="D346" s="21" t="s">
        <v>20</v>
      </c>
      <c r="E346" s="21" t="s">
        <v>21</v>
      </c>
      <c r="F346" s="7" t="s">
        <v>22</v>
      </c>
      <c r="G346" s="7" t="s">
        <v>27</v>
      </c>
      <c r="J346" s="7" t="s">
        <v>28</v>
      </c>
      <c r="L346" s="42">
        <v>1550</v>
      </c>
      <c r="M346" s="7" t="s">
        <v>23</v>
      </c>
      <c r="N346" s="7" t="s">
        <v>30</v>
      </c>
      <c r="O346" t="s">
        <v>901</v>
      </c>
      <c r="P346" s="29"/>
    </row>
    <row r="347" spans="1:16" s="24" customFormat="1" ht="14.25" customHeight="1" x14ac:dyDescent="0.3">
      <c r="A347" s="23" t="s">
        <v>1300</v>
      </c>
      <c r="C347" s="25" t="str">
        <f>G347&amp;", "&amp;O347&amp;", "&amp;N347</f>
        <v>Kit de sellos, AK4370, KOMATSU</v>
      </c>
      <c r="D347" s="32" t="s">
        <v>20</v>
      </c>
      <c r="E347" s="32" t="s">
        <v>21</v>
      </c>
      <c r="F347" s="26" t="s">
        <v>22</v>
      </c>
      <c r="G347" s="26" t="s">
        <v>27</v>
      </c>
      <c r="J347" s="26" t="s">
        <v>28</v>
      </c>
      <c r="L347" s="43" t="s">
        <v>19</v>
      </c>
      <c r="M347" s="26" t="s">
        <v>23</v>
      </c>
      <c r="N347" s="26" t="s">
        <v>30</v>
      </c>
      <c r="O347" s="24" t="s">
        <v>902</v>
      </c>
      <c r="P347" s="30" t="s">
        <v>1318</v>
      </c>
    </row>
    <row r="348" spans="1:16" s="24" customFormat="1" ht="14.25" customHeight="1" x14ac:dyDescent="0.3">
      <c r="A348" s="23" t="s">
        <v>1300</v>
      </c>
      <c r="C348" s="25" t="str">
        <f>G348&amp;", "&amp;O348&amp;", "&amp;N348</f>
        <v>Kit de sellos, AK-4370, KOMATSU</v>
      </c>
      <c r="D348" s="32" t="s">
        <v>20</v>
      </c>
      <c r="E348" s="32" t="s">
        <v>21</v>
      </c>
      <c r="F348" s="26" t="s">
        <v>22</v>
      </c>
      <c r="G348" s="26" t="s">
        <v>27</v>
      </c>
      <c r="J348" s="26" t="s">
        <v>28</v>
      </c>
      <c r="L348" s="43" t="s">
        <v>19</v>
      </c>
      <c r="M348" s="26" t="s">
        <v>23</v>
      </c>
      <c r="N348" s="26" t="s">
        <v>30</v>
      </c>
      <c r="O348" s="24" t="s">
        <v>903</v>
      </c>
      <c r="P348" s="30" t="s">
        <v>1318</v>
      </c>
    </row>
    <row r="349" spans="1:16" ht="14.25" customHeight="1" x14ac:dyDescent="0.3">
      <c r="A349" s="18" t="s">
        <v>1300</v>
      </c>
      <c r="C349" s="8" t="str">
        <f>G349&amp;", "&amp;O349&amp;", "&amp;N349</f>
        <v>Kit de sellos, AK4446, KOMATSU</v>
      </c>
      <c r="D349" s="21" t="s">
        <v>20</v>
      </c>
      <c r="E349" s="21" t="s">
        <v>21</v>
      </c>
      <c r="F349" s="7" t="s">
        <v>22</v>
      </c>
      <c r="G349" s="7" t="s">
        <v>27</v>
      </c>
      <c r="J349" s="7" t="s">
        <v>28</v>
      </c>
      <c r="L349" s="42">
        <v>1456</v>
      </c>
      <c r="M349" s="7" t="s">
        <v>23</v>
      </c>
      <c r="N349" s="7" t="s">
        <v>30</v>
      </c>
      <c r="O349" t="s">
        <v>904</v>
      </c>
      <c r="P349" s="29"/>
    </row>
    <row r="350" spans="1:16" ht="14.25" customHeight="1" x14ac:dyDescent="0.3">
      <c r="A350" s="18" t="s">
        <v>1300</v>
      </c>
      <c r="C350" s="8" t="str">
        <f>G350&amp;", "&amp;O350&amp;", "&amp;N350</f>
        <v>Kit de sellos, AK4766, KOMATSU</v>
      </c>
      <c r="D350" s="21" t="s">
        <v>20</v>
      </c>
      <c r="E350" s="21" t="s">
        <v>21</v>
      </c>
      <c r="F350" s="7" t="s">
        <v>22</v>
      </c>
      <c r="G350" s="7" t="s">
        <v>27</v>
      </c>
      <c r="J350" s="7" t="s">
        <v>28</v>
      </c>
      <c r="L350" s="42" t="s">
        <v>19</v>
      </c>
      <c r="M350" s="7" t="s">
        <v>23</v>
      </c>
      <c r="N350" s="7" t="s">
        <v>30</v>
      </c>
      <c r="O350" t="s">
        <v>905</v>
      </c>
      <c r="P350" s="29"/>
    </row>
    <row r="351" spans="1:16" ht="14.25" customHeight="1" x14ac:dyDescent="0.3">
      <c r="A351" s="18" t="s">
        <v>1300</v>
      </c>
      <c r="C351" s="8" t="str">
        <f>G351&amp;", "&amp;O351&amp;", "&amp;N351</f>
        <v>Kit de sellos, AK4955, KOMATSU</v>
      </c>
      <c r="D351" s="21" t="s">
        <v>20</v>
      </c>
      <c r="E351" s="21" t="s">
        <v>21</v>
      </c>
      <c r="F351" s="7" t="s">
        <v>22</v>
      </c>
      <c r="G351" s="7" t="s">
        <v>27</v>
      </c>
      <c r="J351" s="7" t="s">
        <v>28</v>
      </c>
      <c r="L351" s="42">
        <v>1017.75</v>
      </c>
      <c r="M351" s="7" t="s">
        <v>23</v>
      </c>
      <c r="N351" s="7" t="s">
        <v>30</v>
      </c>
      <c r="O351" t="s">
        <v>906</v>
      </c>
      <c r="P351" s="29"/>
    </row>
    <row r="352" spans="1:16" ht="14.25" customHeight="1" x14ac:dyDescent="0.3">
      <c r="A352" s="18" t="s">
        <v>1300</v>
      </c>
      <c r="C352" s="8" t="str">
        <f>G352&amp;", "&amp;O352&amp;", "&amp;N352</f>
        <v>Kit de sellos, AK5239, KOMATSU</v>
      </c>
      <c r="D352" s="21" t="s">
        <v>20</v>
      </c>
      <c r="E352" s="21" t="s">
        <v>21</v>
      </c>
      <c r="F352" s="7" t="s">
        <v>22</v>
      </c>
      <c r="G352" s="7" t="s">
        <v>27</v>
      </c>
      <c r="J352" s="7" t="s">
        <v>28</v>
      </c>
      <c r="L352" s="42">
        <v>1182.4000000000001</v>
      </c>
      <c r="M352" s="7" t="s">
        <v>23</v>
      </c>
      <c r="N352" s="7" t="s">
        <v>30</v>
      </c>
      <c r="O352" t="s">
        <v>33</v>
      </c>
      <c r="P352" s="29"/>
    </row>
    <row r="353" spans="1:16" ht="14.25" customHeight="1" x14ac:dyDescent="0.3">
      <c r="A353" s="18" t="s">
        <v>1300</v>
      </c>
      <c r="C353" s="8" t="str">
        <f>G353&amp;", "&amp;O353&amp;", "&amp;N353</f>
        <v>Kit de sellos, AK5863, KOMATSU</v>
      </c>
      <c r="D353" s="21" t="s">
        <v>20</v>
      </c>
      <c r="E353" s="21" t="s">
        <v>21</v>
      </c>
      <c r="F353" s="7" t="s">
        <v>22</v>
      </c>
      <c r="G353" s="7" t="s">
        <v>27</v>
      </c>
      <c r="J353" s="7" t="s">
        <v>28</v>
      </c>
      <c r="L353" s="42">
        <v>2700</v>
      </c>
      <c r="M353" s="7" t="s">
        <v>23</v>
      </c>
      <c r="N353" s="7" t="s">
        <v>30</v>
      </c>
      <c r="O353" t="s">
        <v>907</v>
      </c>
      <c r="P353" s="29"/>
    </row>
    <row r="354" spans="1:16" s="24" customFormat="1" ht="14.25" customHeight="1" x14ac:dyDescent="0.3">
      <c r="A354" s="23" t="s">
        <v>1300</v>
      </c>
      <c r="C354" s="25" t="str">
        <f>G354&amp;", "&amp;O354&amp;", "&amp;N354</f>
        <v>Kit de sellos, 520-3328, KOMATSU</v>
      </c>
      <c r="D354" s="32" t="s">
        <v>20</v>
      </c>
      <c r="E354" s="32" t="s">
        <v>21</v>
      </c>
      <c r="F354" s="26" t="s">
        <v>22</v>
      </c>
      <c r="G354" s="26" t="s">
        <v>27</v>
      </c>
      <c r="J354" s="26" t="s">
        <v>28</v>
      </c>
      <c r="L354" s="43" t="s">
        <v>19</v>
      </c>
      <c r="M354" s="26" t="s">
        <v>23</v>
      </c>
      <c r="N354" s="26" t="s">
        <v>30</v>
      </c>
      <c r="O354" s="24" t="s">
        <v>908</v>
      </c>
      <c r="P354" s="30" t="s">
        <v>1319</v>
      </c>
    </row>
    <row r="355" spans="1:16" s="24" customFormat="1" ht="14.25" customHeight="1" x14ac:dyDescent="0.3">
      <c r="A355" s="23" t="s">
        <v>1300</v>
      </c>
      <c r="C355" s="25" t="str">
        <f>G355&amp;", "&amp;O355&amp;", "&amp;N355</f>
        <v>Kit de sellos, 331-9328, KOMATSU</v>
      </c>
      <c r="D355" s="32" t="s">
        <v>20</v>
      </c>
      <c r="E355" s="32" t="s">
        <v>21</v>
      </c>
      <c r="F355" s="26" t="s">
        <v>22</v>
      </c>
      <c r="G355" s="26" t="s">
        <v>27</v>
      </c>
      <c r="J355" s="26" t="s">
        <v>28</v>
      </c>
      <c r="L355" s="43">
        <v>697.58</v>
      </c>
      <c r="M355" s="26" t="s">
        <v>23</v>
      </c>
      <c r="N355" s="26" t="s">
        <v>30</v>
      </c>
      <c r="O355" s="24" t="s">
        <v>909</v>
      </c>
      <c r="P355" s="30" t="s">
        <v>1319</v>
      </c>
    </row>
    <row r="356" spans="1:16" s="24" customFormat="1" ht="14.25" customHeight="1" x14ac:dyDescent="0.3">
      <c r="A356" s="23" t="s">
        <v>1300</v>
      </c>
      <c r="C356" s="25" t="str">
        <f>G356&amp;", "&amp;O356&amp;", "&amp;N356</f>
        <v>Kit de sellos, 204-2726, KOMATSU</v>
      </c>
      <c r="D356" s="32" t="s">
        <v>20</v>
      </c>
      <c r="E356" s="32" t="s">
        <v>21</v>
      </c>
      <c r="F356" s="26" t="s">
        <v>22</v>
      </c>
      <c r="G356" s="26" t="s">
        <v>27</v>
      </c>
      <c r="J356" s="26" t="s">
        <v>28</v>
      </c>
      <c r="L356" s="43">
        <v>817.43</v>
      </c>
      <c r="M356" s="26" t="s">
        <v>23</v>
      </c>
      <c r="N356" s="26" t="s">
        <v>30</v>
      </c>
      <c r="O356" s="24" t="s">
        <v>910</v>
      </c>
      <c r="P356" s="30" t="s">
        <v>1319</v>
      </c>
    </row>
    <row r="357" spans="1:16" s="24" customFormat="1" ht="14.25" customHeight="1" x14ac:dyDescent="0.3">
      <c r="A357" s="23" t="s">
        <v>1300</v>
      </c>
      <c r="C357" s="25" t="str">
        <f>G357&amp;", "&amp;O357&amp;", "&amp;N357</f>
        <v>Kit de sellos, 593-3829, KOMATSU</v>
      </c>
      <c r="D357" s="32" t="s">
        <v>20</v>
      </c>
      <c r="E357" s="32" t="s">
        <v>21</v>
      </c>
      <c r="F357" s="26" t="s">
        <v>22</v>
      </c>
      <c r="G357" s="26" t="s">
        <v>27</v>
      </c>
      <c r="J357" s="26" t="s">
        <v>28</v>
      </c>
      <c r="L357" s="43" t="s">
        <v>1313</v>
      </c>
      <c r="M357" s="26" t="s">
        <v>23</v>
      </c>
      <c r="N357" s="26" t="s">
        <v>30</v>
      </c>
      <c r="O357" s="24" t="s">
        <v>911</v>
      </c>
      <c r="P357" s="30" t="s">
        <v>1319</v>
      </c>
    </row>
    <row r="358" spans="1:16" s="24" customFormat="1" ht="14.25" customHeight="1" x14ac:dyDescent="0.3">
      <c r="A358" s="23" t="s">
        <v>1300</v>
      </c>
      <c r="C358" s="25" t="str">
        <f>G358&amp;", "&amp;O358&amp;", "&amp;N358</f>
        <v>Kit de sellos, 381-2334, KOMATSU</v>
      </c>
      <c r="D358" s="32" t="s">
        <v>20</v>
      </c>
      <c r="E358" s="32" t="s">
        <v>21</v>
      </c>
      <c r="F358" s="26" t="s">
        <v>22</v>
      </c>
      <c r="G358" s="26" t="s">
        <v>27</v>
      </c>
      <c r="J358" s="26" t="s">
        <v>28</v>
      </c>
      <c r="L358" s="43">
        <v>488.07</v>
      </c>
      <c r="M358" s="26" t="s">
        <v>23</v>
      </c>
      <c r="N358" s="26" t="s">
        <v>30</v>
      </c>
      <c r="O358" s="24" t="s">
        <v>912</v>
      </c>
      <c r="P358" s="30" t="s">
        <v>1319</v>
      </c>
    </row>
    <row r="359" spans="1:16" s="24" customFormat="1" ht="14.25" customHeight="1" x14ac:dyDescent="0.3">
      <c r="A359" s="23" t="s">
        <v>1300</v>
      </c>
      <c r="C359" s="25" t="str">
        <f>G359&amp;", "&amp;O359&amp;", "&amp;N359</f>
        <v>Kit de sellos, 425-1571, KOMATSU</v>
      </c>
      <c r="D359" s="32" t="s">
        <v>20</v>
      </c>
      <c r="E359" s="32" t="s">
        <v>21</v>
      </c>
      <c r="F359" s="26" t="s">
        <v>22</v>
      </c>
      <c r="G359" s="26" t="s">
        <v>27</v>
      </c>
      <c r="J359" s="26" t="s">
        <v>28</v>
      </c>
      <c r="L359" s="43">
        <v>925.34</v>
      </c>
      <c r="M359" s="26" t="s">
        <v>23</v>
      </c>
      <c r="N359" s="26" t="s">
        <v>30</v>
      </c>
      <c r="O359" s="24" t="s">
        <v>913</v>
      </c>
      <c r="P359" s="30" t="s">
        <v>1319</v>
      </c>
    </row>
    <row r="360" spans="1:16" ht="14.25" customHeight="1" x14ac:dyDescent="0.3">
      <c r="A360" s="18" t="s">
        <v>1300</v>
      </c>
      <c r="C360" s="8" t="str">
        <f>G360&amp;", "&amp;O360&amp;", "&amp;N360</f>
        <v>Limpiador, 07145-00110, KOMATSU</v>
      </c>
      <c r="D360" s="21" t="s">
        <v>20</v>
      </c>
      <c r="E360" s="21" t="s">
        <v>21</v>
      </c>
      <c r="F360" s="7" t="s">
        <v>22</v>
      </c>
      <c r="G360" s="7" t="s">
        <v>940</v>
      </c>
      <c r="J360" s="7" t="s">
        <v>28</v>
      </c>
      <c r="L360" s="42" t="s">
        <v>19</v>
      </c>
      <c r="M360" s="7" t="s">
        <v>23</v>
      </c>
      <c r="N360" s="7" t="s">
        <v>30</v>
      </c>
      <c r="O360" t="s">
        <v>914</v>
      </c>
      <c r="P360" s="29"/>
    </row>
    <row r="361" spans="1:16" ht="14.25" customHeight="1" x14ac:dyDescent="0.3">
      <c r="A361" s="18" t="s">
        <v>1300</v>
      </c>
      <c r="C361" s="8" t="str">
        <f>G361&amp;", "&amp;O361&amp;", "&amp;N361</f>
        <v>Limpiador, 113-5950, CATERPILLAR</v>
      </c>
      <c r="D361" s="21" t="s">
        <v>20</v>
      </c>
      <c r="E361" s="21" t="s">
        <v>21</v>
      </c>
      <c r="F361" s="7" t="s">
        <v>22</v>
      </c>
      <c r="G361" s="7" t="s">
        <v>940</v>
      </c>
      <c r="J361" s="7" t="s">
        <v>28</v>
      </c>
      <c r="L361" s="42">
        <v>141.26</v>
      </c>
      <c r="M361" s="7" t="s">
        <v>23</v>
      </c>
      <c r="N361" s="7" t="s">
        <v>24</v>
      </c>
      <c r="O361" t="s">
        <v>915</v>
      </c>
      <c r="P361" s="29"/>
    </row>
    <row r="362" spans="1:16" ht="14.25" customHeight="1" x14ac:dyDescent="0.3">
      <c r="A362" s="18" t="s">
        <v>1300</v>
      </c>
      <c r="C362" s="8" t="str">
        <f>G362&amp;", "&amp;O362&amp;", "&amp;N362</f>
        <v>Limpiador, 166-1495, CATERPILLAR</v>
      </c>
      <c r="D362" s="21" t="s">
        <v>20</v>
      </c>
      <c r="E362" s="21" t="s">
        <v>21</v>
      </c>
      <c r="F362" s="7" t="s">
        <v>22</v>
      </c>
      <c r="G362" s="7" t="s">
        <v>940</v>
      </c>
      <c r="J362" s="7" t="s">
        <v>28</v>
      </c>
      <c r="L362" s="42">
        <v>86.96</v>
      </c>
      <c r="M362" s="7" t="s">
        <v>23</v>
      </c>
      <c r="N362" s="7" t="s">
        <v>24</v>
      </c>
      <c r="O362" t="s">
        <v>916</v>
      </c>
      <c r="P362" s="29"/>
    </row>
    <row r="363" spans="1:16" ht="14.25" customHeight="1" x14ac:dyDescent="0.3">
      <c r="A363" s="18" t="s">
        <v>1300</v>
      </c>
      <c r="C363" s="8" t="str">
        <f>G363&amp;", "&amp;O363&amp;", "&amp;N363</f>
        <v>Limpiador, 166-1496, CATERPILLAR</v>
      </c>
      <c r="D363" s="21" t="s">
        <v>20</v>
      </c>
      <c r="E363" s="21" t="s">
        <v>21</v>
      </c>
      <c r="F363" s="7" t="s">
        <v>22</v>
      </c>
      <c r="G363" s="7" t="s">
        <v>940</v>
      </c>
      <c r="J363" s="7" t="s">
        <v>28</v>
      </c>
      <c r="L363" s="42">
        <v>88.32</v>
      </c>
      <c r="M363" s="7" t="s">
        <v>23</v>
      </c>
      <c r="N363" s="7" t="s">
        <v>24</v>
      </c>
      <c r="O363" t="s">
        <v>917</v>
      </c>
      <c r="P363" s="29"/>
    </row>
    <row r="364" spans="1:16" ht="14.25" customHeight="1" x14ac:dyDescent="0.3">
      <c r="A364" s="18" t="s">
        <v>1300</v>
      </c>
      <c r="C364" s="8" t="str">
        <f>G364&amp;", "&amp;O364&amp;", "&amp;N364</f>
        <v>Limpiador, 166-1497, CATERPILLAR</v>
      </c>
      <c r="D364" s="21" t="s">
        <v>20</v>
      </c>
      <c r="E364" s="21" t="s">
        <v>21</v>
      </c>
      <c r="F364" s="7" t="s">
        <v>22</v>
      </c>
      <c r="G364" s="7" t="s">
        <v>940</v>
      </c>
      <c r="J364" s="7" t="s">
        <v>28</v>
      </c>
      <c r="L364" s="42">
        <v>82.94</v>
      </c>
      <c r="M364" s="7" t="s">
        <v>23</v>
      </c>
      <c r="N364" s="7" t="s">
        <v>24</v>
      </c>
      <c r="O364" t="s">
        <v>918</v>
      </c>
      <c r="P364" s="29"/>
    </row>
    <row r="365" spans="1:16" ht="14.25" customHeight="1" x14ac:dyDescent="0.3">
      <c r="A365" s="18" t="s">
        <v>1300</v>
      </c>
      <c r="C365" s="8" t="str">
        <f>G365&amp;", "&amp;O365&amp;", "&amp;N365</f>
        <v>Limpiador, 166-1498, CATERPILLAR</v>
      </c>
      <c r="D365" s="21" t="s">
        <v>20</v>
      </c>
      <c r="E365" s="21" t="s">
        <v>21</v>
      </c>
      <c r="F365" s="7" t="s">
        <v>22</v>
      </c>
      <c r="G365" s="7" t="s">
        <v>940</v>
      </c>
      <c r="J365" s="7" t="s">
        <v>28</v>
      </c>
      <c r="L365" s="42">
        <v>117.85</v>
      </c>
      <c r="M365" s="7" t="s">
        <v>23</v>
      </c>
      <c r="N365" s="7" t="s">
        <v>24</v>
      </c>
      <c r="O365" t="s">
        <v>919</v>
      </c>
      <c r="P365" s="29"/>
    </row>
    <row r="366" spans="1:16" ht="14.25" customHeight="1" x14ac:dyDescent="0.3">
      <c r="A366" s="18" t="s">
        <v>1300</v>
      </c>
      <c r="C366" s="8" t="str">
        <f>G366&amp;", "&amp;O366&amp;", "&amp;N366</f>
        <v>Limpiador, 192-0943, CATERPILLAR</v>
      </c>
      <c r="D366" s="21" t="s">
        <v>20</v>
      </c>
      <c r="E366" s="21" t="s">
        <v>21</v>
      </c>
      <c r="F366" s="7" t="s">
        <v>22</v>
      </c>
      <c r="G366" s="7" t="s">
        <v>940</v>
      </c>
      <c r="J366" s="7" t="s">
        <v>28</v>
      </c>
      <c r="L366" s="42">
        <v>953.33</v>
      </c>
      <c r="M366" s="7" t="s">
        <v>23</v>
      </c>
      <c r="N366" s="7" t="s">
        <v>24</v>
      </c>
      <c r="O366" t="s">
        <v>920</v>
      </c>
      <c r="P366" s="29"/>
    </row>
    <row r="367" spans="1:16" ht="14.25" customHeight="1" x14ac:dyDescent="0.3">
      <c r="A367" s="18" t="s">
        <v>1300</v>
      </c>
      <c r="C367" s="8" t="str">
        <f>G367&amp;", "&amp;O367&amp;", "&amp;N367</f>
        <v>Limpiador, 225-3285, CATERPILLAR</v>
      </c>
      <c r="D367" s="21" t="s">
        <v>20</v>
      </c>
      <c r="E367" s="21" t="s">
        <v>21</v>
      </c>
      <c r="F367" s="7" t="s">
        <v>22</v>
      </c>
      <c r="G367" s="7" t="s">
        <v>940</v>
      </c>
      <c r="J367" s="7" t="s">
        <v>28</v>
      </c>
      <c r="L367" s="42">
        <v>61.11</v>
      </c>
      <c r="M367" s="7" t="s">
        <v>23</v>
      </c>
      <c r="N367" s="7" t="s">
        <v>24</v>
      </c>
      <c r="O367" t="s">
        <v>921</v>
      </c>
      <c r="P367" s="29"/>
    </row>
    <row r="368" spans="1:16" ht="14.25" customHeight="1" x14ac:dyDescent="0.3">
      <c r="A368" s="18" t="s">
        <v>1300</v>
      </c>
      <c r="C368" s="8" t="str">
        <f>G368&amp;", "&amp;O368&amp;", "&amp;N368</f>
        <v>Limpiador, 285-0612, CATERPILLAR</v>
      </c>
      <c r="D368" s="21" t="s">
        <v>20</v>
      </c>
      <c r="E368" s="21" t="s">
        <v>21</v>
      </c>
      <c r="F368" s="7" t="s">
        <v>22</v>
      </c>
      <c r="G368" s="7" t="s">
        <v>940</v>
      </c>
      <c r="J368" s="7" t="s">
        <v>28</v>
      </c>
      <c r="L368" s="42">
        <v>32.08</v>
      </c>
      <c r="M368" s="7" t="s">
        <v>23</v>
      </c>
      <c r="N368" s="7" t="s">
        <v>24</v>
      </c>
      <c r="O368" t="s">
        <v>786</v>
      </c>
      <c r="P368" s="29"/>
    </row>
    <row r="369" spans="1:16" ht="14.25" customHeight="1" x14ac:dyDescent="0.3">
      <c r="A369" s="18" t="s">
        <v>1300</v>
      </c>
      <c r="C369" s="8" t="str">
        <f>G369&amp;", "&amp;O369&amp;", "&amp;N369</f>
        <v>Limpiador, 420-1507, CATERPILLAR</v>
      </c>
      <c r="D369" s="21" t="s">
        <v>20</v>
      </c>
      <c r="E369" s="21" t="s">
        <v>21</v>
      </c>
      <c r="F369" s="7" t="s">
        <v>22</v>
      </c>
      <c r="G369" s="7" t="s">
        <v>940</v>
      </c>
      <c r="J369" s="7" t="s">
        <v>28</v>
      </c>
      <c r="L369" s="42">
        <v>217.19</v>
      </c>
      <c r="M369" s="7" t="s">
        <v>23</v>
      </c>
      <c r="N369" s="7" t="s">
        <v>24</v>
      </c>
      <c r="O369" t="s">
        <v>922</v>
      </c>
      <c r="P369" s="29"/>
    </row>
    <row r="370" spans="1:16" ht="14.25" customHeight="1" x14ac:dyDescent="0.3">
      <c r="A370" s="18" t="s">
        <v>1300</v>
      </c>
      <c r="C370" s="8" t="str">
        <f>G370&amp;", "&amp;O370&amp;", "&amp;N370</f>
        <v>Limpiador, 427-09-11120, KOMATSU</v>
      </c>
      <c r="D370" s="21" t="s">
        <v>20</v>
      </c>
      <c r="E370" s="21" t="s">
        <v>21</v>
      </c>
      <c r="F370" s="7" t="s">
        <v>22</v>
      </c>
      <c r="G370" s="7" t="s">
        <v>940</v>
      </c>
      <c r="J370" s="7" t="s">
        <v>28</v>
      </c>
      <c r="L370" s="42">
        <v>199.92</v>
      </c>
      <c r="M370" s="7" t="s">
        <v>23</v>
      </c>
      <c r="N370" s="7" t="s">
        <v>30</v>
      </c>
      <c r="O370" t="s">
        <v>923</v>
      </c>
      <c r="P370" s="29"/>
    </row>
    <row r="371" spans="1:16" ht="14.25" customHeight="1" x14ac:dyDescent="0.3">
      <c r="A371" s="18" t="s">
        <v>1300</v>
      </c>
      <c r="C371" s="8" t="str">
        <f>G371&amp;", "&amp;O371&amp;", "&amp;N371</f>
        <v>Limpiador, 5P-2322, CATERPILLAR</v>
      </c>
      <c r="D371" s="21" t="s">
        <v>20</v>
      </c>
      <c r="E371" s="21" t="s">
        <v>21</v>
      </c>
      <c r="F371" s="7" t="s">
        <v>22</v>
      </c>
      <c r="G371" s="7" t="s">
        <v>940</v>
      </c>
      <c r="J371" s="7" t="s">
        <v>28</v>
      </c>
      <c r="L371" s="42">
        <v>101.43</v>
      </c>
      <c r="M371" s="7" t="s">
        <v>23</v>
      </c>
      <c r="N371" s="7" t="s">
        <v>24</v>
      </c>
      <c r="O371" t="s">
        <v>924</v>
      </c>
      <c r="P371" s="29"/>
    </row>
    <row r="372" spans="1:16" ht="14.25" customHeight="1" x14ac:dyDescent="0.3">
      <c r="A372" s="18" t="s">
        <v>1300</v>
      </c>
      <c r="C372" s="8" t="str">
        <f>G372&amp;", "&amp;O372&amp;", "&amp;N372</f>
        <v>Limpiador, 5P-3193, CATERPILLAR</v>
      </c>
      <c r="D372" s="21" t="s">
        <v>20</v>
      </c>
      <c r="E372" s="21" t="s">
        <v>21</v>
      </c>
      <c r="F372" s="7" t="s">
        <v>22</v>
      </c>
      <c r="G372" s="7" t="s">
        <v>940</v>
      </c>
      <c r="J372" s="7" t="s">
        <v>28</v>
      </c>
      <c r="L372" s="42">
        <v>48.74</v>
      </c>
      <c r="M372" s="7" t="s">
        <v>23</v>
      </c>
      <c r="N372" s="7" t="s">
        <v>24</v>
      </c>
      <c r="O372" t="s">
        <v>925</v>
      </c>
      <c r="P372" s="29"/>
    </row>
    <row r="373" spans="1:16" ht="14.25" customHeight="1" x14ac:dyDescent="0.3">
      <c r="A373" s="18" t="s">
        <v>1300</v>
      </c>
      <c r="C373" s="8" t="str">
        <f>G373&amp;", "&amp;O373&amp;", "&amp;N373</f>
        <v>Limpiador, 5P-8843, CATERPILLAR</v>
      </c>
      <c r="D373" s="21" t="s">
        <v>20</v>
      </c>
      <c r="E373" s="21" t="s">
        <v>21</v>
      </c>
      <c r="F373" s="7" t="s">
        <v>22</v>
      </c>
      <c r="G373" s="7" t="s">
        <v>940</v>
      </c>
      <c r="J373" s="7" t="s">
        <v>28</v>
      </c>
      <c r="L373" s="42">
        <v>16.64</v>
      </c>
      <c r="M373" s="7" t="s">
        <v>23</v>
      </c>
      <c r="N373" s="7" t="s">
        <v>24</v>
      </c>
      <c r="O373" t="s">
        <v>926</v>
      </c>
      <c r="P373" s="29"/>
    </row>
    <row r="374" spans="1:16" ht="14.25" customHeight="1" x14ac:dyDescent="0.3">
      <c r="A374" s="18" t="s">
        <v>1300</v>
      </c>
      <c r="C374" s="8" t="str">
        <f>G374&amp;", "&amp;O374&amp;", "&amp;N374</f>
        <v>Limpiador, 5T-6809, CATERPILLAR</v>
      </c>
      <c r="D374" s="21" t="s">
        <v>20</v>
      </c>
      <c r="E374" s="21" t="s">
        <v>21</v>
      </c>
      <c r="F374" s="7" t="s">
        <v>22</v>
      </c>
      <c r="G374" s="7" t="s">
        <v>940</v>
      </c>
      <c r="J374" s="7" t="s">
        <v>28</v>
      </c>
      <c r="L374" s="42">
        <v>42.99</v>
      </c>
      <c r="M374" s="7" t="s">
        <v>23</v>
      </c>
      <c r="N374" s="7" t="s">
        <v>24</v>
      </c>
      <c r="O374" t="s">
        <v>787</v>
      </c>
      <c r="P374" s="29"/>
    </row>
    <row r="375" spans="1:16" ht="14.25" customHeight="1" x14ac:dyDescent="0.3">
      <c r="A375" s="18" t="s">
        <v>1300</v>
      </c>
      <c r="C375" s="8" t="str">
        <f>G375&amp;", "&amp;O375&amp;", "&amp;N375</f>
        <v>Limpiador, 7K-9204, CATERPILLAR</v>
      </c>
      <c r="D375" s="21" t="s">
        <v>20</v>
      </c>
      <c r="E375" s="21" t="s">
        <v>21</v>
      </c>
      <c r="F375" s="7" t="s">
        <v>22</v>
      </c>
      <c r="G375" s="7" t="s">
        <v>940</v>
      </c>
      <c r="J375" s="7" t="s">
        <v>28</v>
      </c>
      <c r="L375" s="42">
        <v>21.6</v>
      </c>
      <c r="M375" s="7" t="s">
        <v>23</v>
      </c>
      <c r="N375" s="7" t="s">
        <v>24</v>
      </c>
      <c r="O375" t="s">
        <v>927</v>
      </c>
      <c r="P375" s="29"/>
    </row>
    <row r="376" spans="1:16" ht="14.25" customHeight="1" x14ac:dyDescent="0.3">
      <c r="A376" s="18" t="s">
        <v>1300</v>
      </c>
      <c r="C376" s="8" t="str">
        <f>G376&amp;", "&amp;O376&amp;", "&amp;N376</f>
        <v>Limpiador, 7K-9205, CATERPILLAR</v>
      </c>
      <c r="D376" s="21" t="s">
        <v>20</v>
      </c>
      <c r="E376" s="21" t="s">
        <v>21</v>
      </c>
      <c r="F376" s="7" t="s">
        <v>22</v>
      </c>
      <c r="G376" s="7" t="s">
        <v>940</v>
      </c>
      <c r="J376" s="7" t="s">
        <v>28</v>
      </c>
      <c r="L376" s="42">
        <v>24.12</v>
      </c>
      <c r="M376" s="7" t="s">
        <v>23</v>
      </c>
      <c r="N376" s="7" t="s">
        <v>24</v>
      </c>
      <c r="O376" t="s">
        <v>928</v>
      </c>
      <c r="P376" s="29"/>
    </row>
    <row r="377" spans="1:16" ht="14.25" customHeight="1" x14ac:dyDescent="0.3">
      <c r="A377" s="18" t="s">
        <v>1300</v>
      </c>
      <c r="C377" s="8" t="str">
        <f>G377&amp;", "&amp;O377&amp;", "&amp;N377</f>
        <v>Limpiador, 7K-9211, CATERPILLAR</v>
      </c>
      <c r="D377" s="21" t="s">
        <v>20</v>
      </c>
      <c r="E377" s="21" t="s">
        <v>21</v>
      </c>
      <c r="F377" s="7" t="s">
        <v>22</v>
      </c>
      <c r="G377" s="7" t="s">
        <v>940</v>
      </c>
      <c r="J377" s="7" t="s">
        <v>28</v>
      </c>
      <c r="L377" s="42">
        <v>39.36</v>
      </c>
      <c r="M377" s="7" t="s">
        <v>23</v>
      </c>
      <c r="N377" s="7" t="s">
        <v>24</v>
      </c>
      <c r="O377" t="s">
        <v>929</v>
      </c>
      <c r="P377" s="29"/>
    </row>
    <row r="378" spans="1:16" ht="14.25" customHeight="1" x14ac:dyDescent="0.3">
      <c r="A378" s="18" t="s">
        <v>1300</v>
      </c>
      <c r="C378" s="8" t="str">
        <f>G378&amp;", "&amp;O378&amp;", "&amp;N378</f>
        <v>Limpiador, 7K-9212, CATERPILLAR</v>
      </c>
      <c r="D378" s="21" t="s">
        <v>20</v>
      </c>
      <c r="E378" s="21" t="s">
        <v>21</v>
      </c>
      <c r="F378" s="7" t="s">
        <v>22</v>
      </c>
      <c r="G378" s="7" t="s">
        <v>940</v>
      </c>
      <c r="J378" s="7" t="s">
        <v>28</v>
      </c>
      <c r="L378" s="42">
        <v>39.090000000000003</v>
      </c>
      <c r="M378" s="7" t="s">
        <v>23</v>
      </c>
      <c r="N378" s="7" t="s">
        <v>24</v>
      </c>
      <c r="O378" t="s">
        <v>930</v>
      </c>
      <c r="P378" s="29"/>
    </row>
    <row r="379" spans="1:16" ht="14.25" customHeight="1" x14ac:dyDescent="0.3">
      <c r="A379" s="18" t="s">
        <v>1300</v>
      </c>
      <c r="C379" s="8" t="str">
        <f>G379&amp;", "&amp;O379&amp;", "&amp;N379</f>
        <v>Limpiador, 7X-4786, CATERPILLAR</v>
      </c>
      <c r="D379" s="21" t="s">
        <v>20</v>
      </c>
      <c r="E379" s="21" t="s">
        <v>21</v>
      </c>
      <c r="F379" s="7" t="s">
        <v>22</v>
      </c>
      <c r="G379" s="7" t="s">
        <v>940</v>
      </c>
      <c r="J379" s="7" t="s">
        <v>28</v>
      </c>
      <c r="L379" s="42">
        <v>146.1</v>
      </c>
      <c r="M379" s="7" t="s">
        <v>23</v>
      </c>
      <c r="N379" s="7" t="s">
        <v>24</v>
      </c>
      <c r="O379" t="s">
        <v>931</v>
      </c>
      <c r="P379" s="29"/>
    </row>
    <row r="380" spans="1:16" ht="14.25" customHeight="1" x14ac:dyDescent="0.3">
      <c r="A380" s="18" t="s">
        <v>1300</v>
      </c>
      <c r="C380" s="8" t="str">
        <f>G380&amp;", "&amp;O380&amp;", "&amp;N380</f>
        <v>Limpiador, 7X-4803, CATERPILLAR</v>
      </c>
      <c r="D380" s="21" t="s">
        <v>20</v>
      </c>
      <c r="E380" s="21" t="s">
        <v>21</v>
      </c>
      <c r="F380" s="7" t="s">
        <v>22</v>
      </c>
      <c r="G380" s="7" t="s">
        <v>940</v>
      </c>
      <c r="J380" s="7" t="s">
        <v>28</v>
      </c>
      <c r="L380" s="42">
        <v>86.96</v>
      </c>
      <c r="M380" s="7" t="s">
        <v>23</v>
      </c>
      <c r="N380" s="7" t="s">
        <v>24</v>
      </c>
      <c r="O380" t="s">
        <v>932</v>
      </c>
      <c r="P380" s="29"/>
    </row>
    <row r="381" spans="1:16" ht="14.25" customHeight="1" x14ac:dyDescent="0.3">
      <c r="A381" s="18" t="s">
        <v>1300</v>
      </c>
      <c r="C381" s="8" t="str">
        <f>G381&amp;", "&amp;O381&amp;", "&amp;N381</f>
        <v>Limpiador, 8J-5962, CATERPILLAR</v>
      </c>
      <c r="D381" s="21" t="s">
        <v>20</v>
      </c>
      <c r="E381" s="21" t="s">
        <v>21</v>
      </c>
      <c r="F381" s="7" t="s">
        <v>22</v>
      </c>
      <c r="G381" s="7" t="s">
        <v>940</v>
      </c>
      <c r="J381" s="7" t="s">
        <v>28</v>
      </c>
      <c r="L381" s="42">
        <v>115.85</v>
      </c>
      <c r="M381" s="7" t="s">
        <v>23</v>
      </c>
      <c r="N381" s="7" t="s">
        <v>24</v>
      </c>
      <c r="O381" t="s">
        <v>933</v>
      </c>
      <c r="P381" s="29"/>
    </row>
    <row r="382" spans="1:16" ht="14.25" customHeight="1" x14ac:dyDescent="0.3">
      <c r="A382" s="18" t="s">
        <v>1300</v>
      </c>
      <c r="C382" s="8" t="str">
        <f>G382&amp;", "&amp;O382&amp;", "&amp;N382</f>
        <v>Limpiador, 8T-7535, CATERPILLAR</v>
      </c>
      <c r="D382" s="21" t="s">
        <v>20</v>
      </c>
      <c r="E382" s="21" t="s">
        <v>21</v>
      </c>
      <c r="F382" s="7" t="s">
        <v>22</v>
      </c>
      <c r="G382" s="7" t="s">
        <v>940</v>
      </c>
      <c r="J382" s="7" t="s">
        <v>28</v>
      </c>
      <c r="L382" s="42">
        <v>22.59</v>
      </c>
      <c r="M382" s="7" t="s">
        <v>23</v>
      </c>
      <c r="N382" s="7" t="s">
        <v>24</v>
      </c>
      <c r="O382" t="s">
        <v>934</v>
      </c>
      <c r="P382" s="29"/>
    </row>
    <row r="383" spans="1:16" ht="14.25" customHeight="1" x14ac:dyDescent="0.3">
      <c r="A383" s="18" t="s">
        <v>1300</v>
      </c>
      <c r="C383" s="8" t="str">
        <f>G383&amp;", "&amp;O383&amp;", "&amp;N383</f>
        <v>Limpiador, 9X-4597, CATERPILLAR</v>
      </c>
      <c r="D383" s="21" t="s">
        <v>20</v>
      </c>
      <c r="E383" s="21" t="s">
        <v>21</v>
      </c>
      <c r="F383" s="7" t="s">
        <v>22</v>
      </c>
      <c r="G383" s="7" t="s">
        <v>940</v>
      </c>
      <c r="J383" s="7" t="s">
        <v>28</v>
      </c>
      <c r="L383" s="42">
        <v>88.32</v>
      </c>
      <c r="M383" s="7" t="s">
        <v>23</v>
      </c>
      <c r="N383" s="7" t="s">
        <v>24</v>
      </c>
      <c r="O383" t="s">
        <v>935</v>
      </c>
      <c r="P383" s="29"/>
    </row>
    <row r="384" spans="1:16" ht="14.25" customHeight="1" x14ac:dyDescent="0.3">
      <c r="A384" s="18" t="s">
        <v>1300</v>
      </c>
      <c r="C384" s="8" t="str">
        <f>G384&amp;", "&amp;O384&amp;", "&amp;N384</f>
        <v>Limpiador, 9X-4600, CATERPILLAR</v>
      </c>
      <c r="D384" s="21" t="s">
        <v>20</v>
      </c>
      <c r="E384" s="21" t="s">
        <v>21</v>
      </c>
      <c r="F384" s="7" t="s">
        <v>22</v>
      </c>
      <c r="G384" s="7" t="s">
        <v>940</v>
      </c>
      <c r="J384" s="7" t="s">
        <v>28</v>
      </c>
      <c r="L384" s="42">
        <v>63.58</v>
      </c>
      <c r="M384" s="7" t="s">
        <v>23</v>
      </c>
      <c r="N384" s="7" t="s">
        <v>24</v>
      </c>
      <c r="O384" t="s">
        <v>936</v>
      </c>
      <c r="P384" s="29"/>
    </row>
    <row r="385" spans="1:16" ht="14.25" customHeight="1" x14ac:dyDescent="0.3">
      <c r="A385" s="18" t="s">
        <v>1300</v>
      </c>
      <c r="C385" s="8" t="str">
        <f>G385&amp;", "&amp;O385&amp;", "&amp;N385</f>
        <v>Limpiador, 9X-4601, CATERPILLAR</v>
      </c>
      <c r="D385" s="21" t="s">
        <v>20</v>
      </c>
      <c r="E385" s="21" t="s">
        <v>21</v>
      </c>
      <c r="F385" s="7" t="s">
        <v>22</v>
      </c>
      <c r="G385" s="7" t="s">
        <v>940</v>
      </c>
      <c r="J385" s="7" t="s">
        <v>28</v>
      </c>
      <c r="L385" s="42">
        <v>71.23</v>
      </c>
      <c r="M385" s="7" t="s">
        <v>23</v>
      </c>
      <c r="N385" s="7" t="s">
        <v>24</v>
      </c>
      <c r="O385" t="s">
        <v>937</v>
      </c>
      <c r="P385" s="29"/>
    </row>
    <row r="386" spans="1:16" ht="14.25" customHeight="1" x14ac:dyDescent="0.3">
      <c r="A386" s="18" t="s">
        <v>1300</v>
      </c>
      <c r="C386" s="8" t="str">
        <f>G386&amp;", "&amp;O386&amp;", "&amp;N386</f>
        <v>Limpiador, 9X-7700, CATERPILLAR</v>
      </c>
      <c r="D386" s="21" t="s">
        <v>20</v>
      </c>
      <c r="E386" s="21" t="s">
        <v>21</v>
      </c>
      <c r="F386" s="7" t="s">
        <v>22</v>
      </c>
      <c r="G386" s="7" t="s">
        <v>940</v>
      </c>
      <c r="J386" s="7" t="s">
        <v>28</v>
      </c>
      <c r="L386" s="42">
        <v>117.98</v>
      </c>
      <c r="M386" s="7" t="s">
        <v>23</v>
      </c>
      <c r="N386" s="7" t="s">
        <v>24</v>
      </c>
      <c r="O386" t="s">
        <v>938</v>
      </c>
      <c r="P386" s="29"/>
    </row>
    <row r="387" spans="1:16" ht="14.25" customHeight="1" x14ac:dyDescent="0.3">
      <c r="A387" s="18" t="s">
        <v>1300</v>
      </c>
      <c r="C387" s="8" t="str">
        <f>G387&amp;", "&amp;O387&amp;", "&amp;N387</f>
        <v>Limpiador, 9X-7703, CATERPILLAR</v>
      </c>
      <c r="D387" s="21" t="s">
        <v>20</v>
      </c>
      <c r="E387" s="21" t="s">
        <v>21</v>
      </c>
      <c r="F387" s="7" t="s">
        <v>22</v>
      </c>
      <c r="G387" s="7" t="s">
        <v>940</v>
      </c>
      <c r="J387" s="7" t="s">
        <v>28</v>
      </c>
      <c r="L387" s="42" t="s">
        <v>1314</v>
      </c>
      <c r="M387" s="7" t="s">
        <v>23</v>
      </c>
      <c r="N387" s="7" t="s">
        <v>24</v>
      </c>
      <c r="O387" t="s">
        <v>939</v>
      </c>
      <c r="P387" s="29"/>
    </row>
    <row r="388" spans="1:16" ht="14.25" customHeight="1" x14ac:dyDescent="0.3">
      <c r="A388" s="18" t="s">
        <v>1300</v>
      </c>
      <c r="C388" s="8" t="str">
        <f>G388&amp;", "&amp;O388&amp;", "&amp;N388</f>
        <v>Manguito, 9X-1386, CATERPILLAR</v>
      </c>
      <c r="D388" s="21" t="s">
        <v>20</v>
      </c>
      <c r="E388" s="21" t="s">
        <v>21</v>
      </c>
      <c r="F388" s="7" t="s">
        <v>22</v>
      </c>
      <c r="G388" s="7" t="s">
        <v>941</v>
      </c>
      <c r="J388" s="7" t="s">
        <v>28</v>
      </c>
      <c r="L388" s="42">
        <v>0.23</v>
      </c>
      <c r="M388" s="7" t="s">
        <v>23</v>
      </c>
      <c r="N388" s="7" t="s">
        <v>24</v>
      </c>
      <c r="O388" t="s">
        <v>943</v>
      </c>
      <c r="P388" s="29"/>
    </row>
    <row r="389" spans="1:16" ht="14.25" customHeight="1" x14ac:dyDescent="0.3">
      <c r="A389" s="18" t="s">
        <v>1300</v>
      </c>
      <c r="C389" s="8" t="str">
        <f>G389&amp;", "&amp;O389&amp;", "&amp;N389</f>
        <v>Sello anular, 175-7904, CATERPILLAR</v>
      </c>
      <c r="D389" s="21" t="s">
        <v>20</v>
      </c>
      <c r="E389" s="21" t="s">
        <v>21</v>
      </c>
      <c r="F389" s="7" t="s">
        <v>22</v>
      </c>
      <c r="G389" s="7" t="s">
        <v>971</v>
      </c>
      <c r="J389" s="7" t="s">
        <v>28</v>
      </c>
      <c r="L389" s="42">
        <v>13.31</v>
      </c>
      <c r="M389" s="7" t="s">
        <v>23</v>
      </c>
      <c r="N389" s="7" t="s">
        <v>24</v>
      </c>
      <c r="O389" t="s">
        <v>944</v>
      </c>
      <c r="P389" s="29"/>
    </row>
    <row r="390" spans="1:16" ht="14.25" customHeight="1" x14ac:dyDescent="0.3">
      <c r="A390" s="18" t="s">
        <v>1300</v>
      </c>
      <c r="C390" s="8" t="str">
        <f>G390&amp;", "&amp;O390&amp;", "&amp;N390</f>
        <v>Sello anular, 1U-3174, CATERPILLAR</v>
      </c>
      <c r="D390" s="21" t="s">
        <v>20</v>
      </c>
      <c r="E390" s="21" t="s">
        <v>21</v>
      </c>
      <c r="F390" s="7" t="s">
        <v>22</v>
      </c>
      <c r="G390" s="7" t="s">
        <v>971</v>
      </c>
      <c r="J390" s="7" t="s">
        <v>28</v>
      </c>
      <c r="L390" s="42">
        <v>17.21</v>
      </c>
      <c r="M390" s="7" t="s">
        <v>23</v>
      </c>
      <c r="N390" s="7" t="s">
        <v>24</v>
      </c>
      <c r="O390" t="s">
        <v>945</v>
      </c>
      <c r="P390" s="29"/>
    </row>
    <row r="391" spans="1:16" ht="14.25" customHeight="1" x14ac:dyDescent="0.3">
      <c r="A391" s="18" t="s">
        <v>1300</v>
      </c>
      <c r="C391" s="8" t="str">
        <f>G391&amp;", "&amp;O391&amp;", "&amp;N391</f>
        <v>Sello anular, 2H-6340, CATERPILLAR</v>
      </c>
      <c r="D391" s="21" t="s">
        <v>20</v>
      </c>
      <c r="E391" s="21" t="s">
        <v>21</v>
      </c>
      <c r="F391" s="7" t="s">
        <v>22</v>
      </c>
      <c r="G391" s="7" t="s">
        <v>971</v>
      </c>
      <c r="J391" s="7" t="s">
        <v>28</v>
      </c>
      <c r="L391" s="42">
        <v>23.69</v>
      </c>
      <c r="M391" s="7" t="s">
        <v>23</v>
      </c>
      <c r="N391" s="7" t="s">
        <v>24</v>
      </c>
      <c r="O391" t="s">
        <v>946</v>
      </c>
      <c r="P391" s="29"/>
    </row>
    <row r="392" spans="1:16" ht="14.25" customHeight="1" x14ac:dyDescent="0.3">
      <c r="A392" s="18" t="s">
        <v>1300</v>
      </c>
      <c r="C392" s="8" t="str">
        <f>G392&amp;", "&amp;O392&amp;", "&amp;N392</f>
        <v>Sello anular, 2M-9780, CATERPILLAR</v>
      </c>
      <c r="D392" s="21" t="s">
        <v>20</v>
      </c>
      <c r="E392" s="21" t="s">
        <v>21</v>
      </c>
      <c r="F392" s="7" t="s">
        <v>22</v>
      </c>
      <c r="G392" s="7" t="s">
        <v>971</v>
      </c>
      <c r="J392" s="7" t="s">
        <v>28</v>
      </c>
      <c r="L392" s="42">
        <v>2.82</v>
      </c>
      <c r="M392" s="7" t="s">
        <v>23</v>
      </c>
      <c r="N392" s="7" t="s">
        <v>24</v>
      </c>
      <c r="O392" t="s">
        <v>947</v>
      </c>
      <c r="P392" s="29"/>
    </row>
    <row r="393" spans="1:16" ht="14.25" customHeight="1" x14ac:dyDescent="0.3">
      <c r="A393" s="18" t="s">
        <v>1300</v>
      </c>
      <c r="C393" s="8" t="str">
        <f>G393&amp;", "&amp;O393&amp;", "&amp;N393</f>
        <v>Sello anular, 326-0547, CATERPILLAR</v>
      </c>
      <c r="D393" s="21" t="s">
        <v>20</v>
      </c>
      <c r="E393" s="21" t="s">
        <v>21</v>
      </c>
      <c r="F393" s="7" t="s">
        <v>22</v>
      </c>
      <c r="G393" s="7" t="s">
        <v>971</v>
      </c>
      <c r="J393" s="7" t="s">
        <v>28</v>
      </c>
      <c r="L393" s="42">
        <v>137.26</v>
      </c>
      <c r="M393" s="7" t="s">
        <v>23</v>
      </c>
      <c r="N393" s="7" t="s">
        <v>24</v>
      </c>
      <c r="O393" t="s">
        <v>948</v>
      </c>
      <c r="P393" s="29"/>
    </row>
    <row r="394" spans="1:16" ht="14.25" customHeight="1" x14ac:dyDescent="0.3">
      <c r="A394" s="18" t="s">
        <v>1300</v>
      </c>
      <c r="C394" s="8" t="str">
        <f>G394&amp;", "&amp;O394&amp;", "&amp;N394</f>
        <v>Sello anular, 329-6113, CATERPILLAR</v>
      </c>
      <c r="D394" s="21" t="s">
        <v>20</v>
      </c>
      <c r="E394" s="21" t="s">
        <v>21</v>
      </c>
      <c r="F394" s="7" t="s">
        <v>22</v>
      </c>
      <c r="G394" s="7" t="s">
        <v>971</v>
      </c>
      <c r="J394" s="7" t="s">
        <v>28</v>
      </c>
      <c r="L394" s="42">
        <v>166.49</v>
      </c>
      <c r="M394" s="7" t="s">
        <v>23</v>
      </c>
      <c r="N394" s="7" t="s">
        <v>24</v>
      </c>
      <c r="O394" t="s">
        <v>949</v>
      </c>
      <c r="P394" s="29"/>
    </row>
    <row r="395" spans="1:16" ht="14.25" customHeight="1" x14ac:dyDescent="0.3">
      <c r="A395" s="18" t="s">
        <v>1300</v>
      </c>
      <c r="C395" s="8" t="str">
        <f>G395&amp;", "&amp;O395&amp;", "&amp;N395</f>
        <v>Sello anular, 375-1155, CATERPILLAR</v>
      </c>
      <c r="D395" s="21" t="s">
        <v>20</v>
      </c>
      <c r="E395" s="21" t="s">
        <v>21</v>
      </c>
      <c r="F395" s="7" t="s">
        <v>22</v>
      </c>
      <c r="G395" s="7" t="s">
        <v>971</v>
      </c>
      <c r="J395" s="7" t="s">
        <v>28</v>
      </c>
      <c r="L395" s="42">
        <v>153.1</v>
      </c>
      <c r="M395" s="7" t="s">
        <v>23</v>
      </c>
      <c r="N395" s="7" t="s">
        <v>24</v>
      </c>
      <c r="O395" t="s">
        <v>950</v>
      </c>
      <c r="P395" s="29"/>
    </row>
    <row r="396" spans="1:16" ht="14.25" customHeight="1" x14ac:dyDescent="0.3">
      <c r="A396" s="18" t="s">
        <v>1300</v>
      </c>
      <c r="C396" s="8" t="str">
        <f>G396&amp;", "&amp;O396&amp;", "&amp;N396</f>
        <v>Sello anular, 3J-1907, CATERPILLAR</v>
      </c>
      <c r="D396" s="21" t="s">
        <v>20</v>
      </c>
      <c r="E396" s="21" t="s">
        <v>21</v>
      </c>
      <c r="F396" s="7" t="s">
        <v>22</v>
      </c>
      <c r="G396" s="7" t="s">
        <v>971</v>
      </c>
      <c r="J396" s="7" t="s">
        <v>28</v>
      </c>
      <c r="L396" s="42">
        <v>2.31</v>
      </c>
      <c r="M396" s="7" t="s">
        <v>23</v>
      </c>
      <c r="N396" s="7" t="s">
        <v>24</v>
      </c>
      <c r="O396" t="s">
        <v>951</v>
      </c>
      <c r="P396" s="29"/>
    </row>
    <row r="397" spans="1:16" ht="14.25" customHeight="1" x14ac:dyDescent="0.3">
      <c r="A397" s="18" t="s">
        <v>1300</v>
      </c>
      <c r="C397" s="8" t="str">
        <f>G397&amp;", "&amp;O397&amp;", "&amp;N397</f>
        <v>Sello anular, 3J-7354, CATERPILLAR</v>
      </c>
      <c r="D397" s="21" t="s">
        <v>20</v>
      </c>
      <c r="E397" s="21" t="s">
        <v>21</v>
      </c>
      <c r="F397" s="7" t="s">
        <v>22</v>
      </c>
      <c r="G397" s="7" t="s">
        <v>971</v>
      </c>
      <c r="J397" s="7" t="s">
        <v>28</v>
      </c>
      <c r="L397" s="42">
        <v>2.0299999999999998</v>
      </c>
      <c r="M397" s="7" t="s">
        <v>23</v>
      </c>
      <c r="N397" s="7" t="s">
        <v>24</v>
      </c>
      <c r="O397" t="s">
        <v>952</v>
      </c>
      <c r="P397" s="29"/>
    </row>
    <row r="398" spans="1:16" ht="14.25" customHeight="1" x14ac:dyDescent="0.3">
      <c r="A398" s="18" t="s">
        <v>1300</v>
      </c>
      <c r="C398" s="8" t="str">
        <f>G398&amp;", "&amp;O398&amp;", "&amp;N398</f>
        <v>Sello anular, 450-9217, CATERPILLAR</v>
      </c>
      <c r="D398" s="21" t="s">
        <v>20</v>
      </c>
      <c r="E398" s="21" t="s">
        <v>21</v>
      </c>
      <c r="F398" s="7" t="s">
        <v>22</v>
      </c>
      <c r="G398" s="7" t="s">
        <v>971</v>
      </c>
      <c r="J398" s="7" t="s">
        <v>28</v>
      </c>
      <c r="L398" s="42">
        <v>35.18</v>
      </c>
      <c r="M398" s="7" t="s">
        <v>23</v>
      </c>
      <c r="N398" s="7" t="s">
        <v>24</v>
      </c>
      <c r="O398" t="s">
        <v>953</v>
      </c>
      <c r="P398" s="29"/>
    </row>
    <row r="399" spans="1:16" ht="14.25" customHeight="1" x14ac:dyDescent="0.3">
      <c r="A399" s="18" t="s">
        <v>1300</v>
      </c>
      <c r="C399" s="8" t="str">
        <f>G399&amp;", "&amp;O399&amp;", "&amp;N399</f>
        <v>Sello anular, 465-3715, CATERPILLAR</v>
      </c>
      <c r="D399" s="21" t="s">
        <v>20</v>
      </c>
      <c r="E399" s="21" t="s">
        <v>21</v>
      </c>
      <c r="F399" s="7" t="s">
        <v>22</v>
      </c>
      <c r="G399" s="7" t="s">
        <v>971</v>
      </c>
      <c r="J399" s="7" t="s">
        <v>28</v>
      </c>
      <c r="L399" s="42">
        <v>130.46</v>
      </c>
      <c r="M399" s="7" t="s">
        <v>23</v>
      </c>
      <c r="N399" s="7" t="s">
        <v>24</v>
      </c>
      <c r="O399" t="s">
        <v>954</v>
      </c>
      <c r="P399" s="29"/>
    </row>
    <row r="400" spans="1:16" ht="14.25" customHeight="1" x14ac:dyDescent="0.3">
      <c r="A400" s="18" t="s">
        <v>1300</v>
      </c>
      <c r="C400" s="8" t="str">
        <f>G400&amp;", "&amp;O400&amp;", "&amp;N400</f>
        <v>Sello anular, 478-8406, CATERPILLAR</v>
      </c>
      <c r="D400" s="21" t="s">
        <v>20</v>
      </c>
      <c r="E400" s="21" t="s">
        <v>21</v>
      </c>
      <c r="F400" s="7" t="s">
        <v>22</v>
      </c>
      <c r="G400" s="7" t="s">
        <v>971</v>
      </c>
      <c r="J400" s="7" t="s">
        <v>28</v>
      </c>
      <c r="L400" s="42">
        <v>14.33</v>
      </c>
      <c r="M400" s="7" t="s">
        <v>23</v>
      </c>
      <c r="N400" s="7" t="s">
        <v>24</v>
      </c>
      <c r="O400" t="s">
        <v>955</v>
      </c>
      <c r="P400" s="29"/>
    </row>
    <row r="401" spans="1:16" ht="14.25" customHeight="1" x14ac:dyDescent="0.3">
      <c r="A401" s="18" t="s">
        <v>1300</v>
      </c>
      <c r="C401" s="8" t="str">
        <f>G401&amp;", "&amp;O401&amp;", "&amp;N401</f>
        <v>Sello anular, 58B-98-01340, KOMATSU</v>
      </c>
      <c r="D401" s="21" t="s">
        <v>63</v>
      </c>
      <c r="E401" s="21" t="s">
        <v>21</v>
      </c>
      <c r="F401" s="7" t="s">
        <v>22</v>
      </c>
      <c r="G401" s="7" t="s">
        <v>971</v>
      </c>
      <c r="J401" s="7" t="s">
        <v>28</v>
      </c>
      <c r="L401" s="42">
        <v>14.7</v>
      </c>
      <c r="M401" s="7" t="s">
        <v>23</v>
      </c>
      <c r="N401" s="7" t="s">
        <v>30</v>
      </c>
      <c r="O401" t="s">
        <v>956</v>
      </c>
      <c r="P401" s="29"/>
    </row>
    <row r="402" spans="1:16" ht="14.25" customHeight="1" x14ac:dyDescent="0.3">
      <c r="A402" s="18" t="s">
        <v>1300</v>
      </c>
      <c r="C402" s="8" t="str">
        <f>G402&amp;", "&amp;O402&amp;", "&amp;N402</f>
        <v>Sello anular, 58F-32-00180, KOMATSU</v>
      </c>
      <c r="D402" s="21" t="s">
        <v>64</v>
      </c>
      <c r="E402" s="21" t="s">
        <v>21</v>
      </c>
      <c r="F402" s="7" t="s">
        <v>22</v>
      </c>
      <c r="G402" s="7" t="s">
        <v>971</v>
      </c>
      <c r="J402" s="7" t="s">
        <v>28</v>
      </c>
      <c r="L402" s="42" t="s">
        <v>19</v>
      </c>
      <c r="M402" s="7" t="s">
        <v>23</v>
      </c>
      <c r="N402" s="7" t="s">
        <v>30</v>
      </c>
      <c r="O402" t="s">
        <v>957</v>
      </c>
      <c r="P402" s="29"/>
    </row>
    <row r="403" spans="1:16" ht="14.25" customHeight="1" x14ac:dyDescent="0.3">
      <c r="A403" s="18" t="s">
        <v>1300</v>
      </c>
      <c r="C403" s="8" t="str">
        <f>G403&amp;", "&amp;O403&amp;", "&amp;N403</f>
        <v>Sello anular, 5D-7523, CATERPILLAR</v>
      </c>
      <c r="D403" s="21" t="s">
        <v>65</v>
      </c>
      <c r="E403" s="21" t="s">
        <v>21</v>
      </c>
      <c r="F403" s="7" t="s">
        <v>22</v>
      </c>
      <c r="G403" s="7" t="s">
        <v>971</v>
      </c>
      <c r="J403" s="7" t="s">
        <v>28</v>
      </c>
      <c r="L403" s="42">
        <v>34.67</v>
      </c>
      <c r="M403" s="7" t="s">
        <v>23</v>
      </c>
      <c r="N403" s="7" t="s">
        <v>24</v>
      </c>
      <c r="O403" t="s">
        <v>958</v>
      </c>
      <c r="P403" s="29"/>
    </row>
    <row r="404" spans="1:16" ht="14.25" customHeight="1" x14ac:dyDescent="0.3">
      <c r="A404" s="18" t="s">
        <v>1300</v>
      </c>
      <c r="C404" s="8" t="str">
        <f>G404&amp;", "&amp;O404&amp;", "&amp;N404</f>
        <v>Sello anular, 6H-9691, CATERPILLAR</v>
      </c>
      <c r="D404" s="21" t="s">
        <v>66</v>
      </c>
      <c r="E404" s="21" t="s">
        <v>21</v>
      </c>
      <c r="F404" s="7" t="s">
        <v>22</v>
      </c>
      <c r="G404" s="7" t="s">
        <v>971</v>
      </c>
      <c r="J404" s="7" t="s">
        <v>28</v>
      </c>
      <c r="L404" s="42">
        <v>1.54</v>
      </c>
      <c r="M404" s="7" t="s">
        <v>23</v>
      </c>
      <c r="N404" s="7" t="s">
        <v>24</v>
      </c>
      <c r="O404" t="s">
        <v>959</v>
      </c>
      <c r="P404" s="29"/>
    </row>
    <row r="405" spans="1:16" s="24" customFormat="1" ht="14.25" customHeight="1" x14ac:dyDescent="0.3">
      <c r="A405" s="23" t="s">
        <v>1300</v>
      </c>
      <c r="C405" s="25" t="str">
        <f>G405&amp;", "&amp;O405&amp;", "&amp;N405</f>
        <v>Sello anular, EH7190, KOMATSU</v>
      </c>
      <c r="D405" s="32" t="s">
        <v>67</v>
      </c>
      <c r="E405" s="32" t="s">
        <v>21</v>
      </c>
      <c r="F405" s="26" t="s">
        <v>22</v>
      </c>
      <c r="G405" s="26" t="s">
        <v>971</v>
      </c>
      <c r="J405" s="26" t="s">
        <v>28</v>
      </c>
      <c r="L405" s="43">
        <v>10.14</v>
      </c>
      <c r="M405" s="26" t="s">
        <v>23</v>
      </c>
      <c r="N405" s="26" t="s">
        <v>30</v>
      </c>
      <c r="O405" s="24" t="s">
        <v>960</v>
      </c>
      <c r="P405" s="30" t="s">
        <v>1318</v>
      </c>
    </row>
    <row r="406" spans="1:16" s="24" customFormat="1" ht="14.25" customHeight="1" x14ac:dyDescent="0.3">
      <c r="A406" s="23" t="s">
        <v>1300</v>
      </c>
      <c r="C406" s="25" t="str">
        <f>G406&amp;", "&amp;O406&amp;", "&amp;N406</f>
        <v>Sello anular, EH-7190, KOMATSU</v>
      </c>
      <c r="D406" s="32" t="s">
        <v>68</v>
      </c>
      <c r="E406" s="32" t="s">
        <v>21</v>
      </c>
      <c r="F406" s="26" t="s">
        <v>22</v>
      </c>
      <c r="G406" s="26" t="s">
        <v>971</v>
      </c>
      <c r="J406" s="26" t="s">
        <v>28</v>
      </c>
      <c r="L406" s="43">
        <v>10.14</v>
      </c>
      <c r="M406" s="26" t="s">
        <v>23</v>
      </c>
      <c r="N406" s="26" t="s">
        <v>30</v>
      </c>
      <c r="O406" s="24" t="s">
        <v>961</v>
      </c>
      <c r="P406" s="30" t="s">
        <v>1318</v>
      </c>
    </row>
    <row r="407" spans="1:16" ht="14.25" customHeight="1" x14ac:dyDescent="0.3">
      <c r="A407" s="18" t="s">
        <v>1300</v>
      </c>
      <c r="C407" s="8" t="str">
        <f>G407&amp;", "&amp;O407&amp;", "&amp;N407</f>
        <v>Sello anular, EH-7192, KOMATSU</v>
      </c>
      <c r="D407" s="21" t="s">
        <v>69</v>
      </c>
      <c r="E407" s="21" t="s">
        <v>21</v>
      </c>
      <c r="F407" s="7" t="s">
        <v>22</v>
      </c>
      <c r="G407" s="7" t="s">
        <v>971</v>
      </c>
      <c r="J407" s="7" t="s">
        <v>28</v>
      </c>
      <c r="L407" s="42">
        <v>28.54</v>
      </c>
      <c r="M407" s="7" t="s">
        <v>23</v>
      </c>
      <c r="N407" s="7" t="s">
        <v>30</v>
      </c>
      <c r="O407" t="s">
        <v>962</v>
      </c>
      <c r="P407" s="29"/>
    </row>
    <row r="408" spans="1:16" s="24" customFormat="1" ht="14.25" customHeight="1" x14ac:dyDescent="0.3">
      <c r="A408" s="23" t="s">
        <v>1300</v>
      </c>
      <c r="C408" s="25" t="str">
        <f>G408&amp;", "&amp;O408&amp;", "&amp;N408</f>
        <v>Sello anular, EH7194, KOMATSU</v>
      </c>
      <c r="D408" s="32" t="s">
        <v>70</v>
      </c>
      <c r="E408" s="32" t="s">
        <v>21</v>
      </c>
      <c r="F408" s="26" t="s">
        <v>22</v>
      </c>
      <c r="G408" s="26" t="s">
        <v>971</v>
      </c>
      <c r="J408" s="26" t="s">
        <v>28</v>
      </c>
      <c r="L408" s="43">
        <v>69.855000000000004</v>
      </c>
      <c r="M408" s="26" t="s">
        <v>23</v>
      </c>
      <c r="N408" s="26" t="s">
        <v>30</v>
      </c>
      <c r="O408" s="24" t="s">
        <v>963</v>
      </c>
      <c r="P408" s="30" t="s">
        <v>1318</v>
      </c>
    </row>
    <row r="409" spans="1:16" s="24" customFormat="1" ht="14.25" customHeight="1" x14ac:dyDescent="0.3">
      <c r="A409" s="23" t="s">
        <v>1300</v>
      </c>
      <c r="C409" s="25" t="str">
        <f>G409&amp;", "&amp;O409&amp;", "&amp;N409</f>
        <v>Sello anular, EH-7194, KOMATSU</v>
      </c>
      <c r="D409" s="32" t="s">
        <v>71</v>
      </c>
      <c r="E409" s="32" t="s">
        <v>21</v>
      </c>
      <c r="F409" s="26" t="s">
        <v>22</v>
      </c>
      <c r="G409" s="26" t="s">
        <v>971</v>
      </c>
      <c r="J409" s="26" t="s">
        <v>28</v>
      </c>
      <c r="L409" s="43">
        <v>69.855000000000004</v>
      </c>
      <c r="M409" s="26" t="s">
        <v>23</v>
      </c>
      <c r="N409" s="26" t="s">
        <v>30</v>
      </c>
      <c r="O409" s="24" t="s">
        <v>964</v>
      </c>
      <c r="P409" s="30" t="s">
        <v>1318</v>
      </c>
    </row>
    <row r="410" spans="1:16" ht="14.25" customHeight="1" x14ac:dyDescent="0.3">
      <c r="A410" s="18" t="s">
        <v>1300</v>
      </c>
      <c r="C410" s="8" t="str">
        <f>G410&amp;", "&amp;O410&amp;", "&amp;N410</f>
        <v>Sello anular, EH7195, KOMATSU</v>
      </c>
      <c r="D410" s="21" t="s">
        <v>72</v>
      </c>
      <c r="E410" s="21" t="s">
        <v>21</v>
      </c>
      <c r="F410" s="7" t="s">
        <v>22</v>
      </c>
      <c r="G410" s="7" t="s">
        <v>971</v>
      </c>
      <c r="J410" s="7" t="s">
        <v>28</v>
      </c>
      <c r="L410" s="42">
        <v>107.4</v>
      </c>
      <c r="M410" s="7" t="s">
        <v>23</v>
      </c>
      <c r="N410" s="7" t="s">
        <v>30</v>
      </c>
      <c r="O410" t="s">
        <v>965</v>
      </c>
      <c r="P410" s="29"/>
    </row>
    <row r="411" spans="1:16" ht="14.25" customHeight="1" x14ac:dyDescent="0.3">
      <c r="A411" s="18" t="s">
        <v>1300</v>
      </c>
      <c r="C411" s="8" t="str">
        <f>G411&amp;", "&amp;O411&amp;", "&amp;N411</f>
        <v>Sello anular, EK3776, KOMATSU</v>
      </c>
      <c r="D411" s="21" t="s">
        <v>73</v>
      </c>
      <c r="E411" s="21" t="s">
        <v>21</v>
      </c>
      <c r="F411" s="7" t="s">
        <v>22</v>
      </c>
      <c r="G411" s="7" t="s">
        <v>971</v>
      </c>
      <c r="J411" s="7" t="s">
        <v>28</v>
      </c>
      <c r="L411" s="42" t="s">
        <v>19</v>
      </c>
      <c r="M411" s="7" t="s">
        <v>23</v>
      </c>
      <c r="N411" s="7" t="s">
        <v>30</v>
      </c>
      <c r="O411" t="s">
        <v>966</v>
      </c>
      <c r="P411" s="29"/>
    </row>
    <row r="412" spans="1:16" ht="14.25" customHeight="1" x14ac:dyDescent="0.3">
      <c r="A412" s="18" t="s">
        <v>1300</v>
      </c>
      <c r="C412" s="8" t="str">
        <f>G412&amp;", "&amp;O412&amp;", "&amp;N412</f>
        <v>Sello anular, VG9098, KOMATSU</v>
      </c>
      <c r="D412" s="21" t="s">
        <v>74</v>
      </c>
      <c r="E412" s="21" t="s">
        <v>21</v>
      </c>
      <c r="F412" s="7" t="s">
        <v>22</v>
      </c>
      <c r="G412" s="7" t="s">
        <v>971</v>
      </c>
      <c r="J412" s="7" t="s">
        <v>28</v>
      </c>
      <c r="L412" s="42" t="s">
        <v>19</v>
      </c>
      <c r="M412" s="7" t="s">
        <v>23</v>
      </c>
      <c r="N412" s="7" t="s">
        <v>30</v>
      </c>
      <c r="O412" t="s">
        <v>967</v>
      </c>
      <c r="P412" s="29"/>
    </row>
    <row r="413" spans="1:16" ht="14.25" customHeight="1" x14ac:dyDescent="0.3">
      <c r="A413" s="18" t="s">
        <v>1300</v>
      </c>
      <c r="C413" s="8" t="str">
        <f>G413&amp;", "&amp;O413&amp;", "&amp;N413</f>
        <v>Sello anular, WA0443, KOMATSU</v>
      </c>
      <c r="D413" s="21" t="s">
        <v>75</v>
      </c>
      <c r="E413" s="21" t="s">
        <v>21</v>
      </c>
      <c r="F413" s="7" t="s">
        <v>22</v>
      </c>
      <c r="G413" s="7" t="s">
        <v>971</v>
      </c>
      <c r="J413" s="7" t="s">
        <v>28</v>
      </c>
      <c r="L413" s="42">
        <v>1.7549999999999999</v>
      </c>
      <c r="M413" s="7" t="s">
        <v>23</v>
      </c>
      <c r="N413" s="7" t="s">
        <v>30</v>
      </c>
      <c r="O413" t="s">
        <v>968</v>
      </c>
      <c r="P413" s="29"/>
    </row>
    <row r="414" spans="1:16" ht="14.25" customHeight="1" x14ac:dyDescent="0.3">
      <c r="A414" s="18" t="s">
        <v>1300</v>
      </c>
      <c r="C414" s="8" t="str">
        <f>G414&amp;", "&amp;O414&amp;", "&amp;N414</f>
        <v>Sello anular, WA0456, KOMATSU</v>
      </c>
      <c r="D414" s="21" t="s">
        <v>76</v>
      </c>
      <c r="E414" s="21" t="s">
        <v>21</v>
      </c>
      <c r="F414" s="7" t="s">
        <v>22</v>
      </c>
      <c r="G414" s="7" t="s">
        <v>971</v>
      </c>
      <c r="J414" s="7" t="s">
        <v>28</v>
      </c>
      <c r="L414" s="42" t="s">
        <v>19</v>
      </c>
      <c r="M414" s="7" t="s">
        <v>23</v>
      </c>
      <c r="N414" s="7" t="s">
        <v>30</v>
      </c>
      <c r="O414" t="s">
        <v>969</v>
      </c>
      <c r="P414" s="29"/>
    </row>
    <row r="415" spans="1:16" ht="14.25" customHeight="1" x14ac:dyDescent="0.3">
      <c r="A415" s="18" t="s">
        <v>1300</v>
      </c>
      <c r="C415" s="8" t="str">
        <f>G415&amp;", "&amp;O415&amp;", "&amp;N415</f>
        <v>Pasador, 0S-0130, CATERPILLAR</v>
      </c>
      <c r="D415" s="21" t="s">
        <v>77</v>
      </c>
      <c r="E415" s="21" t="s">
        <v>21</v>
      </c>
      <c r="F415" s="7" t="s">
        <v>22</v>
      </c>
      <c r="G415" s="7" t="s">
        <v>975</v>
      </c>
      <c r="J415" s="7" t="s">
        <v>28</v>
      </c>
      <c r="L415" s="42">
        <v>11.1</v>
      </c>
      <c r="M415" s="7" t="s">
        <v>23</v>
      </c>
      <c r="N415" s="7" t="s">
        <v>24</v>
      </c>
      <c r="O415" t="s">
        <v>972</v>
      </c>
      <c r="P415" s="29"/>
    </row>
    <row r="416" spans="1:16" ht="14.25" customHeight="1" x14ac:dyDescent="0.3">
      <c r="A416" s="18" t="s">
        <v>1300</v>
      </c>
      <c r="C416" s="8" t="str">
        <f>G416&amp;", "&amp;O416&amp;", "&amp;N416</f>
        <v>Pasador, 3B-4629, CATERPILLAR</v>
      </c>
      <c r="D416" s="21" t="s">
        <v>78</v>
      </c>
      <c r="E416" s="21" t="s">
        <v>21</v>
      </c>
      <c r="F416" s="7" t="s">
        <v>22</v>
      </c>
      <c r="G416" s="7" t="s">
        <v>975</v>
      </c>
      <c r="J416" s="7" t="s">
        <v>28</v>
      </c>
      <c r="L416" s="42">
        <v>0.62</v>
      </c>
      <c r="M416" s="7" t="s">
        <v>23</v>
      </c>
      <c r="N416" s="7" t="s">
        <v>24</v>
      </c>
      <c r="O416" t="s">
        <v>973</v>
      </c>
      <c r="P416" s="29"/>
    </row>
    <row r="417" spans="1:16" ht="14.25" customHeight="1" x14ac:dyDescent="0.3">
      <c r="A417" s="18" t="s">
        <v>1300</v>
      </c>
      <c r="C417" s="8" t="str">
        <f>G417&amp;", "&amp;O417&amp;", "&amp;N417</f>
        <v>Pasador, 6M-9155, CATERPILLAR</v>
      </c>
      <c r="D417" s="21" t="s">
        <v>79</v>
      </c>
      <c r="E417" s="21" t="s">
        <v>21</v>
      </c>
      <c r="F417" s="7" t="s">
        <v>22</v>
      </c>
      <c r="G417" s="7" t="s">
        <v>975</v>
      </c>
      <c r="J417" s="7" t="s">
        <v>28</v>
      </c>
      <c r="L417" s="42">
        <v>10.95</v>
      </c>
      <c r="M417" s="7" t="s">
        <v>23</v>
      </c>
      <c r="N417" s="7" t="s">
        <v>24</v>
      </c>
      <c r="O417" t="s">
        <v>974</v>
      </c>
      <c r="P417" s="29"/>
    </row>
    <row r="418" spans="1:16" ht="14.25" customHeight="1" x14ac:dyDescent="0.3">
      <c r="A418" s="18" t="s">
        <v>1300</v>
      </c>
      <c r="C418" s="8" t="str">
        <f>G418&amp;", "&amp;O418&amp;", "&amp;N418</f>
        <v>Perno, 290-7515, CATERPILLAR</v>
      </c>
      <c r="D418" s="21" t="s">
        <v>80</v>
      </c>
      <c r="E418" s="21" t="s">
        <v>21</v>
      </c>
      <c r="F418" s="7" t="s">
        <v>22</v>
      </c>
      <c r="G418" s="7" t="s">
        <v>984</v>
      </c>
      <c r="J418" s="7" t="s">
        <v>28</v>
      </c>
      <c r="L418" s="42">
        <v>8.82</v>
      </c>
      <c r="M418" s="7" t="s">
        <v>23</v>
      </c>
      <c r="N418" s="7" t="s">
        <v>24</v>
      </c>
      <c r="O418" t="s">
        <v>977</v>
      </c>
      <c r="P418" s="29"/>
    </row>
    <row r="419" spans="1:16" ht="14.25" customHeight="1" x14ac:dyDescent="0.3">
      <c r="A419" s="18" t="s">
        <v>1300</v>
      </c>
      <c r="C419" s="8" t="str">
        <f>G419&amp;", "&amp;O419&amp;", "&amp;N419</f>
        <v>Perno, 2D-4534, CATERPILLAR</v>
      </c>
      <c r="D419" s="21" t="s">
        <v>81</v>
      </c>
      <c r="E419" s="21" t="s">
        <v>21</v>
      </c>
      <c r="F419" s="7" t="s">
        <v>22</v>
      </c>
      <c r="G419" s="7" t="s">
        <v>984</v>
      </c>
      <c r="J419" s="7" t="s">
        <v>28</v>
      </c>
      <c r="L419" s="42">
        <v>7.38</v>
      </c>
      <c r="M419" s="7" t="s">
        <v>23</v>
      </c>
      <c r="N419" s="7" t="s">
        <v>24</v>
      </c>
      <c r="O419" t="s">
        <v>978</v>
      </c>
      <c r="P419" s="29"/>
    </row>
    <row r="420" spans="1:16" ht="14.25" customHeight="1" x14ac:dyDescent="0.3">
      <c r="A420" s="18" t="s">
        <v>1300</v>
      </c>
      <c r="C420" s="8" t="str">
        <f>G420&amp;", "&amp;O420&amp;", "&amp;N420</f>
        <v>Perno, 357-6019, CATERPILLAR</v>
      </c>
      <c r="D420" s="21" t="s">
        <v>82</v>
      </c>
      <c r="E420" s="21" t="s">
        <v>21</v>
      </c>
      <c r="F420" s="7" t="s">
        <v>22</v>
      </c>
      <c r="G420" s="7" t="s">
        <v>984</v>
      </c>
      <c r="J420" s="7" t="s">
        <v>28</v>
      </c>
      <c r="L420" s="42">
        <v>6.87</v>
      </c>
      <c r="M420" s="7" t="s">
        <v>23</v>
      </c>
      <c r="N420" s="7" t="s">
        <v>24</v>
      </c>
      <c r="O420" t="s">
        <v>979</v>
      </c>
      <c r="P420" s="29"/>
    </row>
    <row r="421" spans="1:16" ht="14.25" customHeight="1" x14ac:dyDescent="0.3">
      <c r="A421" s="18" t="s">
        <v>1300</v>
      </c>
      <c r="C421" s="8" t="str">
        <f>G421&amp;", "&amp;O421&amp;", "&amp;N421</f>
        <v>Perno, 4S-5565, CATERPILLAR</v>
      </c>
      <c r="D421" s="21" t="s">
        <v>83</v>
      </c>
      <c r="E421" s="21" t="s">
        <v>21</v>
      </c>
      <c r="F421" s="7" t="s">
        <v>22</v>
      </c>
      <c r="G421" s="7" t="s">
        <v>984</v>
      </c>
      <c r="J421" s="7" t="s">
        <v>28</v>
      </c>
      <c r="L421" s="42" t="s">
        <v>1315</v>
      </c>
      <c r="M421" s="7" t="s">
        <v>23</v>
      </c>
      <c r="N421" s="7" t="s">
        <v>24</v>
      </c>
      <c r="O421" t="s">
        <v>980</v>
      </c>
      <c r="P421" s="29"/>
    </row>
    <row r="422" spans="1:16" ht="14.25" customHeight="1" x14ac:dyDescent="0.3">
      <c r="A422" s="18" t="s">
        <v>1300</v>
      </c>
      <c r="C422" s="8" t="str">
        <f>G422&amp;", "&amp;O422&amp;", "&amp;N422</f>
        <v>Perno, 6V-5696, CATERPILLAR</v>
      </c>
      <c r="D422" s="21" t="s">
        <v>84</v>
      </c>
      <c r="E422" s="21" t="s">
        <v>21</v>
      </c>
      <c r="F422" s="7" t="s">
        <v>22</v>
      </c>
      <c r="G422" s="7" t="s">
        <v>984</v>
      </c>
      <c r="J422" s="7" t="s">
        <v>28</v>
      </c>
      <c r="L422" s="42">
        <v>3.9</v>
      </c>
      <c r="M422" s="7" t="s">
        <v>23</v>
      </c>
      <c r="N422" s="7" t="s">
        <v>24</v>
      </c>
      <c r="O422" t="s">
        <v>981</v>
      </c>
      <c r="P422" s="29"/>
    </row>
    <row r="423" spans="1:16" ht="14.25" customHeight="1" x14ac:dyDescent="0.3">
      <c r="A423" s="18" t="s">
        <v>1300</v>
      </c>
      <c r="C423" s="8" t="str">
        <f>G423&amp;", "&amp;O423&amp;", "&amp;N423</f>
        <v>Perno, 8T-0644, CATERPILLAR</v>
      </c>
      <c r="D423" s="21" t="s">
        <v>85</v>
      </c>
      <c r="E423" s="21" t="s">
        <v>21</v>
      </c>
      <c r="F423" s="7" t="s">
        <v>22</v>
      </c>
      <c r="G423" s="7" t="s">
        <v>984</v>
      </c>
      <c r="J423" s="7" t="s">
        <v>28</v>
      </c>
      <c r="L423" s="42">
        <v>3.1</v>
      </c>
      <c r="M423" s="7" t="s">
        <v>23</v>
      </c>
      <c r="N423" s="7" t="s">
        <v>24</v>
      </c>
      <c r="O423" t="s">
        <v>982</v>
      </c>
      <c r="P423" s="29"/>
    </row>
    <row r="424" spans="1:16" ht="14.25" customHeight="1" x14ac:dyDescent="0.3">
      <c r="A424" s="18" t="s">
        <v>1300</v>
      </c>
      <c r="C424" s="8" t="str">
        <f>G424&amp;", "&amp;O424&amp;", "&amp;N424</f>
        <v>Perno, 8T-4184, CATERPILLAR</v>
      </c>
      <c r="D424" s="21" t="s">
        <v>86</v>
      </c>
      <c r="E424" s="21" t="s">
        <v>21</v>
      </c>
      <c r="F424" s="7" t="s">
        <v>22</v>
      </c>
      <c r="G424" s="7" t="s">
        <v>984</v>
      </c>
      <c r="J424" s="7" t="s">
        <v>28</v>
      </c>
      <c r="L424" s="42">
        <v>3.23</v>
      </c>
      <c r="M424" s="7" t="s">
        <v>23</v>
      </c>
      <c r="N424" s="7" t="s">
        <v>24</v>
      </c>
      <c r="O424" t="s">
        <v>983</v>
      </c>
      <c r="P424" s="29"/>
    </row>
    <row r="425" spans="1:16" ht="14.25" customHeight="1" x14ac:dyDescent="0.3">
      <c r="A425" s="18" t="s">
        <v>1300</v>
      </c>
      <c r="C425" s="8" t="str">
        <f>G425&amp;", "&amp;O425&amp;", "&amp;N425</f>
        <v>Perno, 5M-0544, CATERPILLAR</v>
      </c>
      <c r="D425" s="21" t="s">
        <v>87</v>
      </c>
      <c r="E425" s="21" t="s">
        <v>21</v>
      </c>
      <c r="F425" s="7" t="s">
        <v>22</v>
      </c>
      <c r="G425" s="7" t="s">
        <v>984</v>
      </c>
      <c r="J425" s="7" t="s">
        <v>28</v>
      </c>
      <c r="L425" s="42">
        <v>30.59</v>
      </c>
      <c r="M425" s="7" t="s">
        <v>23</v>
      </c>
      <c r="N425" s="7" t="s">
        <v>24</v>
      </c>
      <c r="O425" t="s">
        <v>985</v>
      </c>
      <c r="P425" s="29"/>
    </row>
    <row r="426" spans="1:16" ht="14.25" customHeight="1" x14ac:dyDescent="0.3">
      <c r="A426" s="18" t="s">
        <v>1300</v>
      </c>
      <c r="C426" s="8" t="str">
        <f>G426&amp;", "&amp;O426&amp;", "&amp;N426</f>
        <v>Perno, 109-1393, CATERPILLAR</v>
      </c>
      <c r="D426" s="21" t="s">
        <v>88</v>
      </c>
      <c r="E426" s="21" t="s">
        <v>21</v>
      </c>
      <c r="F426" s="7" t="s">
        <v>22</v>
      </c>
      <c r="G426" s="7" t="s">
        <v>984</v>
      </c>
      <c r="J426" s="7" t="s">
        <v>28</v>
      </c>
      <c r="L426" s="42">
        <v>0.23</v>
      </c>
      <c r="M426" s="7" t="s">
        <v>23</v>
      </c>
      <c r="N426" s="7" t="s">
        <v>24</v>
      </c>
      <c r="O426" t="s">
        <v>986</v>
      </c>
      <c r="P426" s="29"/>
    </row>
    <row r="427" spans="1:16" ht="14.25" customHeight="1" x14ac:dyDescent="0.3">
      <c r="A427" s="18" t="s">
        <v>1300</v>
      </c>
      <c r="C427" s="8" t="str">
        <f>G427&amp;", "&amp;O427&amp;", "&amp;N427</f>
        <v>Perno, 8T-8894, CATERPILLAR</v>
      </c>
      <c r="D427" s="21" t="s">
        <v>89</v>
      </c>
      <c r="E427" s="21" t="s">
        <v>21</v>
      </c>
      <c r="F427" s="7" t="s">
        <v>22</v>
      </c>
      <c r="G427" s="7" t="s">
        <v>984</v>
      </c>
      <c r="J427" s="7" t="s">
        <v>28</v>
      </c>
      <c r="L427" s="42">
        <v>5.0999999999999996</v>
      </c>
      <c r="M427" s="7" t="s">
        <v>23</v>
      </c>
      <c r="N427" s="7" t="s">
        <v>24</v>
      </c>
      <c r="O427" t="s">
        <v>987</v>
      </c>
      <c r="P427" s="29"/>
    </row>
    <row r="428" spans="1:16" ht="14.25" customHeight="1" x14ac:dyDescent="0.3">
      <c r="A428" s="18" t="s">
        <v>1300</v>
      </c>
      <c r="C428" s="8" t="str">
        <f>G428&amp;", "&amp;O428&amp;", "&amp;N428</f>
        <v>Perno, EH-0826, KOMATSU</v>
      </c>
      <c r="D428" s="21" t="s">
        <v>90</v>
      </c>
      <c r="E428" s="21" t="s">
        <v>21</v>
      </c>
      <c r="F428" s="7" t="s">
        <v>22</v>
      </c>
      <c r="G428" s="7" t="s">
        <v>984</v>
      </c>
      <c r="J428" s="7" t="s">
        <v>28</v>
      </c>
      <c r="L428" s="42">
        <v>18.739999999999998</v>
      </c>
      <c r="M428" s="7" t="s">
        <v>23</v>
      </c>
      <c r="N428" s="7" t="s">
        <v>30</v>
      </c>
      <c r="O428" t="s">
        <v>989</v>
      </c>
      <c r="P428" s="29"/>
    </row>
    <row r="429" spans="1:16" ht="14.25" customHeight="1" x14ac:dyDescent="0.3">
      <c r="A429" s="18" t="s">
        <v>1300</v>
      </c>
      <c r="C429" s="8" t="str">
        <f>G429&amp;", "&amp;O429&amp;", "&amp;N429</f>
        <v>Perno, VL-1222, KOMATSU</v>
      </c>
      <c r="D429" s="21" t="s">
        <v>91</v>
      </c>
      <c r="E429" s="21" t="s">
        <v>21</v>
      </c>
      <c r="F429" s="7" t="s">
        <v>22</v>
      </c>
      <c r="G429" s="7" t="s">
        <v>984</v>
      </c>
      <c r="J429" s="7" t="s">
        <v>28</v>
      </c>
      <c r="L429" s="42" t="s">
        <v>19</v>
      </c>
      <c r="M429" s="7" t="s">
        <v>23</v>
      </c>
      <c r="N429" s="7" t="s">
        <v>30</v>
      </c>
      <c r="O429" t="s">
        <v>990</v>
      </c>
      <c r="P429" s="29"/>
    </row>
    <row r="430" spans="1:16" ht="14.25" customHeight="1" x14ac:dyDescent="0.3">
      <c r="A430" s="18" t="s">
        <v>1300</v>
      </c>
      <c r="C430" s="8" t="str">
        <f>G430&amp;", "&amp;O430&amp;", "&amp;N430</f>
        <v>Perno, VN9141, KOMATSU</v>
      </c>
      <c r="D430" s="21" t="s">
        <v>92</v>
      </c>
      <c r="E430" s="21" t="s">
        <v>21</v>
      </c>
      <c r="F430" s="7" t="s">
        <v>22</v>
      </c>
      <c r="G430" s="7" t="s">
        <v>984</v>
      </c>
      <c r="J430" s="7" t="s">
        <v>28</v>
      </c>
      <c r="L430" s="42">
        <v>10.98</v>
      </c>
      <c r="M430" s="7" t="s">
        <v>23</v>
      </c>
      <c r="N430" s="7" t="s">
        <v>30</v>
      </c>
      <c r="O430" t="s">
        <v>991</v>
      </c>
      <c r="P430" s="29"/>
    </row>
    <row r="431" spans="1:16" ht="14.25" customHeight="1" x14ac:dyDescent="0.3">
      <c r="A431" s="18" t="s">
        <v>1300</v>
      </c>
      <c r="C431" s="8" t="str">
        <f>G431&amp;", "&amp;O431&amp;", "&amp;N431</f>
        <v>Perno, WA1589, KOMATSU</v>
      </c>
      <c r="D431" s="21" t="s">
        <v>93</v>
      </c>
      <c r="E431" s="21" t="s">
        <v>21</v>
      </c>
      <c r="F431" s="7" t="s">
        <v>22</v>
      </c>
      <c r="G431" s="7" t="s">
        <v>984</v>
      </c>
      <c r="J431" s="7" t="s">
        <v>28</v>
      </c>
      <c r="L431" s="42">
        <v>14.22</v>
      </c>
      <c r="M431" s="7" t="s">
        <v>23</v>
      </c>
      <c r="N431" s="7" t="s">
        <v>30</v>
      </c>
      <c r="O431" t="s">
        <v>992</v>
      </c>
      <c r="P431" s="29"/>
    </row>
    <row r="432" spans="1:16" ht="14.25" customHeight="1" x14ac:dyDescent="0.3">
      <c r="A432" s="18" t="s">
        <v>1300</v>
      </c>
      <c r="C432" s="8" t="str">
        <f>G432&amp;", "&amp;O432&amp;", "&amp;N432</f>
        <v>Perno, WA4817, KOMATSU</v>
      </c>
      <c r="D432" s="21" t="s">
        <v>94</v>
      </c>
      <c r="E432" s="21" t="s">
        <v>21</v>
      </c>
      <c r="F432" s="7" t="s">
        <v>22</v>
      </c>
      <c r="G432" s="7" t="s">
        <v>984</v>
      </c>
      <c r="J432" s="7" t="s">
        <v>28</v>
      </c>
      <c r="L432" s="42">
        <v>23.87</v>
      </c>
      <c r="M432" s="7" t="s">
        <v>23</v>
      </c>
      <c r="N432" s="7" t="s">
        <v>30</v>
      </c>
      <c r="O432" t="s">
        <v>993</v>
      </c>
      <c r="P432" s="29"/>
    </row>
    <row r="433" spans="1:16" ht="14.25" customHeight="1" x14ac:dyDescent="0.3">
      <c r="A433" s="18" t="s">
        <v>1300</v>
      </c>
      <c r="C433" s="8" t="str">
        <f>G433&amp;", "&amp;O433&amp;", "&amp;N433</f>
        <v>Perno, 3R-2300, CATERPILLAR</v>
      </c>
      <c r="D433" s="21" t="s">
        <v>95</v>
      </c>
      <c r="E433" s="21" t="s">
        <v>21</v>
      </c>
      <c r="F433" s="7" t="s">
        <v>22</v>
      </c>
      <c r="G433" s="7" t="s">
        <v>984</v>
      </c>
      <c r="J433" s="7" t="s">
        <v>28</v>
      </c>
      <c r="L433" s="42">
        <v>37.69</v>
      </c>
      <c r="M433" s="7" t="s">
        <v>23</v>
      </c>
      <c r="N433" s="7" t="s">
        <v>24</v>
      </c>
      <c r="O433" t="s">
        <v>988</v>
      </c>
      <c r="P433" s="29"/>
    </row>
    <row r="434" spans="1:16" ht="14.25" customHeight="1" x14ac:dyDescent="0.3">
      <c r="A434" s="18" t="s">
        <v>1300</v>
      </c>
      <c r="C434" s="8" t="str">
        <f>G434&amp;", "&amp;O434&amp;", "&amp;N434</f>
        <v>Perno, 8T-0283, CATERPILLAR</v>
      </c>
      <c r="D434" s="21" t="s">
        <v>96</v>
      </c>
      <c r="E434" s="21" t="s">
        <v>21</v>
      </c>
      <c r="F434" s="7" t="s">
        <v>22</v>
      </c>
      <c r="G434" s="7" t="s">
        <v>984</v>
      </c>
      <c r="J434" s="7" t="s">
        <v>28</v>
      </c>
      <c r="L434" s="42">
        <v>37.26</v>
      </c>
      <c r="M434" s="7" t="s">
        <v>23</v>
      </c>
      <c r="N434" s="7" t="s">
        <v>24</v>
      </c>
      <c r="O434" t="s">
        <v>994</v>
      </c>
      <c r="P434" s="29"/>
    </row>
    <row r="435" spans="1:16" ht="14.25" customHeight="1" x14ac:dyDescent="0.3">
      <c r="A435" s="18" t="s">
        <v>1300</v>
      </c>
      <c r="C435" s="8" t="str">
        <f>G435&amp;", "&amp;O435&amp;", "&amp;N435</f>
        <v>Pista, 199-4221, CATERPILLAR</v>
      </c>
      <c r="D435" s="21" t="s">
        <v>97</v>
      </c>
      <c r="E435" s="21" t="s">
        <v>21</v>
      </c>
      <c r="F435" s="7" t="s">
        <v>22</v>
      </c>
      <c r="G435" s="7" t="s">
        <v>998</v>
      </c>
      <c r="J435" s="7" t="s">
        <v>28</v>
      </c>
      <c r="L435" s="42" t="s">
        <v>1316</v>
      </c>
      <c r="M435" s="7" t="s">
        <v>23</v>
      </c>
      <c r="N435" s="7" t="s">
        <v>24</v>
      </c>
      <c r="O435" t="s">
        <v>995</v>
      </c>
      <c r="P435" s="29"/>
    </row>
    <row r="436" spans="1:16" ht="14.25" customHeight="1" x14ac:dyDescent="0.3">
      <c r="A436" s="18" t="s">
        <v>1300</v>
      </c>
      <c r="C436" s="8" t="str">
        <f>G436&amp;", "&amp;O436&amp;", "&amp;N436</f>
        <v>Pista, 249-3505, CATERPILLAR</v>
      </c>
      <c r="D436" s="21" t="s">
        <v>98</v>
      </c>
      <c r="E436" s="21" t="s">
        <v>21</v>
      </c>
      <c r="F436" s="7" t="s">
        <v>22</v>
      </c>
      <c r="G436" s="7" t="s">
        <v>998</v>
      </c>
      <c r="J436" s="7" t="s">
        <v>28</v>
      </c>
      <c r="L436" s="42">
        <v>58.57</v>
      </c>
      <c r="M436" s="7" t="s">
        <v>23</v>
      </c>
      <c r="N436" s="7" t="s">
        <v>24</v>
      </c>
      <c r="O436" t="s">
        <v>996</v>
      </c>
      <c r="P436" s="29"/>
    </row>
    <row r="437" spans="1:16" ht="14.25" customHeight="1" x14ac:dyDescent="0.3">
      <c r="A437" s="18" t="s">
        <v>1300</v>
      </c>
      <c r="C437" s="8" t="str">
        <f>G437&amp;", "&amp;O437&amp;", "&amp;N437</f>
        <v>Pista, 274-9256, CATERPILLAR</v>
      </c>
      <c r="D437" s="21" t="s">
        <v>99</v>
      </c>
      <c r="E437" s="21" t="s">
        <v>21</v>
      </c>
      <c r="F437" s="7" t="s">
        <v>22</v>
      </c>
      <c r="G437" s="7" t="s">
        <v>998</v>
      </c>
      <c r="J437" s="7" t="s">
        <v>28</v>
      </c>
      <c r="L437" s="42">
        <v>105.56</v>
      </c>
      <c r="M437" s="7" t="s">
        <v>23</v>
      </c>
      <c r="N437" s="7" t="s">
        <v>24</v>
      </c>
      <c r="O437" t="s">
        <v>997</v>
      </c>
      <c r="P437" s="29"/>
    </row>
    <row r="438" spans="1:16" ht="14.25" customHeight="1" x14ac:dyDescent="0.3">
      <c r="A438" s="18" t="s">
        <v>1300</v>
      </c>
      <c r="C438" s="8" t="str">
        <f>G438&amp;", "&amp;O438&amp;", "&amp;N438</f>
        <v>Conjunto de sello, 351-2190, CATERPILLAR</v>
      </c>
      <c r="D438" s="21" t="s">
        <v>100</v>
      </c>
      <c r="E438" s="21" t="s">
        <v>21</v>
      </c>
      <c r="F438" s="7" t="s">
        <v>22</v>
      </c>
      <c r="G438" s="7" t="s">
        <v>713</v>
      </c>
      <c r="J438" s="7" t="s">
        <v>28</v>
      </c>
      <c r="L438" s="42">
        <v>110.37</v>
      </c>
      <c r="M438" s="7" t="s">
        <v>23</v>
      </c>
      <c r="N438" s="7" t="s">
        <v>24</v>
      </c>
      <c r="O438" t="s">
        <v>1000</v>
      </c>
      <c r="P438" s="29"/>
    </row>
    <row r="439" spans="1:16" ht="14.25" customHeight="1" x14ac:dyDescent="0.3">
      <c r="A439" s="18" t="s">
        <v>1300</v>
      </c>
      <c r="C439" s="8" t="str">
        <f>G439&amp;", "&amp;O439&amp;", "&amp;N439</f>
        <v>Placa, 7D-7504, CATERPILLAR</v>
      </c>
      <c r="D439" s="21" t="s">
        <v>101</v>
      </c>
      <c r="E439" s="21" t="s">
        <v>21</v>
      </c>
      <c r="F439" s="7" t="s">
        <v>22</v>
      </c>
      <c r="G439" s="7" t="s">
        <v>1003</v>
      </c>
      <c r="J439" s="7" t="s">
        <v>28</v>
      </c>
      <c r="L439" s="42" t="s">
        <v>1317</v>
      </c>
      <c r="M439" s="7" t="s">
        <v>23</v>
      </c>
      <c r="N439" s="7" t="s">
        <v>24</v>
      </c>
      <c r="O439" t="s">
        <v>1001</v>
      </c>
      <c r="P439" s="29"/>
    </row>
    <row r="440" spans="1:16" ht="14.25" customHeight="1" x14ac:dyDescent="0.3">
      <c r="A440" s="18" t="s">
        <v>1300</v>
      </c>
      <c r="C440" s="8" t="str">
        <f>G440&amp;", "&amp;O440&amp;", "&amp;N440</f>
        <v>Placa, 212-0907, CATERPILLAR</v>
      </c>
      <c r="D440" s="21" t="s">
        <v>102</v>
      </c>
      <c r="E440" s="21" t="s">
        <v>21</v>
      </c>
      <c r="F440" s="7" t="s">
        <v>22</v>
      </c>
      <c r="G440" s="7" t="s">
        <v>1003</v>
      </c>
      <c r="J440" s="7" t="s">
        <v>28</v>
      </c>
      <c r="L440" s="42">
        <v>71.97</v>
      </c>
      <c r="M440" s="7" t="s">
        <v>23</v>
      </c>
      <c r="N440" s="7" t="s">
        <v>24</v>
      </c>
      <c r="O440" t="s">
        <v>1002</v>
      </c>
      <c r="P440" s="29"/>
    </row>
    <row r="441" spans="1:16" ht="14.25" customHeight="1" x14ac:dyDescent="0.3">
      <c r="A441" s="18" t="s">
        <v>1300</v>
      </c>
      <c r="C441" s="8" t="str">
        <f>G441&amp;", "&amp;O441&amp;", "&amp;N441</f>
        <v>Plate, 442-1902, CATERPILLAR</v>
      </c>
      <c r="D441" s="21" t="s">
        <v>103</v>
      </c>
      <c r="E441" s="21" t="s">
        <v>21</v>
      </c>
      <c r="F441" s="7" t="s">
        <v>22</v>
      </c>
      <c r="G441" s="7" t="s">
        <v>1010</v>
      </c>
      <c r="J441" s="7" t="s">
        <v>28</v>
      </c>
      <c r="L441" s="42">
        <v>1151.06</v>
      </c>
      <c r="M441" s="7" t="s">
        <v>23</v>
      </c>
      <c r="N441" s="7" t="s">
        <v>24</v>
      </c>
      <c r="O441" t="s">
        <v>1005</v>
      </c>
      <c r="P441" s="29"/>
    </row>
    <row r="442" spans="1:16" ht="14.25" customHeight="1" x14ac:dyDescent="0.3">
      <c r="A442" s="18" t="s">
        <v>1300</v>
      </c>
      <c r="C442" s="8" t="str">
        <f>G442&amp;", "&amp;O442&amp;", "&amp;N442</f>
        <v>Plate, 442-1905, CATERPILLAR</v>
      </c>
      <c r="D442" s="21" t="s">
        <v>104</v>
      </c>
      <c r="E442" s="21" t="s">
        <v>21</v>
      </c>
      <c r="F442" s="7" t="s">
        <v>22</v>
      </c>
      <c r="G442" s="7" t="s">
        <v>1010</v>
      </c>
      <c r="J442" s="7" t="s">
        <v>28</v>
      </c>
      <c r="L442" s="42">
        <v>1713.56</v>
      </c>
      <c r="M442" s="7" t="s">
        <v>23</v>
      </c>
      <c r="N442" s="7" t="s">
        <v>24</v>
      </c>
      <c r="O442" t="s">
        <v>1006</v>
      </c>
      <c r="P442" s="29"/>
    </row>
    <row r="443" spans="1:16" ht="14.25" customHeight="1" x14ac:dyDescent="0.3">
      <c r="A443" s="18" t="s">
        <v>1300</v>
      </c>
      <c r="C443" s="8" t="str">
        <f>G443&amp;", "&amp;O443&amp;", "&amp;N443</f>
        <v>Plate, 9T-5505, CATERPILLAR</v>
      </c>
      <c r="D443" s="21" t="s">
        <v>105</v>
      </c>
      <c r="E443" s="21" t="s">
        <v>21</v>
      </c>
      <c r="F443" s="7" t="s">
        <v>22</v>
      </c>
      <c r="G443" s="7" t="s">
        <v>1010</v>
      </c>
      <c r="J443" s="7" t="s">
        <v>28</v>
      </c>
      <c r="L443" s="42">
        <v>6.93</v>
      </c>
      <c r="M443" s="7" t="s">
        <v>23</v>
      </c>
      <c r="N443" s="7" t="s">
        <v>24</v>
      </c>
      <c r="O443" t="s">
        <v>1007</v>
      </c>
      <c r="P443" s="29"/>
    </row>
    <row r="444" spans="1:16" ht="14.25" customHeight="1" x14ac:dyDescent="0.3">
      <c r="A444" s="18" t="s">
        <v>1300</v>
      </c>
      <c r="C444" s="8" t="str">
        <f>G444&amp;", "&amp;O444&amp;", "&amp;N444</f>
        <v>Plate, EH-5306, KOMATSU</v>
      </c>
      <c r="D444" s="21" t="s">
        <v>106</v>
      </c>
      <c r="E444" s="21" t="s">
        <v>21</v>
      </c>
      <c r="F444" s="7" t="s">
        <v>22</v>
      </c>
      <c r="G444" s="7" t="s">
        <v>1010</v>
      </c>
      <c r="J444" s="7" t="s">
        <v>28</v>
      </c>
      <c r="L444" s="42">
        <v>18.739999999999998</v>
      </c>
      <c r="M444" s="7" t="s">
        <v>23</v>
      </c>
      <c r="N444" s="7" t="s">
        <v>30</v>
      </c>
      <c r="O444" t="s">
        <v>1008</v>
      </c>
      <c r="P444" s="29"/>
    </row>
    <row r="445" spans="1:16" ht="14.25" customHeight="1" x14ac:dyDescent="0.3">
      <c r="A445" s="18" t="s">
        <v>1300</v>
      </c>
      <c r="C445" s="8" t="str">
        <f>G445&amp;", "&amp;O445&amp;", "&amp;N445</f>
        <v>Plate, EM8365, KOMATSU</v>
      </c>
      <c r="D445" s="21" t="s">
        <v>107</v>
      </c>
      <c r="E445" s="21" t="s">
        <v>21</v>
      </c>
      <c r="F445" s="7" t="s">
        <v>22</v>
      </c>
      <c r="G445" s="7" t="s">
        <v>1010</v>
      </c>
      <c r="J445" s="7" t="s">
        <v>28</v>
      </c>
      <c r="L445" s="42" t="s">
        <v>19</v>
      </c>
      <c r="M445" s="7" t="s">
        <v>23</v>
      </c>
      <c r="N445" s="7" t="s">
        <v>30</v>
      </c>
      <c r="O445" t="s">
        <v>1011</v>
      </c>
      <c r="P445" s="29"/>
    </row>
    <row r="446" spans="1:16" ht="14.25" customHeight="1" x14ac:dyDescent="0.3">
      <c r="A446" s="18" t="s">
        <v>1300</v>
      </c>
      <c r="C446" s="8" t="str">
        <f>G446&amp;", "&amp;O446&amp;", "&amp;N446</f>
        <v>Plug, 07043-00108, KOMATSU</v>
      </c>
      <c r="D446" s="21" t="s">
        <v>108</v>
      </c>
      <c r="E446" s="21" t="s">
        <v>21</v>
      </c>
      <c r="F446" s="7" t="s">
        <v>22</v>
      </c>
      <c r="G446" s="7" t="s">
        <v>1015</v>
      </c>
      <c r="J446" s="7" t="s">
        <v>28</v>
      </c>
      <c r="L446" s="42">
        <v>7.08</v>
      </c>
      <c r="M446" s="7" t="s">
        <v>23</v>
      </c>
      <c r="N446" s="7" t="s">
        <v>30</v>
      </c>
      <c r="O446" t="s">
        <v>1012</v>
      </c>
      <c r="P446" s="29"/>
    </row>
    <row r="447" spans="1:16" ht="14.25" customHeight="1" x14ac:dyDescent="0.3">
      <c r="A447" s="18" t="s">
        <v>1300</v>
      </c>
      <c r="C447" s="8" t="str">
        <f>G447&amp;", "&amp;O447&amp;", "&amp;N447</f>
        <v>Plug, 9S-8004, CATERPILLAR</v>
      </c>
      <c r="D447" s="21" t="s">
        <v>109</v>
      </c>
      <c r="E447" s="21" t="s">
        <v>21</v>
      </c>
      <c r="F447" s="7" t="s">
        <v>22</v>
      </c>
      <c r="G447" s="7" t="s">
        <v>1015</v>
      </c>
      <c r="J447" s="7" t="s">
        <v>28</v>
      </c>
      <c r="L447" s="42">
        <v>15.51</v>
      </c>
      <c r="M447" s="7" t="s">
        <v>23</v>
      </c>
      <c r="N447" s="7" t="s">
        <v>24</v>
      </c>
      <c r="O447" t="s">
        <v>1013</v>
      </c>
      <c r="P447" s="29"/>
    </row>
    <row r="448" spans="1:16" ht="14.25" customHeight="1" x14ac:dyDescent="0.3">
      <c r="A448" s="18" t="s">
        <v>1300</v>
      </c>
      <c r="C448" s="8" t="str">
        <f>G448&amp;", "&amp;O448&amp;", "&amp;N448</f>
        <v>Plug, TY8879, KOMATSU</v>
      </c>
      <c r="D448" s="21" t="s">
        <v>110</v>
      </c>
      <c r="E448" s="21" t="s">
        <v>21</v>
      </c>
      <c r="F448" s="7" t="s">
        <v>22</v>
      </c>
      <c r="G448" s="7" t="s">
        <v>1015</v>
      </c>
      <c r="J448" s="7" t="s">
        <v>28</v>
      </c>
      <c r="L448" s="42">
        <v>27.765000000000001</v>
      </c>
      <c r="M448" s="7" t="s">
        <v>23</v>
      </c>
      <c r="N448" s="7" t="s">
        <v>30</v>
      </c>
      <c r="O448" t="s">
        <v>47</v>
      </c>
      <c r="P448" s="29"/>
    </row>
    <row r="449" spans="1:16" ht="14.25" customHeight="1" x14ac:dyDescent="0.3">
      <c r="A449" s="18" t="s">
        <v>1300</v>
      </c>
      <c r="C449" s="8" t="str">
        <f>G449&amp;", "&amp;O449&amp;", "&amp;N449</f>
        <v>Plug, VM0313, KOMATSU</v>
      </c>
      <c r="D449" s="21" t="s">
        <v>111</v>
      </c>
      <c r="E449" s="21" t="s">
        <v>21</v>
      </c>
      <c r="F449" s="7" t="s">
        <v>22</v>
      </c>
      <c r="G449" s="7" t="s">
        <v>1015</v>
      </c>
      <c r="J449" s="7" t="s">
        <v>28</v>
      </c>
      <c r="L449" s="42">
        <v>2.355</v>
      </c>
      <c r="M449" s="7" t="s">
        <v>23</v>
      </c>
      <c r="N449" s="7" t="s">
        <v>30</v>
      </c>
      <c r="O449" t="s">
        <v>1014</v>
      </c>
      <c r="P449" s="29"/>
    </row>
    <row r="450" spans="1:16" s="24" customFormat="1" ht="14.25" customHeight="1" x14ac:dyDescent="0.3">
      <c r="A450" s="23" t="s">
        <v>1300</v>
      </c>
      <c r="C450" s="25" t="str">
        <f>G450&amp;", "&amp;O450&amp;", "&amp;N450</f>
        <v>Plug, WB-1199, KOMATSU</v>
      </c>
      <c r="D450" s="32" t="s">
        <v>112</v>
      </c>
      <c r="E450" s="32" t="s">
        <v>21</v>
      </c>
      <c r="F450" s="26" t="s">
        <v>22</v>
      </c>
      <c r="G450" s="26" t="s">
        <v>1015</v>
      </c>
      <c r="J450" s="26" t="s">
        <v>28</v>
      </c>
      <c r="L450" s="43">
        <v>81.28</v>
      </c>
      <c r="M450" s="26" t="s">
        <v>23</v>
      </c>
      <c r="N450" s="26" t="s">
        <v>30</v>
      </c>
      <c r="O450" s="24" t="s">
        <v>1017</v>
      </c>
      <c r="P450" s="30" t="s">
        <v>1318</v>
      </c>
    </row>
    <row r="451" spans="1:16" ht="14.25" customHeight="1" x14ac:dyDescent="0.3">
      <c r="A451" s="18" t="s">
        <v>1300</v>
      </c>
      <c r="C451" s="8" t="str">
        <f>G451&amp;", "&amp;O451&amp;", "&amp;N451</f>
        <v>Plug, TZ8637, KOMATSU</v>
      </c>
      <c r="D451" s="21" t="s">
        <v>113</v>
      </c>
      <c r="E451" s="21" t="s">
        <v>21</v>
      </c>
      <c r="F451" s="7" t="s">
        <v>22</v>
      </c>
      <c r="G451" s="7" t="s">
        <v>1015</v>
      </c>
      <c r="J451" s="7" t="s">
        <v>28</v>
      </c>
      <c r="L451" s="42">
        <v>70.875</v>
      </c>
      <c r="M451" s="7" t="s">
        <v>23</v>
      </c>
      <c r="N451" s="7" t="s">
        <v>30</v>
      </c>
      <c r="O451" t="s">
        <v>42</v>
      </c>
      <c r="P451" s="29"/>
    </row>
    <row r="452" spans="1:16" s="24" customFormat="1" ht="14.25" customHeight="1" x14ac:dyDescent="0.3">
      <c r="A452" s="23" t="s">
        <v>1300</v>
      </c>
      <c r="C452" s="25" t="str">
        <f>G452&amp;", "&amp;O452&amp;", "&amp;N452</f>
        <v>Plug, WB1199, KOMATSU</v>
      </c>
      <c r="D452" s="32" t="s">
        <v>114</v>
      </c>
      <c r="E452" s="32" t="s">
        <v>21</v>
      </c>
      <c r="F452" s="26" t="s">
        <v>22</v>
      </c>
      <c r="G452" s="26" t="s">
        <v>1015</v>
      </c>
      <c r="J452" s="26" t="s">
        <v>28</v>
      </c>
      <c r="L452" s="43">
        <v>81.28</v>
      </c>
      <c r="M452" s="26" t="s">
        <v>23</v>
      </c>
      <c r="N452" s="26" t="s">
        <v>30</v>
      </c>
      <c r="O452" s="24" t="s">
        <v>1018</v>
      </c>
      <c r="P452" s="30" t="s">
        <v>1318</v>
      </c>
    </row>
    <row r="453" spans="1:16" ht="14.25" customHeight="1" x14ac:dyDescent="0.3">
      <c r="A453" s="18" t="s">
        <v>1300</v>
      </c>
      <c r="C453" s="8" t="str">
        <f>G453&amp;", "&amp;O453&amp;", "&amp;N453</f>
        <v>Prisionero de bola, 221-5305, CATERPILLAR</v>
      </c>
      <c r="D453" s="21" t="s">
        <v>115</v>
      </c>
      <c r="E453" s="21" t="s">
        <v>21</v>
      </c>
      <c r="F453" s="7" t="s">
        <v>22</v>
      </c>
      <c r="G453" s="7" t="s">
        <v>1023</v>
      </c>
      <c r="J453" s="7" t="s">
        <v>28</v>
      </c>
      <c r="L453" s="42">
        <v>515.05999999999995</v>
      </c>
      <c r="M453" s="7" t="s">
        <v>23</v>
      </c>
      <c r="N453" s="7" t="s">
        <v>24</v>
      </c>
      <c r="O453" t="s">
        <v>1019</v>
      </c>
      <c r="P453" s="29"/>
    </row>
    <row r="454" spans="1:16" ht="14.25" customHeight="1" x14ac:dyDescent="0.3">
      <c r="A454" s="18" t="s">
        <v>1300</v>
      </c>
      <c r="C454" s="8" t="str">
        <f>G454&amp;", "&amp;O454&amp;", "&amp;N454</f>
        <v>Prisionero de bola, 260-6117, CATERPILLAR</v>
      </c>
      <c r="D454" s="21" t="s">
        <v>116</v>
      </c>
      <c r="E454" s="21" t="s">
        <v>21</v>
      </c>
      <c r="F454" s="7" t="s">
        <v>22</v>
      </c>
      <c r="G454" s="7" t="s">
        <v>1023</v>
      </c>
      <c r="J454" s="7" t="s">
        <v>28</v>
      </c>
      <c r="L454" s="42">
        <v>313.73</v>
      </c>
      <c r="M454" s="7" t="s">
        <v>23</v>
      </c>
      <c r="N454" s="7" t="s">
        <v>24</v>
      </c>
      <c r="O454" t="s">
        <v>1020</v>
      </c>
      <c r="P454" s="29"/>
    </row>
    <row r="455" spans="1:16" ht="14.25" customHeight="1" x14ac:dyDescent="0.3">
      <c r="A455" s="18" t="s">
        <v>1300</v>
      </c>
      <c r="C455" s="8" t="str">
        <f>G455&amp;", "&amp;O455&amp;", "&amp;N455</f>
        <v>Prisionero de bola, 438-1135, CATERPILLAR</v>
      </c>
      <c r="D455" s="21" t="s">
        <v>117</v>
      </c>
      <c r="E455" s="21" t="s">
        <v>21</v>
      </c>
      <c r="F455" s="7" t="s">
        <v>22</v>
      </c>
      <c r="G455" s="7" t="s">
        <v>1023</v>
      </c>
      <c r="J455" s="7" t="s">
        <v>28</v>
      </c>
      <c r="L455" s="42">
        <v>2558.1</v>
      </c>
      <c r="M455" s="7" t="s">
        <v>23</v>
      </c>
      <c r="N455" s="7" t="s">
        <v>24</v>
      </c>
      <c r="O455" t="s">
        <v>1021</v>
      </c>
      <c r="P455" s="29"/>
    </row>
    <row r="456" spans="1:16" ht="14.25" customHeight="1" x14ac:dyDescent="0.3">
      <c r="A456" s="18" t="s">
        <v>1300</v>
      </c>
      <c r="C456" s="8" t="str">
        <f>G456&amp;", "&amp;O456&amp;", "&amp;N456</f>
        <v>Prisionero de bola, 8X-9620, CATERPILLAR</v>
      </c>
      <c r="D456" s="21" t="s">
        <v>118</v>
      </c>
      <c r="E456" s="21" t="s">
        <v>21</v>
      </c>
      <c r="F456" s="7" t="s">
        <v>22</v>
      </c>
      <c r="G456" s="7" t="s">
        <v>1023</v>
      </c>
      <c r="J456" s="7" t="s">
        <v>28</v>
      </c>
      <c r="L456" s="42">
        <v>2035.21</v>
      </c>
      <c r="M456" s="7" t="s">
        <v>23</v>
      </c>
      <c r="N456" s="7" t="s">
        <v>24</v>
      </c>
      <c r="O456" t="s">
        <v>1022</v>
      </c>
      <c r="P456" s="29"/>
    </row>
    <row r="457" spans="1:16" ht="14.25" customHeight="1" x14ac:dyDescent="0.3">
      <c r="A457" s="18" t="s">
        <v>1300</v>
      </c>
      <c r="C457" s="8" t="str">
        <f>G457&amp;", "&amp;O457&amp;", "&amp;N457</f>
        <v>Protector, 276-1816, CATERPILLAR</v>
      </c>
      <c r="D457" s="21" t="s">
        <v>119</v>
      </c>
      <c r="E457" s="21" t="s">
        <v>21</v>
      </c>
      <c r="F457" s="7" t="s">
        <v>22</v>
      </c>
      <c r="G457" s="7" t="s">
        <v>1026</v>
      </c>
      <c r="J457" s="7" t="s">
        <v>28</v>
      </c>
      <c r="L457" s="42">
        <v>72.13</v>
      </c>
      <c r="M457" s="7" t="s">
        <v>23</v>
      </c>
      <c r="N457" s="7" t="s">
        <v>24</v>
      </c>
      <c r="O457" t="s">
        <v>1025</v>
      </c>
      <c r="P457" s="29"/>
    </row>
    <row r="458" spans="1:16" ht="14.25" customHeight="1" x14ac:dyDescent="0.3">
      <c r="A458" s="18" t="s">
        <v>1300</v>
      </c>
      <c r="C458" s="8" t="str">
        <f>G458&amp;", "&amp;O458&amp;", "&amp;N458</f>
        <v>Sello, PS81 238.10 X 257.35 X 14.10 PA + NBR, MACHEN</v>
      </c>
      <c r="D458" s="21" t="s">
        <v>120</v>
      </c>
      <c r="E458" s="21" t="s">
        <v>21</v>
      </c>
      <c r="F458" s="7" t="s">
        <v>22</v>
      </c>
      <c r="G458" s="7" t="s">
        <v>48</v>
      </c>
      <c r="J458" s="7" t="s">
        <v>28</v>
      </c>
      <c r="L458" s="42">
        <v>168.84</v>
      </c>
      <c r="M458" s="7" t="s">
        <v>23</v>
      </c>
      <c r="N458" s="7" t="s">
        <v>478</v>
      </c>
      <c r="O458" t="s">
        <v>1028</v>
      </c>
      <c r="P458" s="29"/>
    </row>
    <row r="459" spans="1:16" ht="14.25" customHeight="1" x14ac:dyDescent="0.3">
      <c r="A459" s="18" t="s">
        <v>1300</v>
      </c>
      <c r="C459" s="8" t="str">
        <f>G459&amp;", "&amp;O459&amp;", "&amp;N459</f>
        <v>Sello, PS81 301.60 X 320. 80 X 14.10 PA + NBR, MACHEN</v>
      </c>
      <c r="D459" s="21" t="s">
        <v>121</v>
      </c>
      <c r="E459" s="21" t="s">
        <v>21</v>
      </c>
      <c r="F459" s="7" t="s">
        <v>22</v>
      </c>
      <c r="G459" s="7" t="s">
        <v>48</v>
      </c>
      <c r="J459" s="7" t="s">
        <v>28</v>
      </c>
      <c r="L459" s="42">
        <v>180</v>
      </c>
      <c r="M459" s="7" t="s">
        <v>23</v>
      </c>
      <c r="N459" s="7" t="s">
        <v>478</v>
      </c>
      <c r="O459" t="s">
        <v>1029</v>
      </c>
      <c r="P459" s="29"/>
    </row>
    <row r="460" spans="1:16" ht="14.25" customHeight="1" x14ac:dyDescent="0.3">
      <c r="A460" s="18" t="s">
        <v>1300</v>
      </c>
      <c r="C460" s="8" t="str">
        <f>G460&amp;", "&amp;O460&amp;", "&amp;N460</f>
        <v>Sello, PS81 365.15 X 384.30 X 14.10 PA + NBR, MACHEN</v>
      </c>
      <c r="D460" s="21" t="s">
        <v>122</v>
      </c>
      <c r="E460" s="21" t="s">
        <v>21</v>
      </c>
      <c r="F460" s="7" t="s">
        <v>22</v>
      </c>
      <c r="G460" s="7" t="s">
        <v>48</v>
      </c>
      <c r="J460" s="7" t="s">
        <v>28</v>
      </c>
      <c r="L460" s="42">
        <v>210</v>
      </c>
      <c r="M460" s="7" t="s">
        <v>23</v>
      </c>
      <c r="N460" s="7" t="s">
        <v>478</v>
      </c>
      <c r="O460" t="s">
        <v>1030</v>
      </c>
      <c r="P460" s="29"/>
    </row>
    <row r="461" spans="1:16" ht="14.25" customHeight="1" x14ac:dyDescent="0.3">
      <c r="A461" s="18" t="s">
        <v>1300</v>
      </c>
      <c r="C461" s="8" t="str">
        <f>G461&amp;", "&amp;O461&amp;", "&amp;N461</f>
        <v>Conjunto de sello, 506-2322, CATERPILLAR</v>
      </c>
      <c r="D461" s="21" t="s">
        <v>123</v>
      </c>
      <c r="E461" s="21" t="s">
        <v>21</v>
      </c>
      <c r="F461" s="7" t="s">
        <v>22</v>
      </c>
      <c r="G461" s="7" t="s">
        <v>713</v>
      </c>
      <c r="J461" s="7" t="s">
        <v>28</v>
      </c>
      <c r="L461" s="42">
        <v>103.98</v>
      </c>
      <c r="M461" s="7" t="s">
        <v>23</v>
      </c>
      <c r="N461" s="7" t="s">
        <v>24</v>
      </c>
      <c r="O461" t="s">
        <v>1031</v>
      </c>
      <c r="P461" s="29"/>
    </row>
    <row r="462" spans="1:16" ht="14.25" customHeight="1" x14ac:dyDescent="0.3">
      <c r="A462" s="18" t="s">
        <v>1300</v>
      </c>
      <c r="C462" s="8" t="str">
        <f>G462&amp;", "&amp;O462&amp;", "&amp;N462</f>
        <v>Resorte, 9D-6093, CATERPILLAR</v>
      </c>
      <c r="D462" s="21" t="s">
        <v>124</v>
      </c>
      <c r="E462" s="21" t="s">
        <v>21</v>
      </c>
      <c r="F462" s="7" t="s">
        <v>22</v>
      </c>
      <c r="G462" s="7" t="s">
        <v>1038</v>
      </c>
      <c r="J462" s="7" t="s">
        <v>28</v>
      </c>
      <c r="L462" s="42">
        <v>30.13</v>
      </c>
      <c r="M462" s="7" t="s">
        <v>23</v>
      </c>
      <c r="N462" s="7" t="s">
        <v>24</v>
      </c>
      <c r="O462" s="13" t="s">
        <v>1032</v>
      </c>
      <c r="P462" s="29"/>
    </row>
    <row r="463" spans="1:16" ht="14.25" customHeight="1" x14ac:dyDescent="0.3">
      <c r="A463" s="18" t="s">
        <v>1300</v>
      </c>
      <c r="C463" s="8" t="str">
        <f>G463&amp;", "&amp;O463&amp;", "&amp;N463</f>
        <v>Resorte, 9D-6135, CATERPILLAR</v>
      </c>
      <c r="D463" s="21" t="s">
        <v>125</v>
      </c>
      <c r="E463" s="21" t="s">
        <v>21</v>
      </c>
      <c r="F463" s="7" t="s">
        <v>22</v>
      </c>
      <c r="G463" s="7" t="s">
        <v>1038</v>
      </c>
      <c r="J463" s="7" t="s">
        <v>28</v>
      </c>
      <c r="L463" s="42">
        <v>44.93</v>
      </c>
      <c r="M463" s="7" t="s">
        <v>23</v>
      </c>
      <c r="N463" s="7" t="s">
        <v>24</v>
      </c>
      <c r="O463" s="13" t="s">
        <v>1033</v>
      </c>
      <c r="P463" s="29"/>
    </row>
    <row r="464" spans="1:16" ht="14.25" customHeight="1" x14ac:dyDescent="0.3">
      <c r="A464" s="18" t="s">
        <v>1300</v>
      </c>
      <c r="C464" s="8" t="str">
        <f>G464&amp;", "&amp;O464&amp;", "&amp;N464</f>
        <v>Resorte, PB-8864, KOMATSU</v>
      </c>
      <c r="D464" s="21" t="s">
        <v>126</v>
      </c>
      <c r="E464" s="21" t="s">
        <v>21</v>
      </c>
      <c r="F464" s="7" t="s">
        <v>22</v>
      </c>
      <c r="G464" s="7" t="s">
        <v>1038</v>
      </c>
      <c r="J464" s="7" t="s">
        <v>28</v>
      </c>
      <c r="L464" s="42">
        <v>57.04</v>
      </c>
      <c r="M464" s="7" t="s">
        <v>23</v>
      </c>
      <c r="N464" s="7" t="s">
        <v>30</v>
      </c>
      <c r="O464" s="13" t="s">
        <v>1034</v>
      </c>
      <c r="P464" s="29"/>
    </row>
    <row r="465" spans="1:16" ht="14.25" customHeight="1" x14ac:dyDescent="0.3">
      <c r="A465" s="18" t="s">
        <v>1300</v>
      </c>
      <c r="C465" s="8" t="str">
        <f>G465&amp;", "&amp;O465&amp;", "&amp;N465</f>
        <v>Resorte, 2G-5677, CATERPILLAR</v>
      </c>
      <c r="D465" s="21" t="s">
        <v>127</v>
      </c>
      <c r="E465" s="21" t="s">
        <v>21</v>
      </c>
      <c r="F465" s="7" t="s">
        <v>22</v>
      </c>
      <c r="G465" s="7" t="s">
        <v>1038</v>
      </c>
      <c r="J465" s="7" t="s">
        <v>28</v>
      </c>
      <c r="L465" s="42">
        <v>142.81</v>
      </c>
      <c r="M465" s="7" t="s">
        <v>23</v>
      </c>
      <c r="N465" s="7" t="s">
        <v>24</v>
      </c>
      <c r="O465" s="13" t="s">
        <v>1035</v>
      </c>
      <c r="P465" s="29"/>
    </row>
    <row r="466" spans="1:16" ht="14.25" customHeight="1" x14ac:dyDescent="0.3">
      <c r="A466" s="18" t="s">
        <v>1300</v>
      </c>
      <c r="C466" s="8" t="str">
        <f>G466&amp;", "&amp;O466&amp;", "&amp;N466</f>
        <v>Resorte, 2G-5681, CATERPILLAR</v>
      </c>
      <c r="D466" s="21" t="s">
        <v>128</v>
      </c>
      <c r="E466" s="21" t="s">
        <v>21</v>
      </c>
      <c r="F466" s="7" t="s">
        <v>22</v>
      </c>
      <c r="G466" s="7" t="s">
        <v>1038</v>
      </c>
      <c r="J466" s="7" t="s">
        <v>28</v>
      </c>
      <c r="L466" s="42">
        <v>31.63</v>
      </c>
      <c r="M466" s="7" t="s">
        <v>23</v>
      </c>
      <c r="N466" s="7" t="s">
        <v>24</v>
      </c>
      <c r="O466" s="13" t="s">
        <v>1036</v>
      </c>
      <c r="P466" s="29"/>
    </row>
    <row r="467" spans="1:16" ht="14.25" customHeight="1" x14ac:dyDescent="0.3">
      <c r="A467" s="18" t="s">
        <v>1300</v>
      </c>
      <c r="C467" s="8" t="str">
        <f>G467&amp;", "&amp;O467&amp;", "&amp;N467</f>
        <v>Resorte, 376-8250, CATERPILLAR</v>
      </c>
      <c r="D467" s="21" t="s">
        <v>129</v>
      </c>
      <c r="E467" s="21" t="s">
        <v>21</v>
      </c>
      <c r="F467" s="7" t="s">
        <v>22</v>
      </c>
      <c r="G467" s="7" t="s">
        <v>1038</v>
      </c>
      <c r="J467" s="7" t="s">
        <v>28</v>
      </c>
      <c r="L467" s="42">
        <v>14.21</v>
      </c>
      <c r="M467" s="7" t="s">
        <v>23</v>
      </c>
      <c r="N467" s="7" t="s">
        <v>24</v>
      </c>
      <c r="O467" s="13" t="s">
        <v>1037</v>
      </c>
      <c r="P467" s="29"/>
    </row>
    <row r="468" spans="1:16" ht="14.25" customHeight="1" x14ac:dyDescent="0.3">
      <c r="A468" s="18" t="s">
        <v>1300</v>
      </c>
      <c r="C468" s="8" t="str">
        <f>G468&amp;", "&amp;O468&amp;", "&amp;N468</f>
        <v>Retenedor, 118-4912, CATERPILLAR</v>
      </c>
      <c r="D468" s="21" t="s">
        <v>130</v>
      </c>
      <c r="E468" s="21" t="s">
        <v>21</v>
      </c>
      <c r="F468" s="7" t="s">
        <v>22</v>
      </c>
      <c r="G468" s="7" t="s">
        <v>1041</v>
      </c>
      <c r="J468" s="7" t="s">
        <v>28</v>
      </c>
      <c r="L468" s="42">
        <v>620.08000000000004</v>
      </c>
      <c r="M468" s="7" t="s">
        <v>23</v>
      </c>
      <c r="N468" s="7" t="s">
        <v>24</v>
      </c>
      <c r="O468" s="13" t="s">
        <v>1040</v>
      </c>
      <c r="P468" s="29"/>
    </row>
    <row r="469" spans="1:16" ht="14.25" customHeight="1" x14ac:dyDescent="0.3">
      <c r="A469" s="18" t="s">
        <v>1300</v>
      </c>
      <c r="C469" s="8" t="str">
        <f>G469&amp;", "&amp;O469&amp;", "&amp;N469</f>
        <v>Reten, 243-3177, CATERPILLAR</v>
      </c>
      <c r="D469" s="21" t="s">
        <v>131</v>
      </c>
      <c r="E469" s="21" t="s">
        <v>21</v>
      </c>
      <c r="F469" s="7" t="s">
        <v>22</v>
      </c>
      <c r="G469" s="7" t="s">
        <v>1046</v>
      </c>
      <c r="J469" s="7" t="s">
        <v>28</v>
      </c>
      <c r="L469" s="42">
        <v>127.39</v>
      </c>
      <c r="M469" s="7" t="s">
        <v>23</v>
      </c>
      <c r="N469" s="7" t="s">
        <v>24</v>
      </c>
      <c r="O469" s="13" t="s">
        <v>1043</v>
      </c>
      <c r="P469" s="29"/>
    </row>
    <row r="470" spans="1:16" ht="14.25" customHeight="1" x14ac:dyDescent="0.3">
      <c r="A470" s="18" t="s">
        <v>1300</v>
      </c>
      <c r="C470" s="8" t="str">
        <f>G470&amp;", "&amp;O470&amp;", "&amp;N470</f>
        <v>Reten, 246-9113, CATERPILLAR</v>
      </c>
      <c r="D470" s="21" t="s">
        <v>132</v>
      </c>
      <c r="E470" s="21" t="s">
        <v>21</v>
      </c>
      <c r="F470" s="7" t="s">
        <v>22</v>
      </c>
      <c r="G470" s="7" t="s">
        <v>1046</v>
      </c>
      <c r="J470" s="7" t="s">
        <v>28</v>
      </c>
      <c r="L470" s="42">
        <v>69.28</v>
      </c>
      <c r="M470" s="7" t="s">
        <v>23</v>
      </c>
      <c r="N470" s="7" t="s">
        <v>24</v>
      </c>
      <c r="O470" s="13" t="s">
        <v>1044</v>
      </c>
      <c r="P470" s="29"/>
    </row>
    <row r="471" spans="1:16" ht="14.25" customHeight="1" x14ac:dyDescent="0.3">
      <c r="A471" s="18" t="s">
        <v>1300</v>
      </c>
      <c r="C471" s="8" t="str">
        <f>G471&amp;", "&amp;O471&amp;", "&amp;N471</f>
        <v>Reten, 480-7226, CATERPILLAR</v>
      </c>
      <c r="D471" s="21" t="s">
        <v>133</v>
      </c>
      <c r="E471" s="21" t="s">
        <v>21</v>
      </c>
      <c r="F471" s="7" t="s">
        <v>22</v>
      </c>
      <c r="G471" s="7" t="s">
        <v>1046</v>
      </c>
      <c r="J471" s="7" t="s">
        <v>28</v>
      </c>
      <c r="L471" s="42">
        <v>112.1</v>
      </c>
      <c r="M471" s="7" t="s">
        <v>23</v>
      </c>
      <c r="N471" s="7" t="s">
        <v>24</v>
      </c>
      <c r="O471" s="13" t="s">
        <v>1045</v>
      </c>
      <c r="P471" s="29"/>
    </row>
    <row r="472" spans="1:16" ht="14.25" customHeight="1" x14ac:dyDescent="0.3">
      <c r="A472" s="18" t="s">
        <v>1300</v>
      </c>
      <c r="C472" s="8" t="str">
        <f>G472&amp;", "&amp;O472&amp;", "&amp;N472</f>
        <v>Ring Cushion, EK7088, KOMATSU</v>
      </c>
      <c r="D472" s="21" t="s">
        <v>134</v>
      </c>
      <c r="E472" s="21" t="s">
        <v>21</v>
      </c>
      <c r="F472" s="7" t="s">
        <v>22</v>
      </c>
      <c r="G472" s="7" t="s">
        <v>1048</v>
      </c>
      <c r="J472" s="7" t="s">
        <v>28</v>
      </c>
      <c r="L472" s="42" t="s">
        <v>19</v>
      </c>
      <c r="M472" s="7" t="s">
        <v>23</v>
      </c>
      <c r="N472" s="7" t="s">
        <v>30</v>
      </c>
      <c r="O472" s="13" t="s">
        <v>1047</v>
      </c>
      <c r="P472" s="29"/>
    </row>
    <row r="473" spans="1:16" ht="14.25" customHeight="1" x14ac:dyDescent="0.3">
      <c r="A473" s="18" t="s">
        <v>1300</v>
      </c>
      <c r="C473" s="8" t="str">
        <f>G473&amp;", "&amp;O473&amp;", "&amp;N473</f>
        <v>Anillo de retención, 707-75-10512, KOMATSU</v>
      </c>
      <c r="D473" s="21" t="s">
        <v>135</v>
      </c>
      <c r="E473" s="21" t="s">
        <v>21</v>
      </c>
      <c r="F473" s="7" t="s">
        <v>22</v>
      </c>
      <c r="G473" s="7" t="s">
        <v>547</v>
      </c>
      <c r="J473" s="7" t="s">
        <v>28</v>
      </c>
      <c r="L473" s="42" t="s">
        <v>19</v>
      </c>
      <c r="M473" s="7" t="s">
        <v>23</v>
      </c>
      <c r="N473" s="7" t="s">
        <v>30</v>
      </c>
      <c r="O473" s="13" t="s">
        <v>1050</v>
      </c>
      <c r="P473" s="29"/>
    </row>
    <row r="474" spans="1:16" ht="14.25" customHeight="1" x14ac:dyDescent="0.3">
      <c r="A474" s="18" t="s">
        <v>1300</v>
      </c>
      <c r="C474" s="8" t="str">
        <f>G474&amp;", "&amp;O474&amp;", "&amp;N474</f>
        <v>Anillo de retención, 707-75-16110, KOMATSU</v>
      </c>
      <c r="D474" s="21" t="s">
        <v>136</v>
      </c>
      <c r="E474" s="21" t="s">
        <v>21</v>
      </c>
      <c r="F474" s="7" t="s">
        <v>22</v>
      </c>
      <c r="G474" s="7" t="s">
        <v>547</v>
      </c>
      <c r="J474" s="7" t="s">
        <v>28</v>
      </c>
      <c r="L474" s="42" t="s">
        <v>19</v>
      </c>
      <c r="M474" s="7" t="s">
        <v>23</v>
      </c>
      <c r="N474" s="7" t="s">
        <v>30</v>
      </c>
      <c r="O474" s="13" t="s">
        <v>1051</v>
      </c>
      <c r="P474" s="29"/>
    </row>
    <row r="475" spans="1:16" ht="14.25" customHeight="1" x14ac:dyDescent="0.3">
      <c r="A475" s="18" t="s">
        <v>1300</v>
      </c>
      <c r="C475" s="8" t="str">
        <f>G475&amp;", "&amp;O475&amp;", "&amp;N475</f>
        <v>Back Up, WA1443, KOMATSU</v>
      </c>
      <c r="D475" s="21" t="s">
        <v>137</v>
      </c>
      <c r="E475" s="21" t="s">
        <v>21</v>
      </c>
      <c r="F475" s="7" t="s">
        <v>22</v>
      </c>
      <c r="G475" s="7" t="s">
        <v>572</v>
      </c>
      <c r="J475" s="7" t="s">
        <v>28</v>
      </c>
      <c r="L475" s="42">
        <v>1.425</v>
      </c>
      <c r="M475" s="7" t="s">
        <v>23</v>
      </c>
      <c r="N475" s="7" t="s">
        <v>30</v>
      </c>
      <c r="O475" s="13" t="s">
        <v>1052</v>
      </c>
      <c r="P475" s="29"/>
    </row>
    <row r="476" spans="1:16" ht="14.25" customHeight="1" x14ac:dyDescent="0.3">
      <c r="A476" s="18" t="s">
        <v>1300</v>
      </c>
      <c r="C476" s="8" t="str">
        <f>G476&amp;", "&amp;O476&amp;", "&amp;N476</f>
        <v>Rod Bushing, 114-0762, CATERPILLAR</v>
      </c>
      <c r="D476" s="21" t="s">
        <v>138</v>
      </c>
      <c r="E476" s="21" t="s">
        <v>21</v>
      </c>
      <c r="F476" s="7" t="s">
        <v>22</v>
      </c>
      <c r="G476" s="7" t="s">
        <v>1073</v>
      </c>
      <c r="J476" s="7" t="s">
        <v>28</v>
      </c>
      <c r="L476" s="42">
        <v>188.23</v>
      </c>
      <c r="M476" s="7" t="s">
        <v>23</v>
      </c>
      <c r="N476" s="7" t="s">
        <v>24</v>
      </c>
      <c r="O476" s="13" t="s">
        <v>1053</v>
      </c>
      <c r="P476" s="29"/>
    </row>
    <row r="477" spans="1:16" ht="14.25" customHeight="1" x14ac:dyDescent="0.3">
      <c r="A477" s="18" t="s">
        <v>1300</v>
      </c>
      <c r="C477" s="8" t="str">
        <f>G477&amp;", "&amp;O477&amp;", "&amp;N477</f>
        <v>Rod Bushing, 114-0763, CATERPILLAR</v>
      </c>
      <c r="D477" s="21" t="s">
        <v>139</v>
      </c>
      <c r="E477" s="21" t="s">
        <v>21</v>
      </c>
      <c r="F477" s="7" t="s">
        <v>22</v>
      </c>
      <c r="G477" s="7" t="s">
        <v>1073</v>
      </c>
      <c r="J477" s="7" t="s">
        <v>28</v>
      </c>
      <c r="L477" s="42">
        <v>288.23</v>
      </c>
      <c r="M477" s="7" t="s">
        <v>23</v>
      </c>
      <c r="N477" s="7" t="s">
        <v>24</v>
      </c>
      <c r="O477" s="13" t="s">
        <v>1054</v>
      </c>
      <c r="P477" s="29"/>
    </row>
    <row r="478" spans="1:16" ht="14.25" customHeight="1" x14ac:dyDescent="0.3">
      <c r="A478" s="18" t="s">
        <v>1300</v>
      </c>
      <c r="C478" s="8" t="str">
        <f>G478&amp;", "&amp;O478&amp;", "&amp;N478</f>
        <v>Rod Bushing, 128-9261, CATERPILLAR</v>
      </c>
      <c r="D478" s="21" t="s">
        <v>140</v>
      </c>
      <c r="E478" s="21" t="s">
        <v>21</v>
      </c>
      <c r="F478" s="7" t="s">
        <v>22</v>
      </c>
      <c r="G478" s="7" t="s">
        <v>1073</v>
      </c>
      <c r="J478" s="7" t="s">
        <v>28</v>
      </c>
      <c r="L478" s="42">
        <v>302.67</v>
      </c>
      <c r="M478" s="7" t="s">
        <v>23</v>
      </c>
      <c r="N478" s="7" t="s">
        <v>24</v>
      </c>
      <c r="O478" s="13" t="s">
        <v>1055</v>
      </c>
      <c r="P478" s="29"/>
    </row>
    <row r="479" spans="1:16" ht="14.25" customHeight="1" x14ac:dyDescent="0.3">
      <c r="A479" s="18" t="s">
        <v>1300</v>
      </c>
      <c r="C479" s="8" t="str">
        <f>G479&amp;", "&amp;O479&amp;", "&amp;N479</f>
        <v>Rod Bushing, 128-9262, CATERPILLAR</v>
      </c>
      <c r="D479" s="21" t="s">
        <v>141</v>
      </c>
      <c r="E479" s="21" t="s">
        <v>21</v>
      </c>
      <c r="F479" s="7" t="s">
        <v>22</v>
      </c>
      <c r="G479" s="7" t="s">
        <v>1073</v>
      </c>
      <c r="J479" s="7" t="s">
        <v>28</v>
      </c>
      <c r="L479" s="42">
        <v>368.59</v>
      </c>
      <c r="M479" s="7" t="s">
        <v>23</v>
      </c>
      <c r="N479" s="7" t="s">
        <v>24</v>
      </c>
      <c r="O479" s="13" t="s">
        <v>1056</v>
      </c>
      <c r="P479" s="29"/>
    </row>
    <row r="480" spans="1:16" ht="14.25" customHeight="1" x14ac:dyDescent="0.3">
      <c r="A480" s="18" t="s">
        <v>1300</v>
      </c>
      <c r="C480" s="8" t="str">
        <f>G480&amp;", "&amp;O480&amp;", "&amp;N480</f>
        <v>Rod Bushing, 155-9100, CATERPILLAR</v>
      </c>
      <c r="D480" s="21" t="s">
        <v>142</v>
      </c>
      <c r="E480" s="21" t="s">
        <v>21</v>
      </c>
      <c r="F480" s="7" t="s">
        <v>22</v>
      </c>
      <c r="G480" s="7" t="s">
        <v>1073</v>
      </c>
      <c r="J480" s="7" t="s">
        <v>28</v>
      </c>
      <c r="L480" s="42">
        <v>347.41</v>
      </c>
      <c r="M480" s="7" t="s">
        <v>23</v>
      </c>
      <c r="N480" s="7" t="s">
        <v>24</v>
      </c>
      <c r="O480" s="13" t="s">
        <v>1057</v>
      </c>
      <c r="P480" s="29"/>
    </row>
    <row r="481" spans="1:16" ht="14.25" customHeight="1" x14ac:dyDescent="0.3">
      <c r="A481" s="18" t="s">
        <v>1300</v>
      </c>
      <c r="C481" s="8" t="str">
        <f>G481&amp;", "&amp;O481&amp;", "&amp;N481</f>
        <v>Rod Bushing, 191-5644, CATERPILLAR</v>
      </c>
      <c r="D481" s="21" t="s">
        <v>143</v>
      </c>
      <c r="E481" s="21" t="s">
        <v>21</v>
      </c>
      <c r="F481" s="7" t="s">
        <v>22</v>
      </c>
      <c r="G481" s="7" t="s">
        <v>1073</v>
      </c>
      <c r="J481" s="7" t="s">
        <v>28</v>
      </c>
      <c r="L481" s="42">
        <v>235.18</v>
      </c>
      <c r="M481" s="7" t="s">
        <v>23</v>
      </c>
      <c r="N481" s="7" t="s">
        <v>24</v>
      </c>
      <c r="O481" s="13" t="s">
        <v>1058</v>
      </c>
      <c r="P481" s="29"/>
    </row>
    <row r="482" spans="1:16" ht="14.25" customHeight="1" x14ac:dyDescent="0.3">
      <c r="A482" s="18" t="s">
        <v>1300</v>
      </c>
      <c r="C482" s="8" t="str">
        <f>G482&amp;", "&amp;O482&amp;", "&amp;N482</f>
        <v>Rod Bushing, 570-1983, CATERPILLAR</v>
      </c>
      <c r="D482" s="21" t="s">
        <v>144</v>
      </c>
      <c r="E482" s="21" t="s">
        <v>21</v>
      </c>
      <c r="F482" s="7" t="s">
        <v>22</v>
      </c>
      <c r="G482" s="7" t="s">
        <v>1073</v>
      </c>
      <c r="J482" s="7" t="s">
        <v>28</v>
      </c>
      <c r="L482" s="42">
        <v>152.35</v>
      </c>
      <c r="M482" s="7" t="s">
        <v>23</v>
      </c>
      <c r="N482" s="7" t="s">
        <v>24</v>
      </c>
      <c r="O482" s="13" t="s">
        <v>1059</v>
      </c>
      <c r="P482" s="29"/>
    </row>
    <row r="483" spans="1:16" ht="14.25" customHeight="1" x14ac:dyDescent="0.3">
      <c r="A483" s="18" t="s">
        <v>1300</v>
      </c>
      <c r="C483" s="8" t="str">
        <f>G483&amp;", "&amp;O483&amp;", "&amp;N483</f>
        <v>Rod Bushing, 593-8316, CATERPILLAR</v>
      </c>
      <c r="D483" s="21" t="s">
        <v>145</v>
      </c>
      <c r="E483" s="21" t="s">
        <v>21</v>
      </c>
      <c r="F483" s="7" t="s">
        <v>22</v>
      </c>
      <c r="G483" s="7" t="s">
        <v>1073</v>
      </c>
      <c r="J483" s="7" t="s">
        <v>28</v>
      </c>
      <c r="L483" s="42">
        <v>206.4</v>
      </c>
      <c r="M483" s="7" t="s">
        <v>23</v>
      </c>
      <c r="N483" s="7" t="s">
        <v>24</v>
      </c>
      <c r="O483" s="13" t="s">
        <v>1060</v>
      </c>
      <c r="P483" s="29"/>
    </row>
    <row r="484" spans="1:16" ht="14.25" customHeight="1" x14ac:dyDescent="0.3">
      <c r="A484" s="18" t="s">
        <v>1300</v>
      </c>
      <c r="C484" s="8" t="str">
        <f>G484&amp;", "&amp;O484&amp;", "&amp;N484</f>
        <v>Rod Bushing, 707-52-11610, KOMATSU</v>
      </c>
      <c r="D484" s="21" t="s">
        <v>146</v>
      </c>
      <c r="E484" s="21" t="s">
        <v>21</v>
      </c>
      <c r="F484" s="7" t="s">
        <v>22</v>
      </c>
      <c r="G484" s="7" t="s">
        <v>1073</v>
      </c>
      <c r="J484" s="7" t="s">
        <v>28</v>
      </c>
      <c r="L484" s="44">
        <v>84.72</v>
      </c>
      <c r="M484" s="7" t="s">
        <v>23</v>
      </c>
      <c r="N484" s="7" t="s">
        <v>30</v>
      </c>
      <c r="O484" s="13" t="s">
        <v>1061</v>
      </c>
    </row>
    <row r="485" spans="1:16" ht="14.25" customHeight="1" x14ac:dyDescent="0.3">
      <c r="A485" s="19" t="s">
        <v>1301</v>
      </c>
      <c r="C485" s="8" t="str">
        <f>G485&amp;", "&amp;O485&amp;", "&amp;N485</f>
        <v>Rod Bushing, 707-52-11631, KOMATSU</v>
      </c>
      <c r="D485" s="21" t="s">
        <v>147</v>
      </c>
      <c r="E485" s="21" t="s">
        <v>21</v>
      </c>
      <c r="F485" s="7" t="s">
        <v>22</v>
      </c>
      <c r="G485" s="7" t="s">
        <v>1073</v>
      </c>
      <c r="J485" s="7" t="s">
        <v>28</v>
      </c>
      <c r="L485" s="44">
        <v>110</v>
      </c>
      <c r="M485" s="7" t="s">
        <v>23</v>
      </c>
      <c r="N485" s="7" t="s">
        <v>30</v>
      </c>
      <c r="O485" s="20" t="s">
        <v>1062</v>
      </c>
    </row>
    <row r="486" spans="1:16" ht="14.25" customHeight="1" x14ac:dyDescent="0.3">
      <c r="A486" s="19" t="s">
        <v>1301</v>
      </c>
      <c r="C486" s="8" t="str">
        <f>G486&amp;", "&amp;O486&amp;", "&amp;N486</f>
        <v>Rod Bushing, 707-52-90521, KOMATSU</v>
      </c>
      <c r="D486" s="21" t="s">
        <v>148</v>
      </c>
      <c r="E486" s="21" t="s">
        <v>21</v>
      </c>
      <c r="F486" s="7" t="s">
        <v>22</v>
      </c>
      <c r="G486" s="7" t="s">
        <v>1073</v>
      </c>
      <c r="J486" s="7" t="s">
        <v>28</v>
      </c>
      <c r="L486" s="44">
        <v>100</v>
      </c>
      <c r="M486" s="7" t="s">
        <v>23</v>
      </c>
      <c r="N486" s="7" t="s">
        <v>30</v>
      </c>
      <c r="O486" s="20" t="s">
        <v>1063</v>
      </c>
    </row>
    <row r="487" spans="1:16" ht="14.25" customHeight="1" x14ac:dyDescent="0.3">
      <c r="A487" s="19" t="s">
        <v>1301</v>
      </c>
      <c r="C487" s="8" t="str">
        <f>G487&amp;", "&amp;O487&amp;", "&amp;N487</f>
        <v>Rod Bushing, 707-52-91341, KOMATSU</v>
      </c>
      <c r="D487" s="21" t="s">
        <v>149</v>
      </c>
      <c r="E487" s="21" t="s">
        <v>21</v>
      </c>
      <c r="F487" s="7" t="s">
        <v>22</v>
      </c>
      <c r="G487" s="7" t="s">
        <v>1073</v>
      </c>
      <c r="J487" s="7" t="s">
        <v>28</v>
      </c>
      <c r="L487" s="44">
        <v>340</v>
      </c>
      <c r="M487" s="7" t="s">
        <v>23</v>
      </c>
      <c r="N487" s="7" t="s">
        <v>30</v>
      </c>
      <c r="O487" s="20" t="s">
        <v>1064</v>
      </c>
    </row>
    <row r="488" spans="1:16" ht="14.25" customHeight="1" x14ac:dyDescent="0.3">
      <c r="A488" s="19" t="s">
        <v>1301</v>
      </c>
      <c r="C488" s="8" t="str">
        <f>G488&amp;", "&amp;O488&amp;", "&amp;N488</f>
        <v>Rod Bushing, 707-52-91351, KOMATSU</v>
      </c>
      <c r="D488" s="21" t="s">
        <v>150</v>
      </c>
      <c r="E488" s="21" t="s">
        <v>21</v>
      </c>
      <c r="F488" s="7" t="s">
        <v>22</v>
      </c>
      <c r="G488" s="7" t="s">
        <v>1073</v>
      </c>
      <c r="J488" s="7" t="s">
        <v>28</v>
      </c>
      <c r="L488" s="44">
        <v>250</v>
      </c>
      <c r="M488" s="7" t="s">
        <v>23</v>
      </c>
      <c r="N488" s="7" t="s">
        <v>30</v>
      </c>
      <c r="O488" s="20" t="s">
        <v>1065</v>
      </c>
    </row>
    <row r="489" spans="1:16" ht="14.25" customHeight="1" x14ac:dyDescent="0.3">
      <c r="A489" s="19" t="s">
        <v>1301</v>
      </c>
      <c r="C489" s="8" t="str">
        <f>G489&amp;", "&amp;O489&amp;", "&amp;N489</f>
        <v>Rod Bushing, 707-52-91451, KOMATSU</v>
      </c>
      <c r="D489" s="21" t="s">
        <v>151</v>
      </c>
      <c r="E489" s="21" t="s">
        <v>21</v>
      </c>
      <c r="F489" s="7" t="s">
        <v>22</v>
      </c>
      <c r="G489" s="7" t="s">
        <v>1073</v>
      </c>
      <c r="J489" s="7" t="s">
        <v>28</v>
      </c>
      <c r="L489" s="44">
        <f>694.57*1.6</f>
        <v>1111.3120000000001</v>
      </c>
      <c r="M489" s="7" t="s">
        <v>23</v>
      </c>
      <c r="N489" s="7" t="s">
        <v>30</v>
      </c>
      <c r="O489" s="20" t="s">
        <v>1066</v>
      </c>
    </row>
    <row r="490" spans="1:16" ht="14.25" customHeight="1" x14ac:dyDescent="0.3">
      <c r="A490" s="19" t="s">
        <v>1301</v>
      </c>
      <c r="C490" s="8" t="str">
        <f>G490&amp;", "&amp;O490&amp;", "&amp;N490</f>
        <v>Rod Bushing, 707-52-91550, KOMATSU</v>
      </c>
      <c r="D490" s="21" t="s">
        <v>152</v>
      </c>
      <c r="E490" s="21" t="s">
        <v>21</v>
      </c>
      <c r="F490" s="7" t="s">
        <v>22</v>
      </c>
      <c r="G490" s="7" t="s">
        <v>1073</v>
      </c>
      <c r="J490" s="7" t="s">
        <v>28</v>
      </c>
      <c r="L490" s="44">
        <v>1500</v>
      </c>
      <c r="M490" s="7" t="s">
        <v>23</v>
      </c>
      <c r="N490" s="7" t="s">
        <v>30</v>
      </c>
      <c r="O490" s="20" t="s">
        <v>1067</v>
      </c>
    </row>
    <row r="491" spans="1:16" ht="14.25" customHeight="1" x14ac:dyDescent="0.3">
      <c r="A491" s="19" t="s">
        <v>1301</v>
      </c>
      <c r="C491" s="8" t="str">
        <f>G491&amp;", "&amp;O491&amp;", "&amp;N491</f>
        <v>Rod Bushing, MDU 120 X 125 X 50, ALTERNATIVO</v>
      </c>
      <c r="D491" s="21" t="s">
        <v>153</v>
      </c>
      <c r="E491" s="21" t="s">
        <v>21</v>
      </c>
      <c r="F491" s="7" t="s">
        <v>22</v>
      </c>
      <c r="G491" s="7" t="s">
        <v>1073</v>
      </c>
      <c r="J491" s="7" t="s">
        <v>28</v>
      </c>
      <c r="L491" s="44">
        <v>22</v>
      </c>
      <c r="M491" s="7" t="s">
        <v>23</v>
      </c>
      <c r="N491" s="7" t="s">
        <v>49</v>
      </c>
      <c r="O491" s="20" t="s">
        <v>1068</v>
      </c>
    </row>
    <row r="492" spans="1:16" ht="14.25" customHeight="1" x14ac:dyDescent="0.3">
      <c r="A492" s="19" t="s">
        <v>1301</v>
      </c>
      <c r="C492" s="8" t="str">
        <f>G492&amp;", "&amp;O492&amp;", "&amp;N492</f>
        <v>Rod Bushing, MDU 140 X 145 X 50, ALTERNATIVO</v>
      </c>
      <c r="D492" s="21" t="s">
        <v>154</v>
      </c>
      <c r="E492" s="21" t="s">
        <v>21</v>
      </c>
      <c r="F492" s="7" t="s">
        <v>22</v>
      </c>
      <c r="G492" s="7" t="s">
        <v>1073</v>
      </c>
      <c r="J492" s="7" t="s">
        <v>28</v>
      </c>
      <c r="L492" s="44">
        <v>65</v>
      </c>
      <c r="M492" s="7" t="s">
        <v>23</v>
      </c>
      <c r="N492" s="7" t="s">
        <v>49</v>
      </c>
      <c r="O492" s="20" t="s">
        <v>1069</v>
      </c>
    </row>
    <row r="493" spans="1:16" ht="14.25" customHeight="1" x14ac:dyDescent="0.3">
      <c r="A493" s="19" t="s">
        <v>1301</v>
      </c>
      <c r="C493" s="8" t="str">
        <f>G493&amp;", "&amp;O493&amp;", "&amp;N493</f>
        <v>Rod Bushing, MDU 155 X 150 X 50, ALTERNATIVO</v>
      </c>
      <c r="D493" s="21" t="s">
        <v>155</v>
      </c>
      <c r="E493" s="21" t="s">
        <v>21</v>
      </c>
      <c r="F493" s="7" t="s">
        <v>22</v>
      </c>
      <c r="G493" s="7" t="s">
        <v>1073</v>
      </c>
      <c r="J493" s="7" t="s">
        <v>28</v>
      </c>
      <c r="L493" s="44">
        <v>50</v>
      </c>
      <c r="M493" s="7" t="s">
        <v>23</v>
      </c>
      <c r="N493" s="7" t="s">
        <v>49</v>
      </c>
      <c r="O493" s="20" t="s">
        <v>1070</v>
      </c>
    </row>
    <row r="494" spans="1:16" ht="14.25" customHeight="1" x14ac:dyDescent="0.3">
      <c r="A494" s="19" t="s">
        <v>1301</v>
      </c>
      <c r="C494" s="8" t="str">
        <f>G494&amp;", "&amp;O494&amp;", "&amp;N494</f>
        <v>Rod Bushing, MDU 65 X 70 X 30, ALTERNATIVO</v>
      </c>
      <c r="D494" s="21" t="s">
        <v>156</v>
      </c>
      <c r="E494" s="21" t="s">
        <v>21</v>
      </c>
      <c r="F494" s="7" t="s">
        <v>22</v>
      </c>
      <c r="G494" s="7" t="s">
        <v>1073</v>
      </c>
      <c r="J494" s="7" t="s">
        <v>28</v>
      </c>
      <c r="L494" s="44">
        <v>18</v>
      </c>
      <c r="M494" s="7" t="s">
        <v>23</v>
      </c>
      <c r="N494" s="7" t="s">
        <v>49</v>
      </c>
      <c r="O494" s="20" t="s">
        <v>1071</v>
      </c>
    </row>
    <row r="495" spans="1:16" s="24" customFormat="1" ht="14.25" customHeight="1" x14ac:dyDescent="0.3">
      <c r="A495" s="23" t="s">
        <v>1301</v>
      </c>
      <c r="C495" s="25" t="str">
        <f>G495&amp;", "&amp;O495&amp;", "&amp;N495</f>
        <v>Rod Bushing, MDU ID 140 X 145 X 50, ALTERNATIVO</v>
      </c>
      <c r="D495" s="32" t="s">
        <v>157</v>
      </c>
      <c r="E495" s="32" t="s">
        <v>21</v>
      </c>
      <c r="F495" s="26" t="s">
        <v>22</v>
      </c>
      <c r="G495" s="26" t="s">
        <v>1073</v>
      </c>
      <c r="J495" s="26" t="s">
        <v>28</v>
      </c>
      <c r="L495" s="54">
        <v>65</v>
      </c>
      <c r="M495" s="26" t="s">
        <v>23</v>
      </c>
      <c r="N495" s="26" t="s">
        <v>49</v>
      </c>
      <c r="O495" s="22" t="s">
        <v>1072</v>
      </c>
      <c r="P495" s="27" t="s">
        <v>1304</v>
      </c>
    </row>
    <row r="496" spans="1:16" ht="14.25" customHeight="1" x14ac:dyDescent="0.3">
      <c r="A496" s="19" t="s">
        <v>1301</v>
      </c>
      <c r="C496" s="8" t="str">
        <f>G496&amp;", "&amp;O496&amp;", "&amp;N496</f>
        <v>Rod Bushing, 581-50-11180, KOMATSU</v>
      </c>
      <c r="D496" s="21" t="s">
        <v>158</v>
      </c>
      <c r="E496" s="21" t="s">
        <v>21</v>
      </c>
      <c r="F496" s="7" t="s">
        <v>22</v>
      </c>
      <c r="G496" s="7" t="s">
        <v>1073</v>
      </c>
      <c r="J496" s="7" t="s">
        <v>28</v>
      </c>
      <c r="L496" s="44">
        <v>774.48</v>
      </c>
      <c r="M496" s="7" t="s">
        <v>23</v>
      </c>
      <c r="N496" s="7" t="s">
        <v>30</v>
      </c>
      <c r="O496" s="20" t="s">
        <v>1075</v>
      </c>
    </row>
    <row r="497" spans="1:15" ht="14.25" customHeight="1" x14ac:dyDescent="0.3">
      <c r="A497" s="19" t="s">
        <v>1301</v>
      </c>
      <c r="C497" s="8" t="str">
        <f>G497&amp;", "&amp;O497&amp;", "&amp;N497</f>
        <v>Rod Bushing, 581-50-11280, KOMATSU</v>
      </c>
      <c r="D497" s="21" t="s">
        <v>159</v>
      </c>
      <c r="E497" s="21" t="s">
        <v>21</v>
      </c>
      <c r="F497" s="7" t="s">
        <v>22</v>
      </c>
      <c r="G497" s="7" t="s">
        <v>1073</v>
      </c>
      <c r="J497" s="7" t="s">
        <v>28</v>
      </c>
      <c r="L497" s="44">
        <v>850</v>
      </c>
      <c r="M497" s="7" t="s">
        <v>23</v>
      </c>
      <c r="N497" s="7" t="s">
        <v>30</v>
      </c>
      <c r="O497" s="20" t="s">
        <v>1076</v>
      </c>
    </row>
    <row r="498" spans="1:15" ht="14.25" customHeight="1" x14ac:dyDescent="0.3">
      <c r="A498" s="19" t="s">
        <v>1301</v>
      </c>
      <c r="C498" s="8" t="str">
        <f>G498&amp;", "&amp;O498&amp;", "&amp;N498</f>
        <v>Rod Bushing, MDU 110 X 115 X45, ALTERNATIVO</v>
      </c>
      <c r="D498" s="21" t="s">
        <v>160</v>
      </c>
      <c r="E498" s="21" t="s">
        <v>21</v>
      </c>
      <c r="F498" s="7" t="s">
        <v>22</v>
      </c>
      <c r="G498" s="7" t="s">
        <v>1073</v>
      </c>
      <c r="J498" s="7" t="s">
        <v>28</v>
      </c>
      <c r="L498" s="44">
        <v>40</v>
      </c>
      <c r="M498" s="7" t="s">
        <v>23</v>
      </c>
      <c r="N498" s="7" t="s">
        <v>49</v>
      </c>
      <c r="O498" s="20" t="s">
        <v>1077</v>
      </c>
    </row>
    <row r="499" spans="1:15" ht="14.25" customHeight="1" x14ac:dyDescent="0.3">
      <c r="A499" s="19" t="s">
        <v>1301</v>
      </c>
      <c r="C499" s="8" t="str">
        <f>G499&amp;", "&amp;O499&amp;", "&amp;N499</f>
        <v>Rodamiento, 5D-6296, CATERPILLAR</v>
      </c>
      <c r="D499" s="21" t="s">
        <v>161</v>
      </c>
      <c r="E499" s="21" t="s">
        <v>21</v>
      </c>
      <c r="F499" s="7" t="s">
        <v>22</v>
      </c>
      <c r="G499" s="7" t="s">
        <v>1078</v>
      </c>
      <c r="J499" s="7" t="s">
        <v>28</v>
      </c>
      <c r="L499" s="44">
        <v>539.73</v>
      </c>
      <c r="M499" s="7" t="s">
        <v>23</v>
      </c>
      <c r="N499" s="7" t="s">
        <v>24</v>
      </c>
      <c r="O499" s="20" t="s">
        <v>734</v>
      </c>
    </row>
    <row r="500" spans="1:15" ht="14.25" customHeight="1" x14ac:dyDescent="0.3">
      <c r="A500" s="19" t="s">
        <v>1301</v>
      </c>
      <c r="C500" s="8" t="str">
        <f>G500&amp;", "&amp;O500&amp;", "&amp;N500</f>
        <v>Rodamiento, 5D-6297, CATERPILLAR</v>
      </c>
      <c r="D500" s="21" t="s">
        <v>162</v>
      </c>
      <c r="E500" s="21" t="s">
        <v>21</v>
      </c>
      <c r="F500" s="7" t="s">
        <v>22</v>
      </c>
      <c r="G500" s="7" t="s">
        <v>1078</v>
      </c>
      <c r="J500" s="7" t="s">
        <v>28</v>
      </c>
      <c r="L500" s="44">
        <v>510.1</v>
      </c>
      <c r="M500" s="7" t="s">
        <v>23</v>
      </c>
      <c r="N500" s="7" t="s">
        <v>24</v>
      </c>
      <c r="O500" s="20" t="s">
        <v>661</v>
      </c>
    </row>
    <row r="501" spans="1:15" ht="14.25" customHeight="1" x14ac:dyDescent="0.3">
      <c r="A501" s="19" t="s">
        <v>1301</v>
      </c>
      <c r="C501" s="8" t="str">
        <f>G501&amp;", "&amp;O501&amp;", "&amp;N501</f>
        <v>Rótula, 07137-06010, KOMATSU</v>
      </c>
      <c r="D501" s="21" t="s">
        <v>163</v>
      </c>
      <c r="E501" s="21" t="s">
        <v>21</v>
      </c>
      <c r="F501" s="7" t="s">
        <v>22</v>
      </c>
      <c r="G501" s="7" t="s">
        <v>598</v>
      </c>
      <c r="J501" s="7" t="s">
        <v>28</v>
      </c>
      <c r="L501" s="44">
        <v>500</v>
      </c>
      <c r="M501" s="7" t="s">
        <v>23</v>
      </c>
      <c r="N501" s="7" t="s">
        <v>30</v>
      </c>
      <c r="O501" s="20" t="s">
        <v>1080</v>
      </c>
    </row>
    <row r="502" spans="1:15" ht="14.25" customHeight="1" x14ac:dyDescent="0.3">
      <c r="A502" s="19" t="s">
        <v>1301</v>
      </c>
      <c r="C502" s="8" t="str">
        <f>G502&amp;", "&amp;O502&amp;", "&amp;N502</f>
        <v>Rótula, 480-6605, CATERPILLAR</v>
      </c>
      <c r="D502" s="21" t="s">
        <v>164</v>
      </c>
      <c r="E502" s="21" t="s">
        <v>21</v>
      </c>
      <c r="F502" s="7" t="s">
        <v>22</v>
      </c>
      <c r="G502" s="7" t="s">
        <v>598</v>
      </c>
      <c r="J502" s="7" t="s">
        <v>28</v>
      </c>
      <c r="L502" s="44">
        <v>14459.62</v>
      </c>
      <c r="M502" s="7" t="s">
        <v>23</v>
      </c>
      <c r="N502" s="7" t="s">
        <v>24</v>
      </c>
      <c r="O502" s="20" t="s">
        <v>1081</v>
      </c>
    </row>
    <row r="503" spans="1:15" ht="14.25" customHeight="1" x14ac:dyDescent="0.3">
      <c r="A503" s="19" t="s">
        <v>1301</v>
      </c>
      <c r="C503" s="8" t="str">
        <f>G503&amp;", "&amp;O503&amp;", "&amp;N503</f>
        <v>Rótula, 4D-0298, CATERPILLAR</v>
      </c>
      <c r="D503" s="21" t="s">
        <v>165</v>
      </c>
      <c r="E503" s="21" t="s">
        <v>21</v>
      </c>
      <c r="F503" s="7" t="s">
        <v>22</v>
      </c>
      <c r="G503" s="7" t="s">
        <v>598</v>
      </c>
      <c r="J503" s="7" t="s">
        <v>28</v>
      </c>
      <c r="L503" s="44">
        <v>123.43</v>
      </c>
      <c r="M503" s="7" t="s">
        <v>23</v>
      </c>
      <c r="N503" s="7" t="s">
        <v>24</v>
      </c>
      <c r="O503" s="20" t="s">
        <v>660</v>
      </c>
    </row>
    <row r="504" spans="1:15" ht="14.25" customHeight="1" x14ac:dyDescent="0.3">
      <c r="A504" s="19" t="s">
        <v>1301</v>
      </c>
      <c r="C504" s="8" t="str">
        <f>G504&amp;", "&amp;O504&amp;", "&amp;N504</f>
        <v>Rótula, 4D-4431, CATERPILLAR</v>
      </c>
      <c r="D504" s="21" t="s">
        <v>166</v>
      </c>
      <c r="E504" s="21" t="s">
        <v>21</v>
      </c>
      <c r="F504" s="7" t="s">
        <v>22</v>
      </c>
      <c r="G504" s="7" t="s">
        <v>598</v>
      </c>
      <c r="J504" s="7" t="s">
        <v>28</v>
      </c>
      <c r="L504" s="44">
        <v>157.26</v>
      </c>
      <c r="M504" s="7" t="s">
        <v>23</v>
      </c>
      <c r="N504" s="7" t="s">
        <v>24</v>
      </c>
      <c r="O504" s="20" t="s">
        <v>1082</v>
      </c>
    </row>
    <row r="505" spans="1:15" ht="14.25" customHeight="1" x14ac:dyDescent="0.3">
      <c r="A505" s="19" t="s">
        <v>1301</v>
      </c>
      <c r="C505" s="8" t="str">
        <f>G505&amp;", "&amp;O505&amp;", "&amp;N505</f>
        <v>Rótula, 562-50-31450, KOMATSU</v>
      </c>
      <c r="D505" s="21" t="s">
        <v>167</v>
      </c>
      <c r="E505" s="21" t="s">
        <v>21</v>
      </c>
      <c r="F505" s="7" t="s">
        <v>22</v>
      </c>
      <c r="G505" s="7" t="s">
        <v>598</v>
      </c>
      <c r="J505" s="7" t="s">
        <v>28</v>
      </c>
      <c r="L505" s="44">
        <v>2539.66</v>
      </c>
      <c r="M505" s="7" t="s">
        <v>23</v>
      </c>
      <c r="N505" s="7" t="s">
        <v>30</v>
      </c>
      <c r="O505" s="20" t="s">
        <v>1083</v>
      </c>
    </row>
    <row r="506" spans="1:15" ht="14.25" customHeight="1" x14ac:dyDescent="0.3">
      <c r="A506" s="19" t="s">
        <v>1301</v>
      </c>
      <c r="C506" s="8" t="str">
        <f>G506&amp;", "&amp;O506&amp;", "&amp;N506</f>
        <v>Rótula, 707-46-14050, KOMATSU</v>
      </c>
      <c r="D506" s="21" t="s">
        <v>168</v>
      </c>
      <c r="E506" s="21" t="s">
        <v>21</v>
      </c>
      <c r="F506" s="7" t="s">
        <v>22</v>
      </c>
      <c r="G506" s="7" t="s">
        <v>598</v>
      </c>
      <c r="J506" s="7" t="s">
        <v>28</v>
      </c>
      <c r="L506" s="44">
        <f>4680.75*1.5</f>
        <v>7021.125</v>
      </c>
      <c r="M506" s="7" t="s">
        <v>23</v>
      </c>
      <c r="N506" s="7" t="s">
        <v>30</v>
      </c>
      <c r="O506" s="20" t="s">
        <v>1084</v>
      </c>
    </row>
    <row r="507" spans="1:15" ht="14.25" customHeight="1" x14ac:dyDescent="0.3">
      <c r="A507" s="19" t="s">
        <v>1301</v>
      </c>
      <c r="C507" s="8" t="str">
        <f>G507&amp;", "&amp;O507&amp;", "&amp;N507</f>
        <v>Rótula, 707-76-16030, KOMATSU</v>
      </c>
      <c r="D507" s="21" t="s">
        <v>169</v>
      </c>
      <c r="E507" s="21" t="s">
        <v>21</v>
      </c>
      <c r="F507" s="7" t="s">
        <v>22</v>
      </c>
      <c r="G507" s="7" t="s">
        <v>598</v>
      </c>
      <c r="J507" s="7" t="s">
        <v>28</v>
      </c>
      <c r="L507" s="44">
        <f>2365.68*1.6</f>
        <v>3785.0879999999997</v>
      </c>
      <c r="M507" s="7" t="s">
        <v>23</v>
      </c>
      <c r="N507" s="7" t="s">
        <v>30</v>
      </c>
      <c r="O507" s="20" t="s">
        <v>1085</v>
      </c>
    </row>
    <row r="508" spans="1:15" ht="14.25" customHeight="1" x14ac:dyDescent="0.3">
      <c r="A508" s="19" t="s">
        <v>1301</v>
      </c>
      <c r="C508" s="8" t="str">
        <f>G508&amp;", "&amp;O508&amp;", "&amp;N508</f>
        <v>Rótula, 150-1890, CATERPILLAR</v>
      </c>
      <c r="D508" s="21" t="s">
        <v>170</v>
      </c>
      <c r="E508" s="21" t="s">
        <v>21</v>
      </c>
      <c r="F508" s="7" t="s">
        <v>22</v>
      </c>
      <c r="G508" s="7" t="s">
        <v>598</v>
      </c>
      <c r="J508" s="7" t="s">
        <v>28</v>
      </c>
      <c r="L508" s="44">
        <v>2353.83</v>
      </c>
      <c r="M508" s="7" t="s">
        <v>23</v>
      </c>
      <c r="N508" s="7" t="s">
        <v>24</v>
      </c>
      <c r="O508" s="20" t="s">
        <v>599</v>
      </c>
    </row>
    <row r="509" spans="1:15" ht="14.25" customHeight="1" x14ac:dyDescent="0.3">
      <c r="A509" s="19" t="s">
        <v>1301</v>
      </c>
      <c r="C509" s="8" t="str">
        <f>G509&amp;", "&amp;O509&amp;", "&amp;N509</f>
        <v>Rótula, VA0538, KOMATSU</v>
      </c>
      <c r="D509" s="21" t="s">
        <v>171</v>
      </c>
      <c r="E509" s="21" t="s">
        <v>21</v>
      </c>
      <c r="F509" s="7" t="s">
        <v>22</v>
      </c>
      <c r="G509" s="7" t="s">
        <v>598</v>
      </c>
      <c r="J509" s="7" t="s">
        <v>28</v>
      </c>
      <c r="L509" s="44">
        <f>177.16*1.5</f>
        <v>265.74</v>
      </c>
      <c r="M509" s="7" t="s">
        <v>23</v>
      </c>
      <c r="N509" s="7" t="s">
        <v>30</v>
      </c>
      <c r="O509" s="20" t="s">
        <v>1086</v>
      </c>
    </row>
    <row r="510" spans="1:15" ht="14.25" customHeight="1" x14ac:dyDescent="0.3">
      <c r="A510" s="19" t="s">
        <v>1301</v>
      </c>
      <c r="C510" s="8" t="str">
        <f>G510&amp;", "&amp;O510&amp;", "&amp;N510</f>
        <v>Rótula, 150-1889, CATERPILLAR</v>
      </c>
      <c r="D510" s="21" t="s">
        <v>172</v>
      </c>
      <c r="E510" s="21" t="s">
        <v>21</v>
      </c>
      <c r="F510" s="7" t="s">
        <v>22</v>
      </c>
      <c r="G510" s="7" t="s">
        <v>598</v>
      </c>
      <c r="J510" s="7" t="s">
        <v>28</v>
      </c>
      <c r="L510" s="44">
        <v>7662.44</v>
      </c>
      <c r="M510" s="7" t="s">
        <v>23</v>
      </c>
      <c r="N510" s="7" t="s">
        <v>24</v>
      </c>
      <c r="O510" s="20" t="s">
        <v>600</v>
      </c>
    </row>
    <row r="511" spans="1:15" ht="14.25" customHeight="1" x14ac:dyDescent="0.3">
      <c r="A511" s="19" t="s">
        <v>1301</v>
      </c>
      <c r="C511" s="8" t="str">
        <f>G511&amp;", "&amp;O511&amp;", "&amp;N511</f>
        <v>Rótula, 364-8484, CATERPILLAR</v>
      </c>
      <c r="D511" s="21" t="s">
        <v>173</v>
      </c>
      <c r="E511" s="21" t="s">
        <v>21</v>
      </c>
      <c r="F511" s="7" t="s">
        <v>22</v>
      </c>
      <c r="G511" s="7" t="s">
        <v>598</v>
      </c>
      <c r="J511" s="7" t="s">
        <v>28</v>
      </c>
      <c r="L511" s="44">
        <v>283.14</v>
      </c>
      <c r="M511" s="7" t="s">
        <v>23</v>
      </c>
      <c r="N511" s="7" t="s">
        <v>24</v>
      </c>
      <c r="O511" s="20" t="s">
        <v>601</v>
      </c>
    </row>
    <row r="512" spans="1:15" ht="14.25" customHeight="1" x14ac:dyDescent="0.3">
      <c r="A512" s="19" t="s">
        <v>1301</v>
      </c>
      <c r="C512" s="8" t="str">
        <f>G512&amp;", "&amp;O512&amp;", "&amp;N512</f>
        <v>Rótula, PB0027, KOMATSU</v>
      </c>
      <c r="D512" s="21" t="s">
        <v>174</v>
      </c>
      <c r="E512" s="21" t="s">
        <v>21</v>
      </c>
      <c r="F512" s="7" t="s">
        <v>22</v>
      </c>
      <c r="G512" s="7" t="s">
        <v>598</v>
      </c>
      <c r="J512" s="7" t="s">
        <v>28</v>
      </c>
      <c r="L512" s="44">
        <v>1200</v>
      </c>
      <c r="M512" s="7" t="s">
        <v>23</v>
      </c>
      <c r="N512" s="7" t="s">
        <v>30</v>
      </c>
      <c r="O512" s="20" t="s">
        <v>1087</v>
      </c>
    </row>
    <row r="513" spans="1:15" ht="14.25" customHeight="1" x14ac:dyDescent="0.3">
      <c r="A513" s="19" t="s">
        <v>1301</v>
      </c>
      <c r="C513" s="8" t="str">
        <f>G513&amp;", "&amp;O513&amp;", "&amp;N513</f>
        <v>Rótula, PB8931, KOMATSU</v>
      </c>
      <c r="D513" s="21" t="s">
        <v>175</v>
      </c>
      <c r="E513" s="21" t="s">
        <v>21</v>
      </c>
      <c r="F513" s="7" t="s">
        <v>22</v>
      </c>
      <c r="G513" s="7" t="s">
        <v>598</v>
      </c>
      <c r="J513" s="7" t="s">
        <v>28</v>
      </c>
      <c r="L513" s="44">
        <f>500*1.5</f>
        <v>750</v>
      </c>
      <c r="M513" s="7" t="s">
        <v>23</v>
      </c>
      <c r="N513" s="7" t="s">
        <v>30</v>
      </c>
      <c r="O513" s="20" t="s">
        <v>593</v>
      </c>
    </row>
    <row r="514" spans="1:15" ht="14.25" customHeight="1" x14ac:dyDescent="0.3">
      <c r="A514" s="19" t="s">
        <v>1301</v>
      </c>
      <c r="C514" s="8" t="str">
        <f>G514&amp;", "&amp;O514&amp;", "&amp;N514</f>
        <v>Tornillo, VF4319, KOMATSU</v>
      </c>
      <c r="D514" s="21" t="s">
        <v>176</v>
      </c>
      <c r="E514" s="21" t="s">
        <v>21</v>
      </c>
      <c r="F514" s="7" t="s">
        <v>22</v>
      </c>
      <c r="G514" s="7" t="s">
        <v>1104</v>
      </c>
      <c r="J514" s="7" t="s">
        <v>28</v>
      </c>
      <c r="L514" s="44">
        <f>9.45*1.5</f>
        <v>14.174999999999999</v>
      </c>
      <c r="M514" s="7" t="s">
        <v>23</v>
      </c>
      <c r="N514" s="7" t="s">
        <v>30</v>
      </c>
      <c r="O514" s="20" t="s">
        <v>1088</v>
      </c>
    </row>
    <row r="515" spans="1:15" ht="14.25" customHeight="1" x14ac:dyDescent="0.3">
      <c r="A515" s="19" t="s">
        <v>1301</v>
      </c>
      <c r="C515" s="8" t="str">
        <f>G515&amp;", "&amp;O515&amp;", "&amp;N515</f>
        <v>Anillo de retención, 040-71-00135, KOMATSU</v>
      </c>
      <c r="D515" s="21" t="s">
        <v>177</v>
      </c>
      <c r="E515" s="21" t="s">
        <v>21</v>
      </c>
      <c r="F515" s="7" t="s">
        <v>22</v>
      </c>
      <c r="G515" s="7" t="s">
        <v>547</v>
      </c>
      <c r="J515" s="7" t="s">
        <v>28</v>
      </c>
      <c r="L515" s="44">
        <f>40.92*1.6</f>
        <v>65.472000000000008</v>
      </c>
      <c r="M515" s="7" t="s">
        <v>23</v>
      </c>
      <c r="N515" s="7" t="s">
        <v>30</v>
      </c>
      <c r="O515" s="20" t="s">
        <v>1089</v>
      </c>
    </row>
    <row r="516" spans="1:15" ht="14.25" customHeight="1" x14ac:dyDescent="0.3">
      <c r="A516" s="19" t="s">
        <v>1301</v>
      </c>
      <c r="C516" s="8" t="str">
        <f>G516&amp;", "&amp;O516&amp;", "&amp;N516</f>
        <v>Anillo de retención, 04071-00190, KOMATSU</v>
      </c>
      <c r="D516" s="21" t="s">
        <v>178</v>
      </c>
      <c r="E516" s="21" t="s">
        <v>21</v>
      </c>
      <c r="F516" s="7" t="s">
        <v>22</v>
      </c>
      <c r="G516" s="7" t="s">
        <v>547</v>
      </c>
      <c r="J516" s="7" t="s">
        <v>28</v>
      </c>
      <c r="L516" s="44">
        <v>75.91</v>
      </c>
      <c r="M516" s="7" t="s">
        <v>23</v>
      </c>
      <c r="N516" s="7" t="s">
        <v>30</v>
      </c>
      <c r="O516" s="20" t="s">
        <v>1090</v>
      </c>
    </row>
    <row r="517" spans="1:15" ht="14.25" customHeight="1" x14ac:dyDescent="0.3">
      <c r="A517" s="19" t="s">
        <v>1301</v>
      </c>
      <c r="C517" s="8" t="str">
        <f>G517&amp;", "&amp;O517&amp;", "&amp;N517</f>
        <v>Anillo de retención, 1J-6472, CATERPILLAR</v>
      </c>
      <c r="D517" s="21" t="s">
        <v>179</v>
      </c>
      <c r="E517" s="21" t="s">
        <v>21</v>
      </c>
      <c r="F517" s="7" t="s">
        <v>22</v>
      </c>
      <c r="G517" s="7" t="s">
        <v>547</v>
      </c>
      <c r="J517" s="7" t="s">
        <v>28</v>
      </c>
      <c r="L517" s="44">
        <v>35.31</v>
      </c>
      <c r="M517" s="7" t="s">
        <v>23</v>
      </c>
      <c r="N517" s="7" t="s">
        <v>24</v>
      </c>
      <c r="O517" s="20" t="s">
        <v>1091</v>
      </c>
    </row>
    <row r="518" spans="1:15" ht="14.25" customHeight="1" x14ac:dyDescent="0.3">
      <c r="A518" s="19" t="s">
        <v>1301</v>
      </c>
      <c r="C518" s="8" t="str">
        <f>G518&amp;", "&amp;O518&amp;", "&amp;N518</f>
        <v>Anillo de retención, 1K-6985, CATERPILLAR</v>
      </c>
      <c r="D518" s="21" t="s">
        <v>180</v>
      </c>
      <c r="E518" s="21" t="s">
        <v>21</v>
      </c>
      <c r="F518" s="7" t="s">
        <v>22</v>
      </c>
      <c r="G518" s="7" t="s">
        <v>547</v>
      </c>
      <c r="J518" s="7" t="s">
        <v>28</v>
      </c>
      <c r="L518" s="44">
        <v>27.84</v>
      </c>
      <c r="M518" s="7" t="s">
        <v>23</v>
      </c>
      <c r="N518" s="7" t="s">
        <v>24</v>
      </c>
      <c r="O518" s="20" t="s">
        <v>1092</v>
      </c>
    </row>
    <row r="519" spans="1:15" ht="14.25" customHeight="1" x14ac:dyDescent="0.3">
      <c r="A519" s="19" t="s">
        <v>1301</v>
      </c>
      <c r="C519" s="8" t="str">
        <f>G519&amp;", "&amp;O519&amp;", "&amp;N519</f>
        <v>Anillo de retención, 1S-3311, CATERPILLAR</v>
      </c>
      <c r="D519" s="21" t="s">
        <v>181</v>
      </c>
      <c r="E519" s="21" t="s">
        <v>21</v>
      </c>
      <c r="F519" s="7" t="s">
        <v>22</v>
      </c>
      <c r="G519" s="7" t="s">
        <v>547</v>
      </c>
      <c r="J519" s="7" t="s">
        <v>28</v>
      </c>
      <c r="L519" s="44">
        <v>35.630000000000003</v>
      </c>
      <c r="M519" s="7" t="s">
        <v>23</v>
      </c>
      <c r="N519" s="7" t="s">
        <v>24</v>
      </c>
      <c r="O519" s="20" t="s">
        <v>1093</v>
      </c>
    </row>
    <row r="520" spans="1:15" ht="14.25" customHeight="1" x14ac:dyDescent="0.3">
      <c r="A520" s="19" t="s">
        <v>1301</v>
      </c>
      <c r="C520" s="8" t="str">
        <f>G520&amp;", "&amp;O520&amp;", "&amp;N520</f>
        <v>Anillo de retención, 2H-5549, CATERPILLAR</v>
      </c>
      <c r="D520" s="21" t="s">
        <v>182</v>
      </c>
      <c r="E520" s="21" t="s">
        <v>21</v>
      </c>
      <c r="F520" s="7" t="s">
        <v>22</v>
      </c>
      <c r="G520" s="7" t="s">
        <v>547</v>
      </c>
      <c r="J520" s="7" t="s">
        <v>28</v>
      </c>
      <c r="L520" s="44">
        <v>16.8</v>
      </c>
      <c r="M520" s="7" t="s">
        <v>23</v>
      </c>
      <c r="N520" s="7" t="s">
        <v>24</v>
      </c>
      <c r="O520" s="20" t="s">
        <v>1094</v>
      </c>
    </row>
    <row r="521" spans="1:15" ht="14.25" customHeight="1" x14ac:dyDescent="0.3">
      <c r="A521" s="19" t="s">
        <v>1301</v>
      </c>
      <c r="C521" s="8" t="str">
        <f>G521&amp;", "&amp;O521&amp;", "&amp;N521</f>
        <v>Anillo de retención, 340-2375, CATERPILLAR</v>
      </c>
      <c r="D521" s="21" t="s">
        <v>183</v>
      </c>
      <c r="E521" s="21" t="s">
        <v>21</v>
      </c>
      <c r="F521" s="7" t="s">
        <v>22</v>
      </c>
      <c r="G521" s="7" t="s">
        <v>547</v>
      </c>
      <c r="J521" s="7" t="s">
        <v>28</v>
      </c>
      <c r="L521" s="44">
        <v>94.27</v>
      </c>
      <c r="M521" s="7" t="s">
        <v>23</v>
      </c>
      <c r="N521" s="7" t="s">
        <v>24</v>
      </c>
      <c r="O521" s="20" t="s">
        <v>1095</v>
      </c>
    </row>
    <row r="522" spans="1:15" ht="14.25" customHeight="1" x14ac:dyDescent="0.3">
      <c r="A522" s="19" t="s">
        <v>1301</v>
      </c>
      <c r="C522" s="8" t="str">
        <f>G522&amp;", "&amp;O522&amp;", "&amp;N522</f>
        <v>Anillo de retención, 340-2376, CATERPILLAR</v>
      </c>
      <c r="D522" s="21" t="s">
        <v>184</v>
      </c>
      <c r="E522" s="21" t="s">
        <v>21</v>
      </c>
      <c r="F522" s="7" t="s">
        <v>22</v>
      </c>
      <c r="G522" s="7" t="s">
        <v>547</v>
      </c>
      <c r="J522" s="7" t="s">
        <v>28</v>
      </c>
      <c r="L522" s="44">
        <v>41</v>
      </c>
      <c r="M522" s="7" t="s">
        <v>23</v>
      </c>
      <c r="N522" s="7" t="s">
        <v>24</v>
      </c>
      <c r="O522" s="20" t="s">
        <v>1096</v>
      </c>
    </row>
    <row r="523" spans="1:15" ht="14.25" customHeight="1" x14ac:dyDescent="0.3">
      <c r="A523" s="19" t="s">
        <v>1301</v>
      </c>
      <c r="C523" s="8" t="str">
        <f>G523&amp;", "&amp;O523&amp;", "&amp;N523</f>
        <v>Anillo de retención, 340-2377, CATERPILLAR</v>
      </c>
      <c r="D523" s="21" t="s">
        <v>185</v>
      </c>
      <c r="E523" s="21" t="s">
        <v>21</v>
      </c>
      <c r="F523" s="7" t="s">
        <v>22</v>
      </c>
      <c r="G523" s="7" t="s">
        <v>547</v>
      </c>
      <c r="J523" s="7" t="s">
        <v>28</v>
      </c>
      <c r="L523" s="44">
        <v>149.87</v>
      </c>
      <c r="M523" s="7" t="s">
        <v>23</v>
      </c>
      <c r="N523" s="7" t="s">
        <v>24</v>
      </c>
      <c r="O523" s="20" t="s">
        <v>1097</v>
      </c>
    </row>
    <row r="524" spans="1:15" ht="14.25" customHeight="1" x14ac:dyDescent="0.3">
      <c r="A524" s="19" t="s">
        <v>1301</v>
      </c>
      <c r="C524" s="8" t="str">
        <f>G524&amp;", "&amp;O524&amp;", "&amp;N524</f>
        <v>Anillo de retención, 58B-50-00080, KOMATSU</v>
      </c>
      <c r="D524" s="21" t="s">
        <v>186</v>
      </c>
      <c r="E524" s="21" t="s">
        <v>21</v>
      </c>
      <c r="F524" s="7" t="s">
        <v>22</v>
      </c>
      <c r="G524" s="7" t="s">
        <v>547</v>
      </c>
      <c r="J524" s="7" t="s">
        <v>28</v>
      </c>
      <c r="L524" s="44">
        <v>235.44</v>
      </c>
      <c r="M524" s="7" t="s">
        <v>23</v>
      </c>
      <c r="N524" s="7" t="s">
        <v>30</v>
      </c>
      <c r="O524" s="20" t="s">
        <v>1098</v>
      </c>
    </row>
    <row r="525" spans="1:15" ht="14.25" customHeight="1" x14ac:dyDescent="0.3">
      <c r="A525" s="19" t="s">
        <v>1301</v>
      </c>
      <c r="C525" s="8" t="str">
        <f>G525&amp;", "&amp;O525&amp;", "&amp;N525</f>
        <v>Anillo de retención, 8J-8905, CATERPILLAR</v>
      </c>
      <c r="D525" s="21" t="s">
        <v>187</v>
      </c>
      <c r="E525" s="21" t="s">
        <v>21</v>
      </c>
      <c r="F525" s="7" t="s">
        <v>22</v>
      </c>
      <c r="G525" s="7" t="s">
        <v>547</v>
      </c>
      <c r="J525" s="7" t="s">
        <v>28</v>
      </c>
      <c r="L525" s="44">
        <v>98.69</v>
      </c>
      <c r="M525" s="7" t="s">
        <v>23</v>
      </c>
      <c r="N525" s="7" t="s">
        <v>24</v>
      </c>
      <c r="O525" s="20" t="s">
        <v>1099</v>
      </c>
    </row>
    <row r="526" spans="1:15" ht="14.25" customHeight="1" x14ac:dyDescent="0.3">
      <c r="A526" s="19" t="s">
        <v>1301</v>
      </c>
      <c r="C526" s="8" t="str">
        <f>G526&amp;", "&amp;O526&amp;", "&amp;N526</f>
        <v>Anillo de retención, 8T-9044, CATERPILLAR</v>
      </c>
      <c r="D526" s="21" t="s">
        <v>188</v>
      </c>
      <c r="E526" s="21" t="s">
        <v>21</v>
      </c>
      <c r="F526" s="7" t="s">
        <v>22</v>
      </c>
      <c r="G526" s="7" t="s">
        <v>547</v>
      </c>
      <c r="J526" s="7" t="s">
        <v>28</v>
      </c>
      <c r="L526" s="44">
        <v>68.08</v>
      </c>
      <c r="M526" s="7" t="s">
        <v>23</v>
      </c>
      <c r="N526" s="7" t="s">
        <v>24</v>
      </c>
      <c r="O526" s="20" t="s">
        <v>1100</v>
      </c>
    </row>
    <row r="527" spans="1:15" ht="14.25" customHeight="1" x14ac:dyDescent="0.3">
      <c r="A527" s="19" t="s">
        <v>1301</v>
      </c>
      <c r="C527" s="8" t="str">
        <f>G527&amp;", "&amp;O527&amp;", "&amp;N527</f>
        <v>Anillo de retención, SV5921, KOMATSU</v>
      </c>
      <c r="D527" s="21" t="s">
        <v>189</v>
      </c>
      <c r="E527" s="21" t="s">
        <v>21</v>
      </c>
      <c r="F527" s="7" t="s">
        <v>22</v>
      </c>
      <c r="G527" s="7" t="s">
        <v>547</v>
      </c>
      <c r="J527" s="7" t="s">
        <v>28</v>
      </c>
      <c r="L527" s="44">
        <f>25*1.5</f>
        <v>37.5</v>
      </c>
      <c r="M527" s="7" t="s">
        <v>23</v>
      </c>
      <c r="N527" s="7" t="s">
        <v>30</v>
      </c>
      <c r="O527" s="20" t="s">
        <v>44</v>
      </c>
    </row>
    <row r="528" spans="1:15" ht="14.25" customHeight="1" x14ac:dyDescent="0.3">
      <c r="A528" s="19" t="s">
        <v>1301</v>
      </c>
      <c r="C528" s="8" t="str">
        <f>G528&amp;", "&amp;O528&amp;", "&amp;N528</f>
        <v>Anillo de retención, VN9350, KOMATSU</v>
      </c>
      <c r="D528" s="21" t="s">
        <v>190</v>
      </c>
      <c r="E528" s="21" t="s">
        <v>21</v>
      </c>
      <c r="F528" s="7" t="s">
        <v>22</v>
      </c>
      <c r="G528" s="7" t="s">
        <v>547</v>
      </c>
      <c r="J528" s="7" t="s">
        <v>28</v>
      </c>
      <c r="L528" s="44">
        <f>21.2*1.5</f>
        <v>31.799999999999997</v>
      </c>
      <c r="M528" s="7" t="s">
        <v>23</v>
      </c>
      <c r="N528" s="7" t="s">
        <v>30</v>
      </c>
      <c r="O528" s="20" t="s">
        <v>1101</v>
      </c>
    </row>
    <row r="529" spans="1:15" ht="14.25" customHeight="1" x14ac:dyDescent="0.3">
      <c r="A529" s="19" t="s">
        <v>1301</v>
      </c>
      <c r="C529" s="8" t="str">
        <f>G529&amp;", "&amp;O529&amp;", "&amp;N529</f>
        <v>Anillo de retención, VN9351, KOMATSU</v>
      </c>
      <c r="D529" s="21" t="s">
        <v>191</v>
      </c>
      <c r="E529" s="21" t="s">
        <v>21</v>
      </c>
      <c r="F529" s="7" t="s">
        <v>22</v>
      </c>
      <c r="G529" s="7" t="s">
        <v>547</v>
      </c>
      <c r="J529" s="7" t="s">
        <v>28</v>
      </c>
      <c r="L529" s="44">
        <v>42</v>
      </c>
      <c r="M529" s="7" t="s">
        <v>23</v>
      </c>
      <c r="N529" s="7" t="s">
        <v>30</v>
      </c>
      <c r="O529" s="20" t="s">
        <v>1102</v>
      </c>
    </row>
    <row r="530" spans="1:15" ht="14.25" customHeight="1" x14ac:dyDescent="0.3">
      <c r="A530" s="19" t="s">
        <v>1301</v>
      </c>
      <c r="C530" s="8" t="str">
        <f>G530&amp;", "&amp;O530&amp;", "&amp;N530</f>
        <v>Anillo de retención, VN9353, KOMATSU</v>
      </c>
      <c r="D530" s="21" t="s">
        <v>192</v>
      </c>
      <c r="E530" s="21" t="s">
        <v>21</v>
      </c>
      <c r="F530" s="7" t="s">
        <v>22</v>
      </c>
      <c r="G530" s="7" t="s">
        <v>547</v>
      </c>
      <c r="J530" s="7" t="s">
        <v>28</v>
      </c>
      <c r="L530" s="44">
        <f>30*1.5</f>
        <v>45</v>
      </c>
      <c r="M530" s="7" t="s">
        <v>23</v>
      </c>
      <c r="N530" s="7" t="s">
        <v>30</v>
      </c>
      <c r="O530" s="20" t="s">
        <v>1103</v>
      </c>
    </row>
    <row r="531" spans="1:15" ht="14.25" customHeight="1" x14ac:dyDescent="0.3">
      <c r="A531" s="19" t="s">
        <v>1301</v>
      </c>
      <c r="C531" s="8" t="str">
        <f>G531&amp;", "&amp;O531&amp;", "&amp;N531</f>
        <v>Anillo de retención, VN9346, KOMATSU</v>
      </c>
      <c r="D531" s="21" t="s">
        <v>193</v>
      </c>
      <c r="E531" s="21" t="s">
        <v>21</v>
      </c>
      <c r="F531" s="7" t="s">
        <v>22</v>
      </c>
      <c r="G531" s="7" t="s">
        <v>547</v>
      </c>
      <c r="J531" s="7" t="s">
        <v>28</v>
      </c>
      <c r="L531" s="44">
        <v>39</v>
      </c>
      <c r="M531" s="7" t="s">
        <v>23</v>
      </c>
      <c r="N531" s="7" t="s">
        <v>30</v>
      </c>
      <c r="O531" s="20" t="s">
        <v>1106</v>
      </c>
    </row>
    <row r="532" spans="1:15" ht="14.25" customHeight="1" x14ac:dyDescent="0.3">
      <c r="A532" s="19" t="s">
        <v>1301</v>
      </c>
      <c r="C532" s="8" t="str">
        <f>G532&amp;", "&amp;O532&amp;", "&amp;N532</f>
        <v>Anillo de retención, 707-75-11512, KOMATSU</v>
      </c>
      <c r="D532" s="21" t="s">
        <v>194</v>
      </c>
      <c r="E532" s="21" t="s">
        <v>21</v>
      </c>
      <c r="F532" s="7" t="s">
        <v>22</v>
      </c>
      <c r="G532" s="7" t="s">
        <v>547</v>
      </c>
      <c r="J532" s="7" t="s">
        <v>28</v>
      </c>
      <c r="L532" s="44">
        <f>22.68*1.5</f>
        <v>34.019999999999996</v>
      </c>
      <c r="M532" s="7" t="s">
        <v>23</v>
      </c>
      <c r="N532" s="7" t="s">
        <v>30</v>
      </c>
      <c r="O532" s="20" t="s">
        <v>1107</v>
      </c>
    </row>
    <row r="533" spans="1:15" ht="14.25" customHeight="1" x14ac:dyDescent="0.3">
      <c r="A533" s="19" t="s">
        <v>1301</v>
      </c>
      <c r="C533" s="8" t="str">
        <f>G533&amp;", "&amp;O533&amp;", "&amp;N533</f>
        <v>Sello, PC-1143, KOMATSU</v>
      </c>
      <c r="D533" s="21" t="s">
        <v>195</v>
      </c>
      <c r="E533" s="21" t="s">
        <v>21</v>
      </c>
      <c r="F533" s="7" t="s">
        <v>22</v>
      </c>
      <c r="G533" s="7" t="s">
        <v>48</v>
      </c>
      <c r="J533" s="7" t="s">
        <v>28</v>
      </c>
      <c r="L533" s="44">
        <v>564.4</v>
      </c>
      <c r="M533" s="7" t="s">
        <v>23</v>
      </c>
      <c r="N533" s="7" t="s">
        <v>30</v>
      </c>
      <c r="O533" s="20" t="s">
        <v>1110</v>
      </c>
    </row>
    <row r="534" spans="1:15" ht="14.25" customHeight="1" x14ac:dyDescent="0.3">
      <c r="A534" s="19" t="s">
        <v>1301</v>
      </c>
      <c r="C534" s="8" t="str">
        <f>G534&amp;", "&amp;O534&amp;", "&amp;N534</f>
        <v>Sello, PC-1144, KOMATSU</v>
      </c>
      <c r="D534" s="21" t="s">
        <v>196</v>
      </c>
      <c r="E534" s="21" t="s">
        <v>21</v>
      </c>
      <c r="F534" s="7" t="s">
        <v>22</v>
      </c>
      <c r="G534" s="7" t="s">
        <v>48</v>
      </c>
      <c r="J534" s="7" t="s">
        <v>28</v>
      </c>
      <c r="L534" s="44">
        <v>612.99</v>
      </c>
      <c r="M534" s="7" t="s">
        <v>23</v>
      </c>
      <c r="N534" s="7" t="s">
        <v>30</v>
      </c>
      <c r="O534" s="20" t="s">
        <v>1111</v>
      </c>
    </row>
    <row r="535" spans="1:15" ht="14.25" customHeight="1" x14ac:dyDescent="0.3">
      <c r="A535" s="19" t="s">
        <v>1301</v>
      </c>
      <c r="C535" s="8" t="str">
        <f>G535&amp;", "&amp;O535&amp;", "&amp;N535</f>
        <v>Sello, 58B-33-00010, KOMATSU</v>
      </c>
      <c r="D535" s="21" t="s">
        <v>197</v>
      </c>
      <c r="E535" s="21" t="s">
        <v>21</v>
      </c>
      <c r="F535" s="7" t="s">
        <v>22</v>
      </c>
      <c r="G535" s="7" t="s">
        <v>48</v>
      </c>
      <c r="J535" s="7" t="s">
        <v>28</v>
      </c>
      <c r="L535" s="44">
        <v>20544.509999999998</v>
      </c>
      <c r="M535" s="7" t="s">
        <v>23</v>
      </c>
      <c r="N535" s="7" t="s">
        <v>30</v>
      </c>
      <c r="O535" s="20" t="s">
        <v>1112</v>
      </c>
    </row>
    <row r="536" spans="1:15" ht="14.25" customHeight="1" x14ac:dyDescent="0.3">
      <c r="A536" s="19" t="s">
        <v>1301</v>
      </c>
      <c r="C536" s="8" t="str">
        <f>G536&amp;", "&amp;O536&amp;", "&amp;N536</f>
        <v>Sello, 58B-33-00170, KOMATSU</v>
      </c>
      <c r="D536" s="21" t="s">
        <v>198</v>
      </c>
      <c r="E536" s="21" t="s">
        <v>21</v>
      </c>
      <c r="F536" s="7" t="s">
        <v>22</v>
      </c>
      <c r="G536" s="7" t="s">
        <v>48</v>
      </c>
      <c r="J536" s="7" t="s">
        <v>28</v>
      </c>
      <c r="L536" s="44">
        <v>2469.92</v>
      </c>
      <c r="M536" s="7" t="s">
        <v>23</v>
      </c>
      <c r="N536" s="7" t="s">
        <v>30</v>
      </c>
      <c r="O536" s="20" t="s">
        <v>1113</v>
      </c>
    </row>
    <row r="537" spans="1:15" ht="14.25" customHeight="1" x14ac:dyDescent="0.3">
      <c r="A537" s="19" t="s">
        <v>1301</v>
      </c>
      <c r="C537" s="8" t="str">
        <f>G537&amp;", "&amp;O537&amp;", "&amp;N537</f>
        <v>Sello, 58B-33-00180, KOMATSU</v>
      </c>
      <c r="D537" s="21" t="s">
        <v>199</v>
      </c>
      <c r="E537" s="21" t="s">
        <v>21</v>
      </c>
      <c r="F537" s="7" t="s">
        <v>22</v>
      </c>
      <c r="G537" s="7" t="s">
        <v>48</v>
      </c>
      <c r="J537" s="7" t="s">
        <v>28</v>
      </c>
      <c r="L537" s="44">
        <v>2555.8200000000002</v>
      </c>
      <c r="M537" s="7" t="s">
        <v>23</v>
      </c>
      <c r="N537" s="7" t="s">
        <v>30</v>
      </c>
      <c r="O537" s="13" t="s">
        <v>1114</v>
      </c>
    </row>
    <row r="538" spans="1:15" ht="14.25" customHeight="1" x14ac:dyDescent="0.3">
      <c r="A538" s="19" t="s">
        <v>1301</v>
      </c>
      <c r="C538" s="8" t="str">
        <f>G538&amp;", "&amp;O538&amp;", "&amp;N538</f>
        <v>Sello, PC0179, KOMATSU</v>
      </c>
      <c r="D538" s="21" t="s">
        <v>200</v>
      </c>
      <c r="E538" s="21" t="s">
        <v>21</v>
      </c>
      <c r="F538" s="7" t="s">
        <v>22</v>
      </c>
      <c r="G538" s="7" t="s">
        <v>48</v>
      </c>
      <c r="J538" s="7" t="s">
        <v>28</v>
      </c>
      <c r="L538" s="44">
        <f>2793*1.5</f>
        <v>4189.5</v>
      </c>
      <c r="M538" s="7" t="s">
        <v>23</v>
      </c>
      <c r="N538" s="7" t="s">
        <v>30</v>
      </c>
      <c r="O538" s="20" t="s">
        <v>1115</v>
      </c>
    </row>
    <row r="539" spans="1:15" ht="14.25" customHeight="1" x14ac:dyDescent="0.3">
      <c r="A539" s="19" t="s">
        <v>1301</v>
      </c>
      <c r="C539" s="8" t="str">
        <f>G539&amp;", "&amp;O539&amp;", "&amp;N539</f>
        <v>Sello, PC-1431, KOMATSU</v>
      </c>
      <c r="D539" s="21" t="s">
        <v>201</v>
      </c>
      <c r="E539" s="21" t="s">
        <v>21</v>
      </c>
      <c r="F539" s="7" t="s">
        <v>22</v>
      </c>
      <c r="G539" s="7" t="s">
        <v>48</v>
      </c>
      <c r="J539" s="7" t="s">
        <v>28</v>
      </c>
      <c r="L539" s="44">
        <v>704.8</v>
      </c>
      <c r="M539" s="7" t="s">
        <v>23</v>
      </c>
      <c r="N539" s="7" t="s">
        <v>30</v>
      </c>
      <c r="O539" s="20" t="s">
        <v>1116</v>
      </c>
    </row>
    <row r="540" spans="1:15" ht="14.25" customHeight="1" x14ac:dyDescent="0.3">
      <c r="A540" s="19" t="s">
        <v>1301</v>
      </c>
      <c r="C540" s="8" t="str">
        <f>G540&amp;", "&amp;O540&amp;", "&amp;N540</f>
        <v>Sello, 337-1943, CATERPILLAR</v>
      </c>
      <c r="D540" s="21" t="s">
        <v>202</v>
      </c>
      <c r="E540" s="21" t="s">
        <v>21</v>
      </c>
      <c r="F540" s="7" t="s">
        <v>22</v>
      </c>
      <c r="G540" s="7" t="s">
        <v>48</v>
      </c>
      <c r="J540" s="7" t="s">
        <v>28</v>
      </c>
      <c r="L540" s="44">
        <v>11.38</v>
      </c>
      <c r="M540" s="7" t="s">
        <v>23</v>
      </c>
      <c r="N540" s="7" t="s">
        <v>24</v>
      </c>
      <c r="O540" s="20" t="s">
        <v>1117</v>
      </c>
    </row>
    <row r="541" spans="1:15" ht="14.25" customHeight="1" x14ac:dyDescent="0.3">
      <c r="A541" s="19" t="s">
        <v>1301</v>
      </c>
      <c r="C541" s="8" t="str">
        <f>G541&amp;", "&amp;O541&amp;", "&amp;N541</f>
        <v>Sello, 169-4812, CATERPILLAR</v>
      </c>
      <c r="D541" s="21" t="s">
        <v>203</v>
      </c>
      <c r="E541" s="21" t="s">
        <v>21</v>
      </c>
      <c r="F541" s="7" t="s">
        <v>22</v>
      </c>
      <c r="G541" s="7" t="s">
        <v>48</v>
      </c>
      <c r="J541" s="7" t="s">
        <v>28</v>
      </c>
      <c r="L541" s="44">
        <v>74.12</v>
      </c>
      <c r="M541" s="7" t="s">
        <v>23</v>
      </c>
      <c r="N541" s="7" t="s">
        <v>24</v>
      </c>
      <c r="O541" s="20" t="s">
        <v>1118</v>
      </c>
    </row>
    <row r="542" spans="1:15" ht="14.25" customHeight="1" x14ac:dyDescent="0.3">
      <c r="A542" s="19" t="s">
        <v>1301</v>
      </c>
      <c r="C542" s="8" t="str">
        <f>G542&amp;", "&amp;O542&amp;", "&amp;N542</f>
        <v>Sello, 200-3620, CATERPILLAR</v>
      </c>
      <c r="D542" s="21" t="s">
        <v>204</v>
      </c>
      <c r="E542" s="21" t="s">
        <v>21</v>
      </c>
      <c r="F542" s="7" t="s">
        <v>22</v>
      </c>
      <c r="G542" s="7" t="s">
        <v>48</v>
      </c>
      <c r="J542" s="7" t="s">
        <v>28</v>
      </c>
      <c r="L542" s="44">
        <v>57.88</v>
      </c>
      <c r="M542" s="7" t="s">
        <v>23</v>
      </c>
      <c r="N542" s="7" t="s">
        <v>24</v>
      </c>
      <c r="O542" s="20" t="s">
        <v>1119</v>
      </c>
    </row>
    <row r="543" spans="1:15" ht="14.25" customHeight="1" x14ac:dyDescent="0.3">
      <c r="A543" s="19" t="s">
        <v>1301</v>
      </c>
      <c r="C543" s="8" t="str">
        <f>G543&amp;", "&amp;O543&amp;", "&amp;N543</f>
        <v>Sello, 2G-9491, CATERPILLAR</v>
      </c>
      <c r="D543" s="21" t="s">
        <v>205</v>
      </c>
      <c r="E543" s="21" t="s">
        <v>21</v>
      </c>
      <c r="F543" s="7" t="s">
        <v>22</v>
      </c>
      <c r="G543" s="7" t="s">
        <v>48</v>
      </c>
      <c r="J543" s="7" t="s">
        <v>28</v>
      </c>
      <c r="L543" s="44">
        <v>98.91</v>
      </c>
      <c r="M543" s="7" t="s">
        <v>23</v>
      </c>
      <c r="N543" s="7" t="s">
        <v>24</v>
      </c>
      <c r="O543" s="20" t="s">
        <v>1120</v>
      </c>
    </row>
    <row r="544" spans="1:15" ht="14.25" customHeight="1" x14ac:dyDescent="0.3">
      <c r="A544" s="19" t="s">
        <v>1301</v>
      </c>
      <c r="C544" s="8" t="str">
        <f>G544&amp;", "&amp;O544&amp;", "&amp;N544</f>
        <v>Sello, 3K-0360, CATERPILLAR</v>
      </c>
      <c r="D544" s="21" t="s">
        <v>206</v>
      </c>
      <c r="E544" s="21" t="s">
        <v>21</v>
      </c>
      <c r="F544" s="7" t="s">
        <v>22</v>
      </c>
      <c r="G544" s="7" t="s">
        <v>48</v>
      </c>
      <c r="J544" s="7" t="s">
        <v>28</v>
      </c>
      <c r="L544" s="44">
        <v>2.56</v>
      </c>
      <c r="M544" s="7" t="s">
        <v>23</v>
      </c>
      <c r="N544" s="7" t="s">
        <v>24</v>
      </c>
      <c r="O544" s="20" t="s">
        <v>1121</v>
      </c>
    </row>
    <row r="545" spans="1:15" ht="14.25" customHeight="1" x14ac:dyDescent="0.3">
      <c r="A545" s="19" t="s">
        <v>1301</v>
      </c>
      <c r="C545" s="8" t="str">
        <f>G545&amp;", "&amp;O545&amp;", "&amp;N545</f>
        <v>Sello, 510-8794, CATERPILLAR</v>
      </c>
      <c r="D545" s="21" t="s">
        <v>207</v>
      </c>
      <c r="E545" s="21" t="s">
        <v>21</v>
      </c>
      <c r="F545" s="7" t="s">
        <v>22</v>
      </c>
      <c r="G545" s="7" t="s">
        <v>48</v>
      </c>
      <c r="J545" s="7" t="s">
        <v>28</v>
      </c>
      <c r="L545" s="44">
        <v>50.49</v>
      </c>
      <c r="M545" s="7" t="s">
        <v>23</v>
      </c>
      <c r="N545" s="7" t="s">
        <v>24</v>
      </c>
      <c r="O545" s="20" t="s">
        <v>1122</v>
      </c>
    </row>
    <row r="546" spans="1:15" ht="14.25" customHeight="1" x14ac:dyDescent="0.3">
      <c r="A546" s="19" t="s">
        <v>1301</v>
      </c>
      <c r="C546" s="8" t="str">
        <f>G546&amp;", "&amp;O546&amp;", "&amp;N546</f>
        <v>Sello, 8C-4893, CATERPILLAR</v>
      </c>
      <c r="D546" s="21" t="s">
        <v>208</v>
      </c>
      <c r="E546" s="21" t="s">
        <v>21</v>
      </c>
      <c r="F546" s="7" t="s">
        <v>22</v>
      </c>
      <c r="G546" s="7" t="s">
        <v>48</v>
      </c>
      <c r="J546" s="7" t="s">
        <v>28</v>
      </c>
      <c r="L546" s="44">
        <v>19.68</v>
      </c>
      <c r="M546" s="7" t="s">
        <v>23</v>
      </c>
      <c r="N546" s="7" t="s">
        <v>24</v>
      </c>
      <c r="O546" s="20" t="s">
        <v>1123</v>
      </c>
    </row>
    <row r="547" spans="1:15" ht="14.25" customHeight="1" x14ac:dyDescent="0.3">
      <c r="A547" s="19" t="s">
        <v>1301</v>
      </c>
      <c r="C547" s="8" t="str">
        <f>G547&amp;", "&amp;O547&amp;", "&amp;N547</f>
        <v>Sello, 9D-7987, CATERPILLAR</v>
      </c>
      <c r="D547" s="21" t="s">
        <v>209</v>
      </c>
      <c r="E547" s="21" t="s">
        <v>21</v>
      </c>
      <c r="F547" s="7" t="s">
        <v>22</v>
      </c>
      <c r="G547" s="7" t="s">
        <v>48</v>
      </c>
      <c r="J547" s="7" t="s">
        <v>28</v>
      </c>
      <c r="L547" s="44">
        <v>118.05</v>
      </c>
      <c r="M547" s="7" t="s">
        <v>23</v>
      </c>
      <c r="N547" s="7" t="s">
        <v>24</v>
      </c>
      <c r="O547" s="20" t="s">
        <v>1124</v>
      </c>
    </row>
    <row r="548" spans="1:15" ht="14.25" customHeight="1" x14ac:dyDescent="0.3">
      <c r="A548" s="19" t="s">
        <v>1301</v>
      </c>
      <c r="C548" s="8" t="str">
        <f>G548&amp;", "&amp;O548&amp;", "&amp;N548</f>
        <v>Sello, BWR01 171.65 X 180.05 X 13 PTFE C, MACHEN</v>
      </c>
      <c r="D548" s="21" t="s">
        <v>210</v>
      </c>
      <c r="E548" s="21" t="s">
        <v>21</v>
      </c>
      <c r="F548" s="7" t="s">
        <v>22</v>
      </c>
      <c r="G548" s="7" t="s">
        <v>48</v>
      </c>
      <c r="J548" s="7" t="s">
        <v>28</v>
      </c>
      <c r="L548" s="44">
        <v>106.7</v>
      </c>
      <c r="M548" s="7" t="s">
        <v>23</v>
      </c>
      <c r="N548" s="7" t="s">
        <v>478</v>
      </c>
      <c r="O548" s="20" t="s">
        <v>53</v>
      </c>
    </row>
    <row r="549" spans="1:15" ht="14.25" customHeight="1" x14ac:dyDescent="0.3">
      <c r="A549" s="19" t="s">
        <v>1301</v>
      </c>
      <c r="C549" s="8" t="str">
        <f>G549&amp;", "&amp;O549&amp;", "&amp;N549</f>
        <v>Sello, MCKBI 140 X 160 X 10, ALTERNATIVO</v>
      </c>
      <c r="D549" s="21" t="s">
        <v>211</v>
      </c>
      <c r="E549" s="21" t="s">
        <v>21</v>
      </c>
      <c r="F549" s="7" t="s">
        <v>22</v>
      </c>
      <c r="G549" s="7" t="s">
        <v>48</v>
      </c>
      <c r="J549" s="7" t="s">
        <v>28</v>
      </c>
      <c r="L549" s="44">
        <v>100</v>
      </c>
      <c r="M549" s="7" t="s">
        <v>23</v>
      </c>
      <c r="N549" s="7" t="s">
        <v>49</v>
      </c>
      <c r="O549" s="20" t="s">
        <v>1125</v>
      </c>
    </row>
    <row r="550" spans="1:15" ht="14.25" customHeight="1" x14ac:dyDescent="0.3">
      <c r="A550" s="19" t="s">
        <v>1301</v>
      </c>
      <c r="C550" s="8" t="str">
        <f>G550&amp;", "&amp;O550&amp;", "&amp;N550</f>
        <v>Sello, PS088 164.35 X 180.05 X 6 PTFE + NNBR, MACHEN</v>
      </c>
      <c r="D550" s="21" t="s">
        <v>212</v>
      </c>
      <c r="E550" s="21" t="s">
        <v>21</v>
      </c>
      <c r="F550" s="7" t="s">
        <v>22</v>
      </c>
      <c r="G550" s="7" t="s">
        <v>48</v>
      </c>
      <c r="J550" s="7" t="s">
        <v>28</v>
      </c>
      <c r="L550" s="44">
        <v>76.900000000000006</v>
      </c>
      <c r="M550" s="7" t="s">
        <v>23</v>
      </c>
      <c r="N550" s="7" t="s">
        <v>478</v>
      </c>
      <c r="O550" s="20" t="s">
        <v>54</v>
      </c>
    </row>
    <row r="551" spans="1:15" ht="14.25" customHeight="1" x14ac:dyDescent="0.3">
      <c r="A551" s="19" t="s">
        <v>1301</v>
      </c>
      <c r="C551" s="8" t="str">
        <f>G551&amp;", "&amp;O551&amp;", "&amp;N551</f>
        <v>Sello, PS08C - 151 X 180.05 X10.50 PTFE + NBR, MACHEN</v>
      </c>
      <c r="D551" s="21" t="s">
        <v>213</v>
      </c>
      <c r="E551" s="21" t="s">
        <v>21</v>
      </c>
      <c r="F551" s="7" t="s">
        <v>22</v>
      </c>
      <c r="G551" s="7" t="s">
        <v>48</v>
      </c>
      <c r="J551" s="7" t="s">
        <v>28</v>
      </c>
      <c r="L551" s="44">
        <v>170.3</v>
      </c>
      <c r="M551" s="7" t="s">
        <v>23</v>
      </c>
      <c r="N551" s="7" t="s">
        <v>478</v>
      </c>
      <c r="O551" s="20" t="s">
        <v>55</v>
      </c>
    </row>
    <row r="552" spans="1:15" ht="14.25" customHeight="1" x14ac:dyDescent="0.3">
      <c r="A552" s="19" t="s">
        <v>1301</v>
      </c>
      <c r="C552" s="8" t="str">
        <f>G552&amp;", "&amp;O552&amp;", "&amp;N552</f>
        <v>Sello, PS35 172.5 X 182.05 X 7.4 NBR, MACHEN</v>
      </c>
      <c r="D552" s="21" t="s">
        <v>214</v>
      </c>
      <c r="E552" s="21" t="s">
        <v>21</v>
      </c>
      <c r="F552" s="7" t="s">
        <v>22</v>
      </c>
      <c r="G552" s="7" t="s">
        <v>48</v>
      </c>
      <c r="J552" s="7" t="s">
        <v>28</v>
      </c>
      <c r="L552" s="44">
        <v>35.700000000000003</v>
      </c>
      <c r="M552" s="7" t="s">
        <v>23</v>
      </c>
      <c r="N552" s="7" t="s">
        <v>478</v>
      </c>
      <c r="O552" s="20" t="s">
        <v>50</v>
      </c>
    </row>
    <row r="553" spans="1:15" ht="14.25" customHeight="1" x14ac:dyDescent="0.3">
      <c r="A553" s="19" t="s">
        <v>1301</v>
      </c>
      <c r="C553" s="8" t="str">
        <f>G553&amp;", "&amp;O553&amp;", "&amp;N553</f>
        <v>Sello, RTUB25 - 3.00 - 37, ALTERNATIVO</v>
      </c>
      <c r="D553" s="21" t="s">
        <v>215</v>
      </c>
      <c r="E553" s="21" t="s">
        <v>21</v>
      </c>
      <c r="F553" s="7" t="s">
        <v>22</v>
      </c>
      <c r="G553" s="7" t="s">
        <v>48</v>
      </c>
      <c r="J553" s="7" t="s">
        <v>28</v>
      </c>
      <c r="L553" s="44">
        <v>49</v>
      </c>
      <c r="M553" s="7" t="s">
        <v>23</v>
      </c>
      <c r="N553" s="7" t="s">
        <v>49</v>
      </c>
      <c r="O553" s="20" t="s">
        <v>1126</v>
      </c>
    </row>
    <row r="554" spans="1:15" ht="14.25" customHeight="1" x14ac:dyDescent="0.3">
      <c r="A554" s="19" t="s">
        <v>1301</v>
      </c>
      <c r="C554" s="8" t="str">
        <f>G554&amp;", "&amp;O554&amp;", "&amp;N554</f>
        <v>Sello, 124-8364, CATERPILLAR</v>
      </c>
      <c r="D554" s="21" t="s">
        <v>216</v>
      </c>
      <c r="E554" s="21" t="s">
        <v>21</v>
      </c>
      <c r="F554" s="7" t="s">
        <v>22</v>
      </c>
      <c r="G554" s="7" t="s">
        <v>48</v>
      </c>
      <c r="J554" s="7" t="s">
        <v>28</v>
      </c>
      <c r="L554" s="44">
        <v>274.62</v>
      </c>
      <c r="M554" s="7" t="s">
        <v>23</v>
      </c>
      <c r="N554" s="7" t="s">
        <v>24</v>
      </c>
      <c r="O554" s="20" t="s">
        <v>1127</v>
      </c>
    </row>
    <row r="555" spans="1:15" ht="14.25" customHeight="1" x14ac:dyDescent="0.3">
      <c r="A555" s="19" t="s">
        <v>1301</v>
      </c>
      <c r="C555" s="8" t="str">
        <f>G555&amp;", "&amp;O555&amp;", "&amp;N555</f>
        <v>Sello anillo, 123-7265, CATERPILLAR</v>
      </c>
      <c r="D555" s="21" t="s">
        <v>217</v>
      </c>
      <c r="E555" s="21" t="s">
        <v>21</v>
      </c>
      <c r="F555" s="7" t="s">
        <v>22</v>
      </c>
      <c r="G555" s="7" t="s">
        <v>1135</v>
      </c>
      <c r="J555" s="7" t="s">
        <v>28</v>
      </c>
      <c r="L555" s="44">
        <v>35.36</v>
      </c>
      <c r="M555" s="7" t="s">
        <v>23</v>
      </c>
      <c r="N555" s="7" t="s">
        <v>24</v>
      </c>
      <c r="O555" s="20" t="s">
        <v>1128</v>
      </c>
    </row>
    <row r="556" spans="1:15" ht="14.25" customHeight="1" x14ac:dyDescent="0.3">
      <c r="A556" s="19" t="s">
        <v>1301</v>
      </c>
      <c r="C556" s="8" t="str">
        <f>G556&amp;", "&amp;O556&amp;", "&amp;N556</f>
        <v>Sello anillo, 123-7266, CATERPILLAR</v>
      </c>
      <c r="D556" s="21" t="s">
        <v>218</v>
      </c>
      <c r="E556" s="21" t="s">
        <v>21</v>
      </c>
      <c r="F556" s="7" t="s">
        <v>22</v>
      </c>
      <c r="G556" s="7" t="s">
        <v>1135</v>
      </c>
      <c r="J556" s="7" t="s">
        <v>28</v>
      </c>
      <c r="L556" s="44">
        <v>36.69</v>
      </c>
      <c r="M556" s="7" t="s">
        <v>23</v>
      </c>
      <c r="N556" s="7" t="s">
        <v>24</v>
      </c>
      <c r="O556" s="20" t="s">
        <v>1129</v>
      </c>
    </row>
    <row r="557" spans="1:15" ht="14.25" customHeight="1" x14ac:dyDescent="0.3">
      <c r="A557" s="19" t="s">
        <v>1301</v>
      </c>
      <c r="C557" s="8" t="str">
        <f>G557&amp;", "&amp;O557&amp;", "&amp;N557</f>
        <v>Sello anillo, 123-7267, CATERPILLAR</v>
      </c>
      <c r="D557" s="21" t="s">
        <v>219</v>
      </c>
      <c r="E557" s="21" t="s">
        <v>21</v>
      </c>
      <c r="F557" s="7" t="s">
        <v>22</v>
      </c>
      <c r="G557" s="7" t="s">
        <v>1135</v>
      </c>
      <c r="J557" s="7" t="s">
        <v>28</v>
      </c>
      <c r="L557" s="44">
        <v>47.79</v>
      </c>
      <c r="M557" s="7" t="s">
        <v>23</v>
      </c>
      <c r="N557" s="7" t="s">
        <v>24</v>
      </c>
      <c r="O557" s="20" t="s">
        <v>1130</v>
      </c>
    </row>
    <row r="558" spans="1:15" ht="14.25" customHeight="1" x14ac:dyDescent="0.3">
      <c r="A558" s="19" t="s">
        <v>1301</v>
      </c>
      <c r="C558" s="8" t="str">
        <f>G558&amp;", "&amp;O558&amp;", "&amp;N558</f>
        <v>Sello anillo, 124-3520, CATERPILLAR</v>
      </c>
      <c r="D558" s="21" t="s">
        <v>220</v>
      </c>
      <c r="E558" s="21" t="s">
        <v>21</v>
      </c>
      <c r="F558" s="7" t="s">
        <v>22</v>
      </c>
      <c r="G558" s="7" t="s">
        <v>1135</v>
      </c>
      <c r="J558" s="7" t="s">
        <v>28</v>
      </c>
      <c r="L558" s="44">
        <v>36.46</v>
      </c>
      <c r="M558" s="7" t="s">
        <v>23</v>
      </c>
      <c r="N558" s="7" t="s">
        <v>24</v>
      </c>
      <c r="O558" s="20" t="s">
        <v>1131</v>
      </c>
    </row>
    <row r="559" spans="1:15" ht="14.25" customHeight="1" x14ac:dyDescent="0.3">
      <c r="A559" s="19" t="s">
        <v>1301</v>
      </c>
      <c r="C559" s="8" t="str">
        <f>G559&amp;", "&amp;O559&amp;", "&amp;N559</f>
        <v>Sello anillo, 5P-6266, CATERPILLAR</v>
      </c>
      <c r="D559" s="21" t="s">
        <v>221</v>
      </c>
      <c r="E559" s="21" t="s">
        <v>21</v>
      </c>
      <c r="F559" s="7" t="s">
        <v>22</v>
      </c>
      <c r="G559" s="7" t="s">
        <v>1135</v>
      </c>
      <c r="J559" s="7" t="s">
        <v>28</v>
      </c>
      <c r="L559" s="44">
        <v>93</v>
      </c>
      <c r="M559" s="7" t="s">
        <v>23</v>
      </c>
      <c r="N559" s="7" t="s">
        <v>24</v>
      </c>
      <c r="O559" s="20" t="s">
        <v>1132</v>
      </c>
    </row>
    <row r="560" spans="1:15" ht="14.25" customHeight="1" x14ac:dyDescent="0.3">
      <c r="A560" s="19" t="s">
        <v>1301</v>
      </c>
      <c r="C560" s="8" t="str">
        <f>G560&amp;", "&amp;O560&amp;", "&amp;N560</f>
        <v>Sello anillo, 5P-6268, CATERPILLAR</v>
      </c>
      <c r="D560" s="21" t="s">
        <v>222</v>
      </c>
      <c r="E560" s="21" t="s">
        <v>21</v>
      </c>
      <c r="F560" s="7" t="s">
        <v>22</v>
      </c>
      <c r="G560" s="7" t="s">
        <v>1135</v>
      </c>
      <c r="J560" s="7" t="s">
        <v>28</v>
      </c>
      <c r="L560" s="44">
        <v>103.9</v>
      </c>
      <c r="M560" s="7" t="s">
        <v>23</v>
      </c>
      <c r="N560" s="7" t="s">
        <v>24</v>
      </c>
      <c r="O560" s="20" t="s">
        <v>1133</v>
      </c>
    </row>
    <row r="561" spans="1:15" ht="14.25" customHeight="1" x14ac:dyDescent="0.3">
      <c r="A561" s="19" t="s">
        <v>1301</v>
      </c>
      <c r="C561" s="8" t="str">
        <f>G561&amp;", "&amp;O561&amp;", "&amp;N561</f>
        <v>Sello anillo, 5P-6270, CATERPILLAR</v>
      </c>
      <c r="D561" s="21" t="s">
        <v>223</v>
      </c>
      <c r="E561" s="21" t="s">
        <v>21</v>
      </c>
      <c r="F561" s="7" t="s">
        <v>22</v>
      </c>
      <c r="G561" s="7" t="s">
        <v>1135</v>
      </c>
      <c r="J561" s="7" t="s">
        <v>28</v>
      </c>
      <c r="L561" s="44">
        <v>123.74</v>
      </c>
      <c r="M561" s="7" t="s">
        <v>23</v>
      </c>
      <c r="N561" s="7" t="s">
        <v>24</v>
      </c>
      <c r="O561" s="20" t="s">
        <v>1134</v>
      </c>
    </row>
    <row r="562" spans="1:15" ht="14.25" customHeight="1" x14ac:dyDescent="0.3">
      <c r="A562" s="19" t="s">
        <v>1301</v>
      </c>
      <c r="C562" s="8" t="str">
        <f>G562&amp;", "&amp;O562&amp;", "&amp;N562</f>
        <v>Sello anular, 033-6039, CATERPILLAR</v>
      </c>
      <c r="D562" s="21" t="s">
        <v>224</v>
      </c>
      <c r="E562" s="21" t="s">
        <v>21</v>
      </c>
      <c r="F562" s="7" t="s">
        <v>22</v>
      </c>
      <c r="G562" s="7" t="s">
        <v>971</v>
      </c>
      <c r="J562" s="7" t="s">
        <v>28</v>
      </c>
      <c r="L562" s="44">
        <v>8.51</v>
      </c>
      <c r="M562" s="7" t="s">
        <v>23</v>
      </c>
      <c r="N562" s="7" t="s">
        <v>24</v>
      </c>
      <c r="O562" s="20" t="s">
        <v>1136</v>
      </c>
    </row>
    <row r="563" spans="1:15" ht="14.25" customHeight="1" x14ac:dyDescent="0.3">
      <c r="A563" s="19" t="s">
        <v>1301</v>
      </c>
      <c r="C563" s="8" t="str">
        <f>G563&amp;", "&amp;O563&amp;", "&amp;N563</f>
        <v>Sello anular, 114-3361, CATERPILLAR</v>
      </c>
      <c r="D563" s="21" t="s">
        <v>225</v>
      </c>
      <c r="E563" s="21" t="s">
        <v>21</v>
      </c>
      <c r="F563" s="7" t="s">
        <v>22</v>
      </c>
      <c r="G563" s="7" t="s">
        <v>971</v>
      </c>
      <c r="J563" s="7" t="s">
        <v>28</v>
      </c>
      <c r="L563" s="44">
        <v>9.0299999999999994</v>
      </c>
      <c r="M563" s="7" t="s">
        <v>23</v>
      </c>
      <c r="N563" s="7" t="s">
        <v>24</v>
      </c>
      <c r="O563" s="20" t="s">
        <v>1137</v>
      </c>
    </row>
    <row r="564" spans="1:15" ht="14.25" customHeight="1" x14ac:dyDescent="0.3">
      <c r="A564" s="19" t="s">
        <v>1301</v>
      </c>
      <c r="C564" s="8" t="str">
        <f>G564&amp;", "&amp;O564&amp;", "&amp;N564</f>
        <v>Sello anular, 188-2199, CATERPILLAR</v>
      </c>
      <c r="D564" s="21" t="s">
        <v>226</v>
      </c>
      <c r="E564" s="21" t="s">
        <v>21</v>
      </c>
      <c r="F564" s="7" t="s">
        <v>22</v>
      </c>
      <c r="G564" s="7" t="s">
        <v>971</v>
      </c>
      <c r="J564" s="7" t="s">
        <v>28</v>
      </c>
      <c r="L564" s="44">
        <v>19.72</v>
      </c>
      <c r="M564" s="7" t="s">
        <v>23</v>
      </c>
      <c r="N564" s="7" t="s">
        <v>24</v>
      </c>
      <c r="O564" s="20" t="s">
        <v>1138</v>
      </c>
    </row>
    <row r="565" spans="1:15" ht="14.25" customHeight="1" x14ac:dyDescent="0.3">
      <c r="A565" s="19" t="s">
        <v>1301</v>
      </c>
      <c r="C565" s="8" t="str">
        <f>G565&amp;", "&amp;O565&amp;", "&amp;N565</f>
        <v>Sello anular, 192-4309, CATERPILLAR</v>
      </c>
      <c r="D565" s="21" t="s">
        <v>227</v>
      </c>
      <c r="E565" s="21" t="s">
        <v>21</v>
      </c>
      <c r="F565" s="7" t="s">
        <v>22</v>
      </c>
      <c r="G565" s="7" t="s">
        <v>971</v>
      </c>
      <c r="J565" s="7" t="s">
        <v>28</v>
      </c>
      <c r="L565" s="44">
        <v>34.700000000000003</v>
      </c>
      <c r="M565" s="7" t="s">
        <v>23</v>
      </c>
      <c r="N565" s="7" t="s">
        <v>24</v>
      </c>
      <c r="O565" s="20" t="s">
        <v>1139</v>
      </c>
    </row>
    <row r="566" spans="1:15" ht="14.25" customHeight="1" x14ac:dyDescent="0.3">
      <c r="A566" s="19" t="s">
        <v>1301</v>
      </c>
      <c r="C566" s="8" t="str">
        <f>G566&amp;", "&amp;O566&amp;", "&amp;N566</f>
        <v>Sello anular, 2H-3932, CATERPILLAR</v>
      </c>
      <c r="D566" s="21" t="s">
        <v>228</v>
      </c>
      <c r="E566" s="21" t="s">
        <v>21</v>
      </c>
      <c r="F566" s="7" t="s">
        <v>22</v>
      </c>
      <c r="G566" s="7" t="s">
        <v>971</v>
      </c>
      <c r="J566" s="7" t="s">
        <v>28</v>
      </c>
      <c r="L566" s="44">
        <v>3.82</v>
      </c>
      <c r="M566" s="7" t="s">
        <v>23</v>
      </c>
      <c r="N566" s="7" t="s">
        <v>24</v>
      </c>
      <c r="O566" s="20" t="s">
        <v>1140</v>
      </c>
    </row>
    <row r="567" spans="1:15" ht="14.25" customHeight="1" x14ac:dyDescent="0.3">
      <c r="A567" s="19" t="s">
        <v>1301</v>
      </c>
      <c r="C567" s="8" t="str">
        <f>G567&amp;", "&amp;O567&amp;", "&amp;N567</f>
        <v>Sello anular, 2H-4145, CATERPILLAR</v>
      </c>
      <c r="D567" s="21" t="s">
        <v>229</v>
      </c>
      <c r="E567" s="21" t="s">
        <v>21</v>
      </c>
      <c r="F567" s="7" t="s">
        <v>22</v>
      </c>
      <c r="G567" s="7" t="s">
        <v>971</v>
      </c>
      <c r="J567" s="7" t="s">
        <v>28</v>
      </c>
      <c r="L567" s="44">
        <v>10.1</v>
      </c>
      <c r="M567" s="7" t="s">
        <v>23</v>
      </c>
      <c r="N567" s="7" t="s">
        <v>24</v>
      </c>
      <c r="O567" s="20" t="s">
        <v>1141</v>
      </c>
    </row>
    <row r="568" spans="1:15" ht="14.25" customHeight="1" x14ac:dyDescent="0.3">
      <c r="A568" s="19" t="s">
        <v>1301</v>
      </c>
      <c r="C568" s="8" t="str">
        <f>G568&amp;", "&amp;O568&amp;", "&amp;N568</f>
        <v>Sello anular, 320-6169, CATERPILLAR</v>
      </c>
      <c r="D568" s="21" t="s">
        <v>230</v>
      </c>
      <c r="E568" s="21" t="s">
        <v>21</v>
      </c>
      <c r="F568" s="7" t="s">
        <v>22</v>
      </c>
      <c r="G568" s="7" t="s">
        <v>971</v>
      </c>
      <c r="J568" s="7" t="s">
        <v>28</v>
      </c>
      <c r="L568" s="44">
        <v>18.559999999999999</v>
      </c>
      <c r="M568" s="7" t="s">
        <v>23</v>
      </c>
      <c r="N568" s="7" t="s">
        <v>24</v>
      </c>
      <c r="O568" s="20" t="s">
        <v>1142</v>
      </c>
    </row>
    <row r="569" spans="1:15" ht="14.25" customHeight="1" x14ac:dyDescent="0.3">
      <c r="A569" s="19" t="s">
        <v>1301</v>
      </c>
      <c r="C569" s="8" t="str">
        <f>G569&amp;", "&amp;O569&amp;", "&amp;N569</f>
        <v>Sello anular, 365-9196, CATERPILLAR</v>
      </c>
      <c r="D569" s="21" t="s">
        <v>231</v>
      </c>
      <c r="E569" s="21" t="s">
        <v>21</v>
      </c>
      <c r="F569" s="7" t="s">
        <v>22</v>
      </c>
      <c r="G569" s="7" t="s">
        <v>971</v>
      </c>
      <c r="J569" s="7" t="s">
        <v>28</v>
      </c>
      <c r="L569" s="44">
        <v>26.38</v>
      </c>
      <c r="M569" s="7" t="s">
        <v>23</v>
      </c>
      <c r="N569" s="7" t="s">
        <v>24</v>
      </c>
      <c r="O569" s="20" t="s">
        <v>1143</v>
      </c>
    </row>
    <row r="570" spans="1:15" ht="14.25" customHeight="1" x14ac:dyDescent="0.3">
      <c r="A570" s="19" t="s">
        <v>1301</v>
      </c>
      <c r="C570" s="8" t="str">
        <f>G570&amp;", "&amp;O570&amp;", "&amp;N570</f>
        <v>Sello anular, 476-7243, CATERPILLAR</v>
      </c>
      <c r="D570" s="21" t="s">
        <v>232</v>
      </c>
      <c r="E570" s="21" t="s">
        <v>21</v>
      </c>
      <c r="F570" s="7" t="s">
        <v>22</v>
      </c>
      <c r="G570" s="7" t="s">
        <v>971</v>
      </c>
      <c r="J570" s="7" t="s">
        <v>28</v>
      </c>
      <c r="L570" s="44">
        <v>11.05</v>
      </c>
      <c r="M570" s="7" t="s">
        <v>23</v>
      </c>
      <c r="N570" s="7" t="s">
        <v>24</v>
      </c>
      <c r="O570" s="20" t="s">
        <v>1144</v>
      </c>
    </row>
    <row r="571" spans="1:15" ht="14.25" customHeight="1" x14ac:dyDescent="0.3">
      <c r="A571" s="19" t="s">
        <v>1301</v>
      </c>
      <c r="C571" s="8" t="str">
        <f>G571&amp;", "&amp;O571&amp;", "&amp;N571</f>
        <v>Sello anular, 4F-8824, CATERPILLAR</v>
      </c>
      <c r="D571" s="21" t="s">
        <v>233</v>
      </c>
      <c r="E571" s="21" t="s">
        <v>21</v>
      </c>
      <c r="F571" s="7" t="s">
        <v>22</v>
      </c>
      <c r="G571" s="7" t="s">
        <v>971</v>
      </c>
      <c r="J571" s="7" t="s">
        <v>28</v>
      </c>
      <c r="L571" s="44">
        <v>7.51</v>
      </c>
      <c r="M571" s="7" t="s">
        <v>23</v>
      </c>
      <c r="N571" s="7" t="s">
        <v>24</v>
      </c>
      <c r="O571" s="20" t="s">
        <v>1145</v>
      </c>
    </row>
    <row r="572" spans="1:15" ht="14.25" customHeight="1" x14ac:dyDescent="0.3">
      <c r="A572" s="19" t="s">
        <v>1301</v>
      </c>
      <c r="C572" s="8" t="str">
        <f>G572&amp;", "&amp;O572&amp;", "&amp;N572</f>
        <v>Sello anular, 4J-7533, CATERPILLAR</v>
      </c>
      <c r="D572" s="21" t="s">
        <v>234</v>
      </c>
      <c r="E572" s="21" t="s">
        <v>21</v>
      </c>
      <c r="F572" s="7" t="s">
        <v>22</v>
      </c>
      <c r="G572" s="7" t="s">
        <v>971</v>
      </c>
      <c r="J572" s="7" t="s">
        <v>28</v>
      </c>
      <c r="L572" s="44">
        <v>1.82</v>
      </c>
      <c r="M572" s="7" t="s">
        <v>23</v>
      </c>
      <c r="N572" s="7" t="s">
        <v>24</v>
      </c>
      <c r="O572" s="20" t="s">
        <v>1146</v>
      </c>
    </row>
    <row r="573" spans="1:15" ht="14.25" customHeight="1" x14ac:dyDescent="0.3">
      <c r="A573" s="19" t="s">
        <v>1301</v>
      </c>
      <c r="C573" s="8" t="str">
        <f>G573&amp;", "&amp;O573&amp;", "&amp;N573</f>
        <v>Sello anular, 5P-0840, CATERPILLAR</v>
      </c>
      <c r="D573" s="21" t="s">
        <v>235</v>
      </c>
      <c r="E573" s="21" t="s">
        <v>21</v>
      </c>
      <c r="F573" s="7" t="s">
        <v>22</v>
      </c>
      <c r="G573" s="7" t="s">
        <v>971</v>
      </c>
      <c r="J573" s="7" t="s">
        <v>28</v>
      </c>
      <c r="L573" s="44">
        <v>10.46</v>
      </c>
      <c r="M573" s="7" t="s">
        <v>23</v>
      </c>
      <c r="N573" s="7" t="s">
        <v>24</v>
      </c>
      <c r="O573" s="20" t="s">
        <v>1147</v>
      </c>
    </row>
    <row r="574" spans="1:15" ht="14.25" customHeight="1" x14ac:dyDescent="0.3">
      <c r="A574" s="19" t="s">
        <v>1301</v>
      </c>
      <c r="C574" s="8" t="str">
        <f>G574&amp;", "&amp;O574&amp;", "&amp;N574</f>
        <v>Sello anular, 5P-2235, CATERPILLAR</v>
      </c>
      <c r="D574" s="21" t="s">
        <v>236</v>
      </c>
      <c r="E574" s="21" t="s">
        <v>21</v>
      </c>
      <c r="F574" s="7" t="s">
        <v>22</v>
      </c>
      <c r="G574" s="7" t="s">
        <v>971</v>
      </c>
      <c r="J574" s="7" t="s">
        <v>28</v>
      </c>
      <c r="L574" s="44">
        <v>17.440000000000001</v>
      </c>
      <c r="M574" s="7" t="s">
        <v>23</v>
      </c>
      <c r="N574" s="7" t="s">
        <v>24</v>
      </c>
      <c r="O574" s="20" t="s">
        <v>1148</v>
      </c>
    </row>
    <row r="575" spans="1:15" ht="14.25" customHeight="1" x14ac:dyDescent="0.3">
      <c r="A575" s="19" t="s">
        <v>1301</v>
      </c>
      <c r="C575" s="8" t="str">
        <f>G575&amp;", "&amp;O575&amp;", "&amp;N575</f>
        <v>Sello anular, 6J-5541, CATERPILLAR</v>
      </c>
      <c r="D575" s="21" t="s">
        <v>237</v>
      </c>
      <c r="E575" s="21" t="s">
        <v>21</v>
      </c>
      <c r="F575" s="7" t="s">
        <v>22</v>
      </c>
      <c r="G575" s="7" t="s">
        <v>971</v>
      </c>
      <c r="J575" s="7" t="s">
        <v>28</v>
      </c>
      <c r="L575" s="44">
        <v>11.1</v>
      </c>
      <c r="M575" s="7" t="s">
        <v>23</v>
      </c>
      <c r="N575" s="7" t="s">
        <v>24</v>
      </c>
      <c r="O575" s="20" t="s">
        <v>1149</v>
      </c>
    </row>
    <row r="576" spans="1:15" ht="14.25" customHeight="1" x14ac:dyDescent="0.3">
      <c r="A576" s="19" t="s">
        <v>1301</v>
      </c>
      <c r="C576" s="8" t="str">
        <f>G576&amp;", "&amp;O576&amp;", "&amp;N576</f>
        <v>Sello anular, 6V-6707, CATERPILLAR</v>
      </c>
      <c r="D576" s="21" t="s">
        <v>238</v>
      </c>
      <c r="E576" s="21" t="s">
        <v>21</v>
      </c>
      <c r="F576" s="7" t="s">
        <v>22</v>
      </c>
      <c r="G576" s="7" t="s">
        <v>971</v>
      </c>
      <c r="J576" s="7" t="s">
        <v>28</v>
      </c>
      <c r="L576" s="44">
        <v>9.1300000000000008</v>
      </c>
      <c r="M576" s="7" t="s">
        <v>23</v>
      </c>
      <c r="N576" s="7" t="s">
        <v>24</v>
      </c>
      <c r="O576" s="20" t="s">
        <v>1150</v>
      </c>
    </row>
    <row r="577" spans="1:15" ht="14.25" customHeight="1" x14ac:dyDescent="0.3">
      <c r="A577" s="19" t="s">
        <v>1301</v>
      </c>
      <c r="C577" s="8" t="str">
        <f>G577&amp;", "&amp;O577&amp;", "&amp;N577</f>
        <v>Sello anular, 7J-0204, CATERPILLAR</v>
      </c>
      <c r="D577" s="21" t="s">
        <v>239</v>
      </c>
      <c r="E577" s="21" t="s">
        <v>21</v>
      </c>
      <c r="F577" s="7" t="s">
        <v>22</v>
      </c>
      <c r="G577" s="7" t="s">
        <v>971</v>
      </c>
      <c r="J577" s="7" t="s">
        <v>28</v>
      </c>
      <c r="L577" s="44">
        <v>1.85</v>
      </c>
      <c r="M577" s="7" t="s">
        <v>23</v>
      </c>
      <c r="N577" s="7" t="s">
        <v>24</v>
      </c>
      <c r="O577" s="20" t="s">
        <v>1151</v>
      </c>
    </row>
    <row r="578" spans="1:15" ht="14.25" customHeight="1" x14ac:dyDescent="0.3">
      <c r="A578" s="19" t="s">
        <v>1301</v>
      </c>
      <c r="C578" s="8" t="str">
        <f>G578&amp;", "&amp;O578&amp;", "&amp;N578</f>
        <v>Sello anular, 8J-4351, CATERPILLAR</v>
      </c>
      <c r="D578" s="21" t="s">
        <v>240</v>
      </c>
      <c r="E578" s="21" t="s">
        <v>21</v>
      </c>
      <c r="F578" s="7" t="s">
        <v>22</v>
      </c>
      <c r="G578" s="7" t="s">
        <v>971</v>
      </c>
      <c r="J578" s="7" t="s">
        <v>28</v>
      </c>
      <c r="L578" s="44">
        <v>23.95</v>
      </c>
      <c r="M578" s="7" t="s">
        <v>23</v>
      </c>
      <c r="N578" s="7" t="s">
        <v>24</v>
      </c>
      <c r="O578" s="20" t="s">
        <v>1152</v>
      </c>
    </row>
    <row r="579" spans="1:15" ht="14.25" customHeight="1" x14ac:dyDescent="0.3">
      <c r="A579" s="19" t="s">
        <v>1301</v>
      </c>
      <c r="C579" s="8" t="str">
        <f>G579&amp;", "&amp;O579&amp;", "&amp;N579</f>
        <v>Sello anular, 9X-4611, CATERPILLAR</v>
      </c>
      <c r="D579" s="21" t="s">
        <v>241</v>
      </c>
      <c r="E579" s="21" t="s">
        <v>21</v>
      </c>
      <c r="F579" s="7" t="s">
        <v>22</v>
      </c>
      <c r="G579" s="7" t="s">
        <v>971</v>
      </c>
      <c r="J579" s="7" t="s">
        <v>28</v>
      </c>
      <c r="L579" s="44">
        <v>10.1</v>
      </c>
      <c r="M579" s="7" t="s">
        <v>23</v>
      </c>
      <c r="N579" s="7" t="s">
        <v>24</v>
      </c>
      <c r="O579" s="20" t="s">
        <v>1153</v>
      </c>
    </row>
    <row r="580" spans="1:15" ht="14.25" customHeight="1" x14ac:dyDescent="0.3">
      <c r="A580" s="19" t="s">
        <v>1301</v>
      </c>
      <c r="C580" s="8" t="str">
        <f>G580&amp;", "&amp;O580&amp;", "&amp;N580</f>
        <v>Sello anular, 7J-8956, CATERPILLAR</v>
      </c>
      <c r="D580" s="21" t="s">
        <v>242</v>
      </c>
      <c r="E580" s="21" t="s">
        <v>21</v>
      </c>
      <c r="F580" s="7" t="s">
        <v>22</v>
      </c>
      <c r="G580" s="7" t="s">
        <v>971</v>
      </c>
      <c r="J580" s="7" t="s">
        <v>28</v>
      </c>
      <c r="L580" s="44">
        <v>14.03</v>
      </c>
      <c r="M580" s="7" t="s">
        <v>23</v>
      </c>
      <c r="N580" s="7" t="s">
        <v>24</v>
      </c>
      <c r="O580" s="20" t="s">
        <v>1154</v>
      </c>
    </row>
    <row r="581" spans="1:15" ht="14.25" customHeight="1" x14ac:dyDescent="0.3">
      <c r="A581" s="19" t="s">
        <v>1301</v>
      </c>
      <c r="C581" s="8" t="str">
        <f>G581&amp;", "&amp;O581&amp;", "&amp;N581</f>
        <v>Buffer, 312-4248, CATERPILLAR</v>
      </c>
      <c r="D581" s="21" t="s">
        <v>243</v>
      </c>
      <c r="E581" s="21" t="s">
        <v>21</v>
      </c>
      <c r="F581" s="7" t="s">
        <v>22</v>
      </c>
      <c r="G581" s="7" t="s">
        <v>626</v>
      </c>
      <c r="J581" s="7" t="s">
        <v>28</v>
      </c>
      <c r="L581" s="44">
        <v>66.319999999999993</v>
      </c>
      <c r="M581" s="7" t="s">
        <v>23</v>
      </c>
      <c r="N581" s="7" t="s">
        <v>24</v>
      </c>
      <c r="O581" s="20" t="s">
        <v>1155</v>
      </c>
    </row>
    <row r="582" spans="1:15" ht="14.25" customHeight="1" x14ac:dyDescent="0.3">
      <c r="A582" s="19" t="s">
        <v>1301</v>
      </c>
      <c r="C582" s="8" t="str">
        <f>G582&amp;", "&amp;O582&amp;", "&amp;N582</f>
        <v>Sello anillo, 222-5765, CATERPILLAR</v>
      </c>
      <c r="D582" s="21" t="s">
        <v>244</v>
      </c>
      <c r="E582" s="21" t="s">
        <v>21</v>
      </c>
      <c r="F582" s="7" t="s">
        <v>22</v>
      </c>
      <c r="G582" s="7" t="s">
        <v>1135</v>
      </c>
      <c r="J582" s="7" t="s">
        <v>28</v>
      </c>
      <c r="L582" s="44">
        <v>19.059999999999999</v>
      </c>
      <c r="M582" s="7" t="s">
        <v>23</v>
      </c>
      <c r="N582" s="7" t="s">
        <v>24</v>
      </c>
      <c r="O582" s="20" t="s">
        <v>58</v>
      </c>
    </row>
    <row r="583" spans="1:15" ht="14.25" customHeight="1" x14ac:dyDescent="0.3">
      <c r="A583" s="19" t="s">
        <v>1301</v>
      </c>
      <c r="C583" s="8" t="str">
        <f>G583&amp;", "&amp;O583&amp;", "&amp;N583</f>
        <v>Sello de culata, 425-7486, CATERPILLAR</v>
      </c>
      <c r="D583" s="21" t="s">
        <v>245</v>
      </c>
      <c r="E583" s="21" t="s">
        <v>21</v>
      </c>
      <c r="F583" s="7" t="s">
        <v>22</v>
      </c>
      <c r="G583" s="7" t="s">
        <v>1156</v>
      </c>
      <c r="J583" s="7" t="s">
        <v>28</v>
      </c>
      <c r="L583" s="44">
        <v>130.1</v>
      </c>
      <c r="M583" s="7" t="s">
        <v>23</v>
      </c>
      <c r="N583" s="7" t="s">
        <v>24</v>
      </c>
      <c r="O583" s="20" t="s">
        <v>1158</v>
      </c>
    </row>
    <row r="584" spans="1:15" ht="14.25" customHeight="1" x14ac:dyDescent="0.3">
      <c r="A584" s="19" t="s">
        <v>1301</v>
      </c>
      <c r="C584" s="8" t="str">
        <f>G584&amp;", "&amp;O584&amp;", "&amp;N584</f>
        <v>Sello de culata, 437-2053, CATERPILLAR</v>
      </c>
      <c r="D584" s="21" t="s">
        <v>246</v>
      </c>
      <c r="E584" s="21" t="s">
        <v>21</v>
      </c>
      <c r="F584" s="7" t="s">
        <v>22</v>
      </c>
      <c r="G584" s="7" t="s">
        <v>1156</v>
      </c>
      <c r="J584" s="7" t="s">
        <v>28</v>
      </c>
      <c r="L584" s="44">
        <v>191.21</v>
      </c>
      <c r="M584" s="7" t="s">
        <v>23</v>
      </c>
      <c r="N584" s="7" t="s">
        <v>24</v>
      </c>
      <c r="O584" s="20" t="s">
        <v>1159</v>
      </c>
    </row>
    <row r="585" spans="1:15" ht="14.25" customHeight="1" x14ac:dyDescent="0.3">
      <c r="A585" s="19" t="s">
        <v>1301</v>
      </c>
      <c r="C585" s="8" t="str">
        <f>G585&amp;", "&amp;O585&amp;", "&amp;N585</f>
        <v>Sello de funda, 441-8164, CATERPILLAR</v>
      </c>
      <c r="D585" s="21" t="s">
        <v>247</v>
      </c>
      <c r="E585" s="21" t="s">
        <v>21</v>
      </c>
      <c r="F585" s="7" t="s">
        <v>22</v>
      </c>
      <c r="G585" s="7" t="s">
        <v>1161</v>
      </c>
      <c r="J585" s="7" t="s">
        <v>28</v>
      </c>
      <c r="L585" s="44">
        <v>29.71</v>
      </c>
      <c r="M585" s="7" t="s">
        <v>23</v>
      </c>
      <c r="N585" s="7" t="s">
        <v>24</v>
      </c>
      <c r="O585" s="20" t="s">
        <v>1160</v>
      </c>
    </row>
    <row r="586" spans="1:15" ht="14.25" customHeight="1" x14ac:dyDescent="0.3">
      <c r="A586" s="19" t="s">
        <v>1301</v>
      </c>
      <c r="C586" s="8" t="str">
        <f>G586&amp;", "&amp;O586&amp;", "&amp;N586</f>
        <v>Limpiador, 165-9290, CATERPILLAR</v>
      </c>
      <c r="D586" s="21" t="s">
        <v>248</v>
      </c>
      <c r="E586" s="21" t="s">
        <v>21</v>
      </c>
      <c r="F586" s="7" t="s">
        <v>22</v>
      </c>
      <c r="G586" s="7" t="s">
        <v>940</v>
      </c>
      <c r="J586" s="7" t="s">
        <v>28</v>
      </c>
      <c r="L586" s="44">
        <v>54.62</v>
      </c>
      <c r="M586" s="7" t="s">
        <v>23</v>
      </c>
      <c r="N586" s="7" t="s">
        <v>24</v>
      </c>
      <c r="O586" s="20" t="s">
        <v>1163</v>
      </c>
    </row>
    <row r="587" spans="1:15" ht="14.25" customHeight="1" x14ac:dyDescent="0.3">
      <c r="A587" s="19" t="s">
        <v>1301</v>
      </c>
      <c r="C587" s="8" t="str">
        <f>G587&amp;", "&amp;O587&amp;", "&amp;N587</f>
        <v>Limpiador, 225-3281, CATERPILLAR</v>
      </c>
      <c r="D587" s="21" t="s">
        <v>249</v>
      </c>
      <c r="E587" s="21" t="s">
        <v>21</v>
      </c>
      <c r="F587" s="7" t="s">
        <v>22</v>
      </c>
      <c r="G587" s="7" t="s">
        <v>940</v>
      </c>
      <c r="J587" s="7" t="s">
        <v>28</v>
      </c>
      <c r="L587" s="44">
        <v>49.85</v>
      </c>
      <c r="M587" s="7" t="s">
        <v>23</v>
      </c>
      <c r="N587" s="7" t="s">
        <v>24</v>
      </c>
      <c r="O587" s="20" t="s">
        <v>1164</v>
      </c>
    </row>
    <row r="588" spans="1:15" ht="14.25" customHeight="1" x14ac:dyDescent="0.3">
      <c r="A588" s="19" t="s">
        <v>1301</v>
      </c>
      <c r="C588" s="8" t="str">
        <f>G588&amp;", "&amp;O588&amp;", "&amp;N588</f>
        <v>Limpiador, 346-5196, CATERPILLAR</v>
      </c>
      <c r="D588" s="21" t="s">
        <v>250</v>
      </c>
      <c r="E588" s="21" t="s">
        <v>21</v>
      </c>
      <c r="F588" s="7" t="s">
        <v>22</v>
      </c>
      <c r="G588" s="14" t="s">
        <v>940</v>
      </c>
      <c r="J588" s="7" t="s">
        <v>28</v>
      </c>
      <c r="L588" s="44">
        <v>64.150000000000006</v>
      </c>
      <c r="M588" s="7" t="s">
        <v>23</v>
      </c>
      <c r="N588" s="7" t="s">
        <v>24</v>
      </c>
      <c r="O588" s="20" t="s">
        <v>1165</v>
      </c>
    </row>
    <row r="589" spans="1:15" ht="14.25" customHeight="1" x14ac:dyDescent="0.3">
      <c r="A589" s="19" t="s">
        <v>1301</v>
      </c>
      <c r="C589" s="8" t="str">
        <f>G589&amp;", "&amp;O589&amp;", "&amp;N589</f>
        <v>Limpiador, 514-6718, CATERPILLAR</v>
      </c>
      <c r="D589" s="21" t="s">
        <v>251</v>
      </c>
      <c r="E589" s="21" t="s">
        <v>21</v>
      </c>
      <c r="F589" s="7" t="s">
        <v>22</v>
      </c>
      <c r="G589" s="7" t="s">
        <v>940</v>
      </c>
      <c r="J589" s="7" t="s">
        <v>28</v>
      </c>
      <c r="L589" s="44">
        <v>71.7</v>
      </c>
      <c r="M589" s="7" t="s">
        <v>23</v>
      </c>
      <c r="N589" s="7" t="s">
        <v>24</v>
      </c>
      <c r="O589" s="20" t="s">
        <v>1166</v>
      </c>
    </row>
    <row r="590" spans="1:15" ht="14.25" customHeight="1" x14ac:dyDescent="0.3">
      <c r="A590" s="19" t="s">
        <v>1301</v>
      </c>
      <c r="C590" s="8" t="str">
        <f>G590&amp;", "&amp;O590&amp;", "&amp;N590</f>
        <v>Limpiador, 346-9383, CATERPILLAR</v>
      </c>
      <c r="D590" s="21" t="s">
        <v>252</v>
      </c>
      <c r="E590" s="21" t="s">
        <v>21</v>
      </c>
      <c r="F590" s="7" t="s">
        <v>22</v>
      </c>
      <c r="G590" s="7" t="s">
        <v>940</v>
      </c>
      <c r="J590" s="7" t="s">
        <v>28</v>
      </c>
      <c r="L590" s="44">
        <v>71.48</v>
      </c>
      <c r="M590" s="7" t="s">
        <v>23</v>
      </c>
      <c r="N590" s="7" t="s">
        <v>24</v>
      </c>
      <c r="O590" s="20" t="s">
        <v>1167</v>
      </c>
    </row>
    <row r="591" spans="1:15" ht="14.25" customHeight="1" x14ac:dyDescent="0.3">
      <c r="A591" s="19" t="s">
        <v>1301</v>
      </c>
      <c r="C591" s="8" t="str">
        <f>G591&amp;", "&amp;O591&amp;", "&amp;N591</f>
        <v>Limpiador, 289-2956, CATERPILLAR</v>
      </c>
      <c r="D591" s="21" t="s">
        <v>253</v>
      </c>
      <c r="E591" s="21" t="s">
        <v>21</v>
      </c>
      <c r="F591" s="7" t="s">
        <v>22</v>
      </c>
      <c r="G591" s="7" t="s">
        <v>940</v>
      </c>
      <c r="J591" s="7" t="s">
        <v>28</v>
      </c>
      <c r="L591" s="44">
        <v>37.799999999999997</v>
      </c>
      <c r="M591" s="7" t="s">
        <v>23</v>
      </c>
      <c r="N591" s="7" t="s">
        <v>24</v>
      </c>
      <c r="O591" s="20" t="s">
        <v>1168</v>
      </c>
    </row>
    <row r="592" spans="1:15" ht="14.25" customHeight="1" x14ac:dyDescent="0.3">
      <c r="A592" s="19" t="s">
        <v>1301</v>
      </c>
      <c r="C592" s="8" t="str">
        <f>G592&amp;", "&amp;O592&amp;", "&amp;N592</f>
        <v>Limpiador, 312-4247, CATERPILLAR</v>
      </c>
      <c r="D592" s="21" t="s">
        <v>254</v>
      </c>
      <c r="E592" s="21" t="s">
        <v>21</v>
      </c>
      <c r="F592" s="7" t="s">
        <v>22</v>
      </c>
      <c r="G592" s="7" t="s">
        <v>940</v>
      </c>
      <c r="J592" s="7" t="s">
        <v>28</v>
      </c>
      <c r="L592" s="44">
        <v>59.9</v>
      </c>
      <c r="M592" s="7" t="s">
        <v>23</v>
      </c>
      <c r="N592" s="7" t="s">
        <v>24</v>
      </c>
      <c r="O592" s="20" t="s">
        <v>1169</v>
      </c>
    </row>
    <row r="593" spans="1:15" ht="14.25" customHeight="1" x14ac:dyDescent="0.3">
      <c r="A593" s="19" t="s">
        <v>1301</v>
      </c>
      <c r="C593" s="8" t="str">
        <f>G593&amp;", "&amp;O593&amp;", "&amp;N593</f>
        <v>Sello principal, 346-5200, CATERPILLAR</v>
      </c>
      <c r="D593" s="21" t="s">
        <v>255</v>
      </c>
      <c r="E593" s="21" t="s">
        <v>21</v>
      </c>
      <c r="F593" s="7" t="s">
        <v>22</v>
      </c>
      <c r="G593" s="7" t="s">
        <v>1172</v>
      </c>
      <c r="J593" s="7" t="s">
        <v>28</v>
      </c>
      <c r="L593" s="44">
        <v>57.83</v>
      </c>
      <c r="M593" s="7" t="s">
        <v>23</v>
      </c>
      <c r="N593" s="7" t="s">
        <v>24</v>
      </c>
      <c r="O593" s="20" t="s">
        <v>1170</v>
      </c>
    </row>
    <row r="594" spans="1:15" ht="14.25" customHeight="1" x14ac:dyDescent="0.3">
      <c r="A594" s="19" t="s">
        <v>1301</v>
      </c>
      <c r="C594" s="8" t="str">
        <f>G594&amp;", "&amp;O594&amp;", "&amp;N594</f>
        <v>Sello principal, 367-3961, CATERPILLAR</v>
      </c>
      <c r="D594" s="21" t="s">
        <v>256</v>
      </c>
      <c r="E594" s="21" t="s">
        <v>21</v>
      </c>
      <c r="F594" s="7" t="s">
        <v>22</v>
      </c>
      <c r="G594" s="7" t="s">
        <v>1172</v>
      </c>
      <c r="J594" s="7" t="s">
        <v>28</v>
      </c>
      <c r="L594" s="44">
        <v>93.38</v>
      </c>
      <c r="M594" s="7" t="s">
        <v>23</v>
      </c>
      <c r="N594" s="7" t="s">
        <v>24</v>
      </c>
      <c r="O594" s="20" t="s">
        <v>1171</v>
      </c>
    </row>
    <row r="595" spans="1:15" ht="14.25" customHeight="1" x14ac:dyDescent="0.3">
      <c r="A595" s="19" t="s">
        <v>1301</v>
      </c>
      <c r="C595" s="8" t="str">
        <f>G595&amp;", "&amp;O595&amp;", "&amp;N595</f>
        <v>Conjunto de sello, 4T-5173, CATERPILLAR</v>
      </c>
      <c r="D595" s="21" t="s">
        <v>257</v>
      </c>
      <c r="E595" s="21" t="s">
        <v>21</v>
      </c>
      <c r="F595" s="7" t="s">
        <v>22</v>
      </c>
      <c r="G595" s="7" t="s">
        <v>713</v>
      </c>
      <c r="J595" s="7" t="s">
        <v>28</v>
      </c>
      <c r="L595" s="44">
        <v>135.11000000000001</v>
      </c>
      <c r="M595" s="7" t="s">
        <v>23</v>
      </c>
      <c r="N595" s="7" t="s">
        <v>24</v>
      </c>
      <c r="O595" s="20" t="s">
        <v>1174</v>
      </c>
    </row>
    <row r="596" spans="1:15" ht="14.25" customHeight="1" x14ac:dyDescent="0.3">
      <c r="A596" s="19" t="s">
        <v>1301</v>
      </c>
      <c r="C596" s="8" t="str">
        <f>G596&amp;", "&amp;O596&amp;", "&amp;N596</f>
        <v>Limpiador, 225-3294, CATERPILLAR</v>
      </c>
      <c r="D596" s="21" t="s">
        <v>258</v>
      </c>
      <c r="E596" s="21" t="s">
        <v>21</v>
      </c>
      <c r="F596" s="7" t="s">
        <v>22</v>
      </c>
      <c r="G596" s="7" t="s">
        <v>940</v>
      </c>
      <c r="J596" s="7" t="s">
        <v>28</v>
      </c>
      <c r="L596" s="44">
        <v>77.09</v>
      </c>
      <c r="M596" s="7" t="s">
        <v>23</v>
      </c>
      <c r="N596" s="7" t="s">
        <v>24</v>
      </c>
      <c r="O596" s="20" t="s">
        <v>1175</v>
      </c>
    </row>
    <row r="597" spans="1:15" ht="14.25" customHeight="1" x14ac:dyDescent="0.3">
      <c r="A597" s="19" t="s">
        <v>1301</v>
      </c>
      <c r="C597" s="8" t="str">
        <f>G597&amp;", "&amp;O597&amp;", "&amp;N597</f>
        <v>Sello principal, 167-2339, CATERPILLAR</v>
      </c>
      <c r="D597" s="21" t="s">
        <v>259</v>
      </c>
      <c r="E597" s="21" t="s">
        <v>21</v>
      </c>
      <c r="F597" s="7" t="s">
        <v>22</v>
      </c>
      <c r="G597" s="7" t="s">
        <v>1172</v>
      </c>
      <c r="J597" s="7" t="s">
        <v>28</v>
      </c>
      <c r="L597" s="44">
        <v>166.99</v>
      </c>
      <c r="M597" s="7" t="s">
        <v>23</v>
      </c>
      <c r="N597" s="7" t="s">
        <v>24</v>
      </c>
      <c r="O597" s="20" t="s">
        <v>1176</v>
      </c>
    </row>
    <row r="598" spans="1:15" ht="14.25" customHeight="1" x14ac:dyDescent="0.3">
      <c r="A598" s="19" t="s">
        <v>1301</v>
      </c>
      <c r="C598" s="8" t="str">
        <f>G598&amp;", "&amp;O598&amp;", "&amp;N598</f>
        <v>Sello principal, 289-2948, CATERPILLAR</v>
      </c>
      <c r="D598" s="21" t="s">
        <v>260</v>
      </c>
      <c r="E598" s="21" t="s">
        <v>21</v>
      </c>
      <c r="F598" s="7" t="s">
        <v>22</v>
      </c>
      <c r="G598" s="7" t="s">
        <v>1172</v>
      </c>
      <c r="J598" s="7" t="s">
        <v>28</v>
      </c>
      <c r="L598" s="44">
        <v>44.49</v>
      </c>
      <c r="M598" s="7" t="s">
        <v>23</v>
      </c>
      <c r="N598" s="7" t="s">
        <v>24</v>
      </c>
      <c r="O598" s="20" t="s">
        <v>1177</v>
      </c>
    </row>
    <row r="599" spans="1:15" ht="14.25" customHeight="1" x14ac:dyDescent="0.3">
      <c r="A599" s="19" t="s">
        <v>1301</v>
      </c>
      <c r="C599" s="8" t="str">
        <f>G599&amp;", "&amp;O599&amp;", "&amp;N599</f>
        <v>Sello principal, 324-6439, CATERPILLAR</v>
      </c>
      <c r="D599" s="21" t="s">
        <v>261</v>
      </c>
      <c r="E599" s="21" t="s">
        <v>21</v>
      </c>
      <c r="F599" s="7" t="s">
        <v>22</v>
      </c>
      <c r="G599" s="7" t="s">
        <v>1172</v>
      </c>
      <c r="J599" s="7" t="s">
        <v>28</v>
      </c>
      <c r="L599" s="44">
        <v>70.91</v>
      </c>
      <c r="M599" s="7" t="s">
        <v>23</v>
      </c>
      <c r="N599" s="7" t="s">
        <v>24</v>
      </c>
      <c r="O599" s="20" t="s">
        <v>1178</v>
      </c>
    </row>
    <row r="600" spans="1:15" ht="14.25" customHeight="1" x14ac:dyDescent="0.3">
      <c r="A600" s="19" t="s">
        <v>1301</v>
      </c>
      <c r="C600" s="8" t="str">
        <f>G600&amp;", "&amp;O600&amp;", "&amp;N600</f>
        <v>Sello principal, 415-3212, CATERPILLAR</v>
      </c>
      <c r="D600" s="21" t="s">
        <v>262</v>
      </c>
      <c r="E600" s="21" t="s">
        <v>21</v>
      </c>
      <c r="F600" s="7" t="s">
        <v>22</v>
      </c>
      <c r="G600" s="14" t="s">
        <v>1172</v>
      </c>
      <c r="J600" s="7" t="s">
        <v>28</v>
      </c>
      <c r="L600" s="44">
        <v>46.91</v>
      </c>
      <c r="M600" s="7" t="s">
        <v>23</v>
      </c>
      <c r="N600" s="7" t="s">
        <v>24</v>
      </c>
      <c r="O600" s="20" t="s">
        <v>1179</v>
      </c>
    </row>
    <row r="601" spans="1:15" ht="14.25" customHeight="1" x14ac:dyDescent="0.3">
      <c r="A601" s="19" t="s">
        <v>1301</v>
      </c>
      <c r="C601" s="8" t="str">
        <f>G601&amp;", "&amp;O601&amp;", "&amp;N601</f>
        <v>Sello principal, 421-4025, CATERPILLAR</v>
      </c>
      <c r="D601" s="21" t="s">
        <v>263</v>
      </c>
      <c r="E601" s="21" t="s">
        <v>21</v>
      </c>
      <c r="F601" s="7" t="s">
        <v>22</v>
      </c>
      <c r="G601" s="7" t="s">
        <v>1172</v>
      </c>
      <c r="J601" s="7" t="s">
        <v>28</v>
      </c>
      <c r="L601" s="44">
        <v>48.37</v>
      </c>
      <c r="M601" s="7" t="s">
        <v>23</v>
      </c>
      <c r="N601" s="7" t="s">
        <v>24</v>
      </c>
      <c r="O601" s="20" t="s">
        <v>1180</v>
      </c>
    </row>
    <row r="602" spans="1:15" ht="14.25" customHeight="1" x14ac:dyDescent="0.3">
      <c r="A602" s="19" t="s">
        <v>1301</v>
      </c>
      <c r="C602" s="8" t="str">
        <f>G602&amp;", "&amp;O602&amp;", "&amp;N602</f>
        <v>Sello principal, 421-4026, CATERPILLAR</v>
      </c>
      <c r="D602" s="21" t="s">
        <v>264</v>
      </c>
      <c r="E602" s="21" t="s">
        <v>21</v>
      </c>
      <c r="F602" s="7" t="s">
        <v>22</v>
      </c>
      <c r="G602" s="7" t="s">
        <v>1172</v>
      </c>
      <c r="J602" s="7" t="s">
        <v>28</v>
      </c>
      <c r="L602" s="44">
        <v>50.77</v>
      </c>
      <c r="M602" s="7" t="s">
        <v>23</v>
      </c>
      <c r="N602" s="7" t="s">
        <v>24</v>
      </c>
      <c r="O602" s="20" t="s">
        <v>1181</v>
      </c>
    </row>
    <row r="603" spans="1:15" ht="14.25" customHeight="1" x14ac:dyDescent="0.3">
      <c r="A603" s="19" t="s">
        <v>1301</v>
      </c>
      <c r="C603" s="8" t="str">
        <f>G603&amp;", "&amp;O603&amp;", "&amp;N603</f>
        <v>Sello anular, 224-7262, CATERPILLAR</v>
      </c>
      <c r="D603" s="21" t="s">
        <v>265</v>
      </c>
      <c r="E603" s="21" t="s">
        <v>21</v>
      </c>
      <c r="F603" s="7" t="s">
        <v>22</v>
      </c>
      <c r="G603" s="7" t="s">
        <v>971</v>
      </c>
      <c r="J603" s="7" t="s">
        <v>28</v>
      </c>
      <c r="L603" s="44">
        <v>3.79</v>
      </c>
      <c r="M603" s="7" t="s">
        <v>23</v>
      </c>
      <c r="N603" s="7" t="s">
        <v>24</v>
      </c>
      <c r="O603" s="20" t="s">
        <v>60</v>
      </c>
    </row>
    <row r="604" spans="1:15" ht="14.25" customHeight="1" x14ac:dyDescent="0.3">
      <c r="A604" s="19" t="s">
        <v>1301</v>
      </c>
      <c r="C604" s="8" t="str">
        <f>G604&amp;", "&amp;O604&amp;", "&amp;N604</f>
        <v>Sello anular, 8C-3106, CATERPILLAR</v>
      </c>
      <c r="D604" s="21" t="s">
        <v>266</v>
      </c>
      <c r="E604" s="21" t="s">
        <v>21</v>
      </c>
      <c r="F604" s="7" t="s">
        <v>22</v>
      </c>
      <c r="G604" s="7" t="s">
        <v>971</v>
      </c>
      <c r="J604" s="7" t="s">
        <v>28</v>
      </c>
      <c r="L604" s="44">
        <v>8.08</v>
      </c>
      <c r="M604" s="7" t="s">
        <v>23</v>
      </c>
      <c r="N604" s="7" t="s">
        <v>24</v>
      </c>
      <c r="O604" s="20" t="s">
        <v>61</v>
      </c>
    </row>
    <row r="605" spans="1:15" ht="14.25" customHeight="1" x14ac:dyDescent="0.3">
      <c r="A605" s="19" t="s">
        <v>1301</v>
      </c>
      <c r="C605" s="8" t="str">
        <f>G605&amp;", "&amp;O605&amp;", "&amp;N605</f>
        <v>Sello anular, 175-7902, CATERPILLAR</v>
      </c>
      <c r="D605" s="21" t="s">
        <v>267</v>
      </c>
      <c r="E605" s="21" t="s">
        <v>21</v>
      </c>
      <c r="F605" s="7" t="s">
        <v>22</v>
      </c>
      <c r="G605" s="7" t="s">
        <v>971</v>
      </c>
      <c r="J605" s="7" t="s">
        <v>28</v>
      </c>
      <c r="L605" s="44">
        <v>11.1</v>
      </c>
      <c r="M605" s="7" t="s">
        <v>23</v>
      </c>
      <c r="N605" s="7" t="s">
        <v>24</v>
      </c>
      <c r="O605" s="20" t="s">
        <v>1182</v>
      </c>
    </row>
    <row r="606" spans="1:15" ht="14.25" customHeight="1" x14ac:dyDescent="0.3">
      <c r="A606" s="19" t="s">
        <v>1301</v>
      </c>
      <c r="C606" s="8" t="str">
        <f>G606&amp;", "&amp;O606&amp;", "&amp;N606</f>
        <v>Shim, EK2731, KOMATSU</v>
      </c>
      <c r="D606" s="21" t="s">
        <v>268</v>
      </c>
      <c r="E606" s="21" t="s">
        <v>21</v>
      </c>
      <c r="F606" s="7" t="s">
        <v>22</v>
      </c>
      <c r="G606" s="7" t="s">
        <v>1191</v>
      </c>
      <c r="J606" s="7" t="s">
        <v>28</v>
      </c>
      <c r="L606" s="44">
        <v>33.56</v>
      </c>
      <c r="M606" s="7" t="s">
        <v>23</v>
      </c>
      <c r="N606" s="7" t="s">
        <v>30</v>
      </c>
      <c r="O606" s="20" t="s">
        <v>1183</v>
      </c>
    </row>
    <row r="607" spans="1:15" ht="14.25" customHeight="1" x14ac:dyDescent="0.3">
      <c r="A607" s="19" t="s">
        <v>1301</v>
      </c>
      <c r="C607" s="8" t="str">
        <f>G607&amp;", "&amp;O607&amp;", "&amp;N607</f>
        <v>Shim, EK2732, KOMATSU</v>
      </c>
      <c r="D607" s="21" t="s">
        <v>269</v>
      </c>
      <c r="E607" s="21" t="s">
        <v>21</v>
      </c>
      <c r="F607" s="7" t="s">
        <v>22</v>
      </c>
      <c r="G607" s="7" t="s">
        <v>1191</v>
      </c>
      <c r="J607" s="7" t="s">
        <v>28</v>
      </c>
      <c r="L607" s="44">
        <v>35.880000000000003</v>
      </c>
      <c r="M607" s="7" t="s">
        <v>23</v>
      </c>
      <c r="N607" s="7" t="s">
        <v>30</v>
      </c>
      <c r="O607" s="13" t="s">
        <v>1184</v>
      </c>
    </row>
    <row r="608" spans="1:15" ht="14.25" customHeight="1" x14ac:dyDescent="0.3">
      <c r="A608" s="19" t="s">
        <v>1301</v>
      </c>
      <c r="C608" s="8" t="str">
        <f>G608&amp;", "&amp;O608&amp;", "&amp;N608</f>
        <v>Shim, EK2733, KOMATSU</v>
      </c>
      <c r="D608" s="21" t="s">
        <v>270</v>
      </c>
      <c r="E608" s="21" t="s">
        <v>21</v>
      </c>
      <c r="F608" s="7" t="s">
        <v>22</v>
      </c>
      <c r="G608" s="7" t="s">
        <v>1191</v>
      </c>
      <c r="J608" s="7" t="s">
        <v>28</v>
      </c>
      <c r="L608" s="44">
        <v>48.58</v>
      </c>
      <c r="M608" s="7" t="s">
        <v>23</v>
      </c>
      <c r="N608" s="7" t="s">
        <v>30</v>
      </c>
      <c r="O608" s="13" t="s">
        <v>1185</v>
      </c>
    </row>
    <row r="609" spans="1:15" ht="14.25" customHeight="1" x14ac:dyDescent="0.3">
      <c r="A609" s="19" t="s">
        <v>1301</v>
      </c>
      <c r="C609" s="8" t="str">
        <f>G609&amp;", "&amp;O609&amp;", "&amp;N609</f>
        <v>Shim, EL-2878, KOMATSU</v>
      </c>
      <c r="D609" s="21" t="s">
        <v>271</v>
      </c>
      <c r="E609" s="21" t="s">
        <v>21</v>
      </c>
      <c r="F609" s="7" t="s">
        <v>22</v>
      </c>
      <c r="G609" s="7" t="s">
        <v>1191</v>
      </c>
      <c r="J609" s="7" t="s">
        <v>28</v>
      </c>
      <c r="L609" s="44">
        <v>66.819999999999993</v>
      </c>
      <c r="M609" s="7" t="s">
        <v>23</v>
      </c>
      <c r="N609" s="7" t="s">
        <v>30</v>
      </c>
      <c r="O609" s="20" t="s">
        <v>1186</v>
      </c>
    </row>
    <row r="610" spans="1:15" ht="14.25" customHeight="1" x14ac:dyDescent="0.3">
      <c r="A610" s="19" t="s">
        <v>1301</v>
      </c>
      <c r="C610" s="8" t="str">
        <f>G610&amp;", "&amp;O610&amp;", "&amp;N610</f>
        <v>Shim, EL-2876, KOMATSU</v>
      </c>
      <c r="D610" s="21" t="s">
        <v>272</v>
      </c>
      <c r="E610" s="21" t="s">
        <v>21</v>
      </c>
      <c r="F610" s="7" t="s">
        <v>22</v>
      </c>
      <c r="G610" s="7" t="s">
        <v>1191</v>
      </c>
      <c r="J610" s="7" t="s">
        <v>28</v>
      </c>
      <c r="L610" s="44">
        <v>29.84</v>
      </c>
      <c r="M610" s="7" t="s">
        <v>23</v>
      </c>
      <c r="N610" s="7" t="s">
        <v>30</v>
      </c>
      <c r="O610" s="20" t="s">
        <v>1187</v>
      </c>
    </row>
    <row r="611" spans="1:15" ht="14.25" customHeight="1" x14ac:dyDescent="0.3">
      <c r="A611" s="19" t="s">
        <v>1301</v>
      </c>
      <c r="C611" s="8" t="str">
        <f>G611&amp;", "&amp;O611&amp;", "&amp;N611</f>
        <v>Shim, EL-2877, KOMATSU</v>
      </c>
      <c r="D611" s="21" t="s">
        <v>273</v>
      </c>
      <c r="E611" s="21" t="s">
        <v>21</v>
      </c>
      <c r="F611" s="7" t="s">
        <v>22</v>
      </c>
      <c r="G611" s="7" t="s">
        <v>1191</v>
      </c>
      <c r="J611" s="7" t="s">
        <v>28</v>
      </c>
      <c r="L611" s="44">
        <v>30.8</v>
      </c>
      <c r="M611" s="7" t="s">
        <v>23</v>
      </c>
      <c r="N611" s="7" t="s">
        <v>30</v>
      </c>
      <c r="O611" s="20" t="s">
        <v>1188</v>
      </c>
    </row>
    <row r="612" spans="1:15" ht="14.25" customHeight="1" x14ac:dyDescent="0.3">
      <c r="A612" s="19" t="s">
        <v>1301</v>
      </c>
      <c r="C612" s="8" t="str">
        <f>G612&amp;", "&amp;O612&amp;", "&amp;N612</f>
        <v>Sensor de velocidad, EJ-7475, KOMATSU</v>
      </c>
      <c r="D612" s="21" t="s">
        <v>274</v>
      </c>
      <c r="E612" s="21" t="s">
        <v>21</v>
      </c>
      <c r="F612" s="7" t="s">
        <v>22</v>
      </c>
      <c r="G612" s="7" t="s">
        <v>1192</v>
      </c>
      <c r="J612" s="7" t="s">
        <v>28</v>
      </c>
      <c r="L612" s="44">
        <v>4.4400000000000004</v>
      </c>
      <c r="M612" s="7" t="s">
        <v>23</v>
      </c>
      <c r="N612" s="7" t="s">
        <v>30</v>
      </c>
      <c r="O612" s="20" t="s">
        <v>1189</v>
      </c>
    </row>
    <row r="613" spans="1:15" ht="14.25" customHeight="1" x14ac:dyDescent="0.3">
      <c r="A613" s="19" t="s">
        <v>1301</v>
      </c>
      <c r="C613" s="8" t="str">
        <f>G613&amp;", "&amp;O613&amp;", "&amp;N613</f>
        <v>Resorte, 164-3261, CATERPILLAR</v>
      </c>
      <c r="D613" s="21" t="s">
        <v>275</v>
      </c>
      <c r="E613" s="21" t="s">
        <v>21</v>
      </c>
      <c r="F613" s="7" t="s">
        <v>22</v>
      </c>
      <c r="G613" s="7" t="s">
        <v>1038</v>
      </c>
      <c r="J613" s="7" t="s">
        <v>28</v>
      </c>
      <c r="L613" s="44">
        <v>59.87</v>
      </c>
      <c r="M613" s="7" t="s">
        <v>23</v>
      </c>
      <c r="N613" s="7" t="s">
        <v>24</v>
      </c>
      <c r="O613" s="20" t="s">
        <v>1194</v>
      </c>
    </row>
    <row r="614" spans="1:15" ht="14.25" customHeight="1" x14ac:dyDescent="0.3">
      <c r="A614" s="19" t="s">
        <v>1301</v>
      </c>
      <c r="C614" s="8" t="str">
        <f>G614&amp;", "&amp;O614&amp;", "&amp;N614</f>
        <v>Resorte, EJ6986, KOMATSU</v>
      </c>
      <c r="D614" s="21" t="s">
        <v>276</v>
      </c>
      <c r="E614" s="21" t="s">
        <v>21</v>
      </c>
      <c r="F614" s="7" t="s">
        <v>22</v>
      </c>
      <c r="G614" s="7" t="s">
        <v>1038</v>
      </c>
      <c r="J614" s="7" t="s">
        <v>28</v>
      </c>
      <c r="L614" s="44">
        <v>36.880000000000003</v>
      </c>
      <c r="M614" s="7" t="s">
        <v>23</v>
      </c>
      <c r="N614" s="7" t="s">
        <v>30</v>
      </c>
      <c r="O614" s="20" t="s">
        <v>1195</v>
      </c>
    </row>
    <row r="615" spans="1:15" ht="14.25" customHeight="1" x14ac:dyDescent="0.3">
      <c r="A615" s="19" t="s">
        <v>1301</v>
      </c>
      <c r="C615" s="8" t="str">
        <f>G615&amp;", "&amp;O615&amp;", "&amp;N615</f>
        <v>Tapa, 357-5257, CATERPILLAR</v>
      </c>
      <c r="D615" s="21" t="s">
        <v>277</v>
      </c>
      <c r="E615" s="21" t="s">
        <v>21</v>
      </c>
      <c r="F615" s="7" t="s">
        <v>22</v>
      </c>
      <c r="G615" s="7" t="s">
        <v>431</v>
      </c>
      <c r="J615" s="7" t="s">
        <v>28</v>
      </c>
      <c r="L615" s="44">
        <v>289.36</v>
      </c>
      <c r="M615" s="7" t="s">
        <v>23</v>
      </c>
      <c r="N615" s="7" t="s">
        <v>24</v>
      </c>
      <c r="O615" s="20" t="s">
        <v>1196</v>
      </c>
    </row>
    <row r="616" spans="1:15" ht="14.25" customHeight="1" x14ac:dyDescent="0.3">
      <c r="A616" s="19" t="s">
        <v>1301</v>
      </c>
      <c r="C616" s="8" t="str">
        <f>G616&amp;", "&amp;O616&amp;", "&amp;N616</f>
        <v>Tapa, 438-1136, CATERPILLAR</v>
      </c>
      <c r="D616" s="21" t="s">
        <v>278</v>
      </c>
      <c r="E616" s="21" t="s">
        <v>21</v>
      </c>
      <c r="F616" s="7" t="s">
        <v>22</v>
      </c>
      <c r="G616" s="7" t="s">
        <v>431</v>
      </c>
      <c r="J616" s="7" t="s">
        <v>28</v>
      </c>
      <c r="L616" s="44">
        <v>150.24</v>
      </c>
      <c r="M616" s="7" t="s">
        <v>23</v>
      </c>
      <c r="N616" s="7" t="s">
        <v>24</v>
      </c>
      <c r="O616" s="20" t="s">
        <v>1197</v>
      </c>
    </row>
    <row r="617" spans="1:15" ht="14.25" customHeight="1" x14ac:dyDescent="0.3">
      <c r="A617" s="19" t="s">
        <v>1301</v>
      </c>
      <c r="C617" s="8" t="str">
        <f>G617&amp;", "&amp;O617&amp;", "&amp;N617</f>
        <v>Tapa, 7D-5435, CATERPILLAR</v>
      </c>
      <c r="D617" s="21" t="s">
        <v>279</v>
      </c>
      <c r="E617" s="21" t="s">
        <v>21</v>
      </c>
      <c r="F617" s="7" t="s">
        <v>22</v>
      </c>
      <c r="G617" s="7" t="s">
        <v>431</v>
      </c>
      <c r="J617" s="7" t="s">
        <v>28</v>
      </c>
      <c r="L617" s="44">
        <v>104.29</v>
      </c>
      <c r="M617" s="7" t="s">
        <v>23</v>
      </c>
      <c r="N617" s="7" t="s">
        <v>24</v>
      </c>
      <c r="O617" s="20" t="s">
        <v>1198</v>
      </c>
    </row>
    <row r="618" spans="1:15" ht="14.25" customHeight="1" x14ac:dyDescent="0.3">
      <c r="A618" s="19" t="s">
        <v>1301</v>
      </c>
      <c r="C618" s="8" t="str">
        <f>G618&amp;", "&amp;O618&amp;", "&amp;N618</f>
        <v>Tapa, 217-0162, CATERPILLAR</v>
      </c>
      <c r="D618" s="21" t="s">
        <v>280</v>
      </c>
      <c r="E618" s="21" t="s">
        <v>21</v>
      </c>
      <c r="F618" s="7" t="s">
        <v>22</v>
      </c>
      <c r="G618" s="7" t="s">
        <v>431</v>
      </c>
      <c r="J618" s="7" t="s">
        <v>28</v>
      </c>
      <c r="L618" s="44">
        <v>152.22</v>
      </c>
      <c r="M618" s="7" t="s">
        <v>23</v>
      </c>
      <c r="N618" s="7" t="s">
        <v>24</v>
      </c>
      <c r="O618" s="20" t="s">
        <v>56</v>
      </c>
    </row>
    <row r="619" spans="1:15" ht="14.25" customHeight="1" x14ac:dyDescent="0.3">
      <c r="A619" s="19" t="s">
        <v>1301</v>
      </c>
      <c r="C619" s="8" t="str">
        <f>G619&amp;", "&amp;O619&amp;", "&amp;N619</f>
        <v>Tapon, 5M-6213, CATERPILLAR</v>
      </c>
      <c r="D619" s="21" t="s">
        <v>281</v>
      </c>
      <c r="E619" s="21" t="s">
        <v>21</v>
      </c>
      <c r="F619" s="7" t="s">
        <v>22</v>
      </c>
      <c r="G619" s="7" t="s">
        <v>41</v>
      </c>
      <c r="J619" s="7" t="s">
        <v>28</v>
      </c>
      <c r="L619" s="44">
        <v>6.24</v>
      </c>
      <c r="M619" s="7" t="s">
        <v>23</v>
      </c>
      <c r="N619" s="7" t="s">
        <v>24</v>
      </c>
      <c r="O619" s="20" t="s">
        <v>1199</v>
      </c>
    </row>
    <row r="620" spans="1:15" ht="14.25" customHeight="1" x14ac:dyDescent="0.3">
      <c r="A620" s="19" t="s">
        <v>1301</v>
      </c>
      <c r="C620" s="8" t="str">
        <f>G620&amp;", "&amp;O620&amp;", "&amp;N620</f>
        <v>Tapon, 5M-6214, CATERPILLAR</v>
      </c>
      <c r="D620" s="21" t="s">
        <v>282</v>
      </c>
      <c r="E620" s="21" t="s">
        <v>21</v>
      </c>
      <c r="F620" s="7" t="s">
        <v>22</v>
      </c>
      <c r="G620" s="7" t="s">
        <v>41</v>
      </c>
      <c r="J620" s="7" t="s">
        <v>28</v>
      </c>
      <c r="L620" s="44">
        <v>4.78</v>
      </c>
      <c r="M620" s="7" t="s">
        <v>23</v>
      </c>
      <c r="N620" s="7" t="s">
        <v>24</v>
      </c>
      <c r="O620" s="20" t="s">
        <v>1200</v>
      </c>
    </row>
    <row r="621" spans="1:15" ht="14.25" customHeight="1" x14ac:dyDescent="0.3">
      <c r="A621" s="19" t="s">
        <v>1301</v>
      </c>
      <c r="C621" s="8" t="str">
        <f>G621&amp;", "&amp;O621&amp;", "&amp;N621</f>
        <v>Tapon, 5T-6503, CATERPILLAR</v>
      </c>
      <c r="D621" s="21" t="s">
        <v>283</v>
      </c>
      <c r="E621" s="21" t="s">
        <v>21</v>
      </c>
      <c r="F621" s="7" t="s">
        <v>22</v>
      </c>
      <c r="G621" s="7" t="s">
        <v>41</v>
      </c>
      <c r="J621" s="7" t="s">
        <v>28</v>
      </c>
      <c r="L621" s="44">
        <v>42.99</v>
      </c>
      <c r="M621" s="7" t="s">
        <v>23</v>
      </c>
      <c r="N621" s="7" t="s">
        <v>24</v>
      </c>
      <c r="O621" s="20" t="s">
        <v>1201</v>
      </c>
    </row>
    <row r="622" spans="1:15" ht="14.25" customHeight="1" x14ac:dyDescent="0.3">
      <c r="A622" s="19" t="s">
        <v>1301</v>
      </c>
      <c r="C622" s="8" t="str">
        <f>G622&amp;", "&amp;O622&amp;", "&amp;N622</f>
        <v>Tapon, 8T-6757, CATERPILLAR</v>
      </c>
      <c r="D622" s="21" t="s">
        <v>284</v>
      </c>
      <c r="E622" s="21" t="s">
        <v>21</v>
      </c>
      <c r="F622" s="7" t="s">
        <v>22</v>
      </c>
      <c r="G622" s="7" t="s">
        <v>41</v>
      </c>
      <c r="J622" s="7" t="s">
        <v>28</v>
      </c>
      <c r="L622" s="44">
        <v>3.31</v>
      </c>
      <c r="M622" s="7" t="s">
        <v>23</v>
      </c>
      <c r="N622" s="7" t="s">
        <v>24</v>
      </c>
      <c r="O622" s="20" t="s">
        <v>1202</v>
      </c>
    </row>
    <row r="623" spans="1:15" ht="14.25" customHeight="1" x14ac:dyDescent="0.3">
      <c r="A623" s="19" t="s">
        <v>1301</v>
      </c>
      <c r="C623" s="8" t="str">
        <f>G623&amp;", "&amp;O623&amp;", "&amp;N623</f>
        <v>Tapon, 9S-4182, CATERPILLAR</v>
      </c>
      <c r="D623" s="21" t="s">
        <v>285</v>
      </c>
      <c r="E623" s="21" t="s">
        <v>21</v>
      </c>
      <c r="F623" s="7" t="s">
        <v>22</v>
      </c>
      <c r="G623" s="7" t="s">
        <v>41</v>
      </c>
      <c r="J623" s="7" t="s">
        <v>28</v>
      </c>
      <c r="L623" s="44">
        <v>16.54</v>
      </c>
      <c r="M623" s="7" t="s">
        <v>23</v>
      </c>
      <c r="N623" s="7" t="s">
        <v>24</v>
      </c>
      <c r="O623" s="20" t="s">
        <v>1203</v>
      </c>
    </row>
    <row r="624" spans="1:15" ht="14.25" customHeight="1" x14ac:dyDescent="0.3">
      <c r="A624" s="19" t="s">
        <v>1301</v>
      </c>
      <c r="C624" s="8" t="str">
        <f>G624&amp;", "&amp;O624&amp;", "&amp;N624</f>
        <v>Tapon, 9S-8001, CATERPILLAR</v>
      </c>
      <c r="D624" s="21" t="s">
        <v>286</v>
      </c>
      <c r="E624" s="21" t="s">
        <v>21</v>
      </c>
      <c r="F624" s="7" t="s">
        <v>22</v>
      </c>
      <c r="G624" s="7" t="s">
        <v>41</v>
      </c>
      <c r="J624" s="7" t="s">
        <v>28</v>
      </c>
      <c r="L624" s="44">
        <v>7.71</v>
      </c>
      <c r="M624" s="7" t="s">
        <v>23</v>
      </c>
      <c r="N624" s="7" t="s">
        <v>24</v>
      </c>
      <c r="O624" s="20" t="s">
        <v>1204</v>
      </c>
    </row>
    <row r="625" spans="1:16" ht="14.25" customHeight="1" x14ac:dyDescent="0.3">
      <c r="A625" s="19" t="s">
        <v>1301</v>
      </c>
      <c r="C625" s="8" t="str">
        <f>G625&amp;", "&amp;O625&amp;", "&amp;N625</f>
        <v>Tapon, 9S-8005, CATERPILLAR</v>
      </c>
      <c r="D625" s="21" t="s">
        <v>287</v>
      </c>
      <c r="E625" s="21" t="s">
        <v>21</v>
      </c>
      <c r="F625" s="7" t="s">
        <v>22</v>
      </c>
      <c r="G625" s="7" t="s">
        <v>41</v>
      </c>
      <c r="J625" s="7" t="s">
        <v>28</v>
      </c>
      <c r="L625" s="44">
        <v>10.8</v>
      </c>
      <c r="M625" s="7" t="s">
        <v>23</v>
      </c>
      <c r="N625" s="7" t="s">
        <v>24</v>
      </c>
      <c r="O625" s="20" t="s">
        <v>1205</v>
      </c>
    </row>
    <row r="626" spans="1:16" ht="14.25" customHeight="1" x14ac:dyDescent="0.3">
      <c r="A626" s="19" t="s">
        <v>1301</v>
      </c>
      <c r="C626" s="8" t="str">
        <f>G626&amp;", "&amp;O626&amp;", "&amp;N626</f>
        <v>Tapon, TAPON BOSS 6, ALTERNATIVO</v>
      </c>
      <c r="D626" s="21" t="s">
        <v>288</v>
      </c>
      <c r="E626" s="21" t="s">
        <v>21</v>
      </c>
      <c r="F626" s="7" t="s">
        <v>22</v>
      </c>
      <c r="G626" s="7" t="s">
        <v>41</v>
      </c>
      <c r="J626" s="7" t="s">
        <v>28</v>
      </c>
      <c r="L626" s="44">
        <v>18.510000000000002</v>
      </c>
      <c r="M626" s="7" t="s">
        <v>23</v>
      </c>
      <c r="N626" s="7" t="s">
        <v>49</v>
      </c>
      <c r="O626" s="20" t="s">
        <v>1206</v>
      </c>
    </row>
    <row r="627" spans="1:16" ht="14.25" customHeight="1" x14ac:dyDescent="0.3">
      <c r="A627" s="19" t="s">
        <v>1301</v>
      </c>
      <c r="C627" s="8" t="str">
        <f>G627&amp;", "&amp;O627&amp;", "&amp;N627</f>
        <v>Tapon, 8T-8737, CATERPILLAR</v>
      </c>
      <c r="D627" s="21" t="s">
        <v>289</v>
      </c>
      <c r="E627" s="21" t="s">
        <v>21</v>
      </c>
      <c r="F627" s="7" t="s">
        <v>22</v>
      </c>
      <c r="G627" s="7" t="s">
        <v>41</v>
      </c>
      <c r="J627" s="7" t="s">
        <v>28</v>
      </c>
      <c r="L627" s="44">
        <v>0.87</v>
      </c>
      <c r="M627" s="7" t="s">
        <v>23</v>
      </c>
      <c r="N627" s="7" t="s">
        <v>24</v>
      </c>
      <c r="O627" s="20" t="s">
        <v>1208</v>
      </c>
    </row>
    <row r="628" spans="1:16" ht="14.25" customHeight="1" x14ac:dyDescent="0.3">
      <c r="A628" s="19" t="s">
        <v>1301</v>
      </c>
      <c r="C628" s="8" t="str">
        <f>G628&amp;", "&amp;O628&amp;", "&amp;N628</f>
        <v>Tapon, 1N-5999, CATERPILLAR</v>
      </c>
      <c r="D628" s="21" t="s">
        <v>290</v>
      </c>
      <c r="E628" s="21" t="s">
        <v>21</v>
      </c>
      <c r="F628" s="7" t="s">
        <v>22</v>
      </c>
      <c r="G628" s="7" t="s">
        <v>41</v>
      </c>
      <c r="J628" s="7" t="s">
        <v>28</v>
      </c>
      <c r="L628" s="44">
        <v>6.95</v>
      </c>
      <c r="M628" s="7" t="s">
        <v>23</v>
      </c>
      <c r="N628" s="7" t="s">
        <v>24</v>
      </c>
      <c r="O628" s="20" t="s">
        <v>1207</v>
      </c>
    </row>
    <row r="629" spans="1:16" ht="14.25" customHeight="1" x14ac:dyDescent="0.3">
      <c r="A629" s="19" t="s">
        <v>1301</v>
      </c>
      <c r="C629" s="8" t="str">
        <f>G629&amp;", "&amp;O629&amp;", "&amp;N629</f>
        <v>Tornillo, 222-3785, CATERPILLAR</v>
      </c>
      <c r="D629" s="21" t="s">
        <v>291</v>
      </c>
      <c r="E629" s="21" t="s">
        <v>21</v>
      </c>
      <c r="F629" s="7" t="s">
        <v>22</v>
      </c>
      <c r="G629" s="7" t="s">
        <v>1104</v>
      </c>
      <c r="J629" s="7" t="s">
        <v>28</v>
      </c>
      <c r="L629" s="44">
        <v>15.23</v>
      </c>
      <c r="M629" s="7" t="s">
        <v>23</v>
      </c>
      <c r="N629" s="7" t="s">
        <v>24</v>
      </c>
      <c r="O629" s="20" t="s">
        <v>59</v>
      </c>
    </row>
    <row r="630" spans="1:16" ht="14.25" customHeight="1" x14ac:dyDescent="0.3">
      <c r="A630" s="19" t="s">
        <v>1301</v>
      </c>
      <c r="C630" s="8" t="str">
        <f>G630&amp;", "&amp;O630&amp;", "&amp;N630</f>
        <v>Tornillo, 095-1265, CATERPILLAR</v>
      </c>
      <c r="D630" s="21" t="s">
        <v>292</v>
      </c>
      <c r="E630" s="21" t="s">
        <v>21</v>
      </c>
      <c r="F630" s="7" t="s">
        <v>22</v>
      </c>
      <c r="G630" s="7" t="s">
        <v>1104</v>
      </c>
      <c r="J630" s="7" t="s">
        <v>28</v>
      </c>
      <c r="L630" s="44">
        <v>4.05</v>
      </c>
      <c r="M630" s="7" t="s">
        <v>23</v>
      </c>
      <c r="N630" s="7" t="s">
        <v>24</v>
      </c>
      <c r="O630" s="20" t="s">
        <v>1209</v>
      </c>
    </row>
    <row r="631" spans="1:16" ht="14.25" customHeight="1" x14ac:dyDescent="0.3">
      <c r="A631" s="19" t="s">
        <v>1301</v>
      </c>
      <c r="C631" s="8" t="str">
        <f>G631&amp;", "&amp;O631&amp;", "&amp;N631</f>
        <v>Tornillo, 6V-8223, CATERPILLAR</v>
      </c>
      <c r="D631" s="21" t="s">
        <v>293</v>
      </c>
      <c r="E631" s="21" t="s">
        <v>21</v>
      </c>
      <c r="F631" s="7" t="s">
        <v>22</v>
      </c>
      <c r="G631" s="7" t="s">
        <v>1104</v>
      </c>
      <c r="J631" s="7" t="s">
        <v>28</v>
      </c>
      <c r="L631" s="44">
        <v>4.67</v>
      </c>
      <c r="M631" s="7" t="s">
        <v>23</v>
      </c>
      <c r="N631" s="7" t="s">
        <v>24</v>
      </c>
      <c r="O631" s="20" t="s">
        <v>1210</v>
      </c>
    </row>
    <row r="632" spans="1:16" ht="14.25" customHeight="1" x14ac:dyDescent="0.3">
      <c r="A632" s="19" t="s">
        <v>1301</v>
      </c>
      <c r="C632" s="8" t="str">
        <f>G632&amp;", "&amp;O632&amp;", "&amp;N632</f>
        <v>Tornillo, 8T-5070, CATERPILLAR</v>
      </c>
      <c r="D632" s="21" t="s">
        <v>294</v>
      </c>
      <c r="E632" s="21" t="s">
        <v>21</v>
      </c>
      <c r="F632" s="7" t="s">
        <v>22</v>
      </c>
      <c r="G632" s="7" t="s">
        <v>1104</v>
      </c>
      <c r="J632" s="7" t="s">
        <v>28</v>
      </c>
      <c r="L632" s="44">
        <v>4.51</v>
      </c>
      <c r="M632" s="7" t="s">
        <v>23</v>
      </c>
      <c r="N632" s="7" t="s">
        <v>24</v>
      </c>
      <c r="O632" s="20" t="s">
        <v>1211</v>
      </c>
    </row>
    <row r="633" spans="1:16" ht="14.25" customHeight="1" x14ac:dyDescent="0.3">
      <c r="A633" s="19" t="s">
        <v>1301</v>
      </c>
      <c r="C633" s="8" t="str">
        <f>G633&amp;", "&amp;O633&amp;", "&amp;N633</f>
        <v>Tornillo, 8T-9102, CATERPILLAR</v>
      </c>
      <c r="D633" s="21" t="s">
        <v>295</v>
      </c>
      <c r="E633" s="21" t="s">
        <v>21</v>
      </c>
      <c r="F633" s="7" t="s">
        <v>22</v>
      </c>
      <c r="G633" s="7" t="s">
        <v>1104</v>
      </c>
      <c r="J633" s="7" t="s">
        <v>28</v>
      </c>
      <c r="L633" s="44">
        <v>3.67</v>
      </c>
      <c r="M633" s="7" t="s">
        <v>23</v>
      </c>
      <c r="N633" s="7" t="s">
        <v>24</v>
      </c>
      <c r="O633" s="20" t="s">
        <v>1212</v>
      </c>
    </row>
    <row r="634" spans="1:16" ht="14.25" customHeight="1" x14ac:dyDescent="0.3">
      <c r="A634" s="19" t="s">
        <v>1301</v>
      </c>
      <c r="C634" s="8" t="str">
        <f>G634&amp;", "&amp;O634&amp;", "&amp;N634</f>
        <v>Tornillo, 9X-2609, CATERPILLAR</v>
      </c>
      <c r="D634" s="21" t="s">
        <v>296</v>
      </c>
      <c r="E634" s="21" t="s">
        <v>21</v>
      </c>
      <c r="F634" s="7" t="s">
        <v>22</v>
      </c>
      <c r="G634" s="7" t="s">
        <v>1104</v>
      </c>
      <c r="J634" s="7" t="s">
        <v>28</v>
      </c>
      <c r="L634" s="44">
        <v>3.82</v>
      </c>
      <c r="M634" s="7" t="s">
        <v>23</v>
      </c>
      <c r="N634" s="7" t="s">
        <v>24</v>
      </c>
      <c r="O634" s="20" t="s">
        <v>1213</v>
      </c>
    </row>
    <row r="635" spans="1:16" ht="14.25" customHeight="1" x14ac:dyDescent="0.3">
      <c r="A635" s="19" t="s">
        <v>1301</v>
      </c>
      <c r="C635" s="8" t="str">
        <f>G635&amp;", "&amp;O635&amp;", "&amp;N635</f>
        <v>Trabador, 365-6133, CATERPILLAR</v>
      </c>
      <c r="D635" s="21" t="s">
        <v>297</v>
      </c>
      <c r="E635" s="21" t="s">
        <v>21</v>
      </c>
      <c r="F635" s="7" t="s">
        <v>22</v>
      </c>
      <c r="G635" s="7" t="s">
        <v>1215</v>
      </c>
      <c r="J635" s="7" t="s">
        <v>28</v>
      </c>
      <c r="L635" s="44">
        <v>20.72</v>
      </c>
      <c r="M635" s="7" t="s">
        <v>23</v>
      </c>
      <c r="N635" s="7" t="s">
        <v>24</v>
      </c>
      <c r="O635" s="20" t="s">
        <v>1214</v>
      </c>
    </row>
    <row r="636" spans="1:16" s="24" customFormat="1" ht="14.25" customHeight="1" x14ac:dyDescent="0.3">
      <c r="A636" s="23" t="s">
        <v>1301</v>
      </c>
      <c r="C636" s="25" t="str">
        <f>G636&amp;", "&amp;O636&amp;", "&amp;N636</f>
        <v>Tubos,    TUBO CORRUGADO ABIERTO DE Ø1-1/4", ALTERNATIVO</v>
      </c>
      <c r="D636" s="32" t="s">
        <v>298</v>
      </c>
      <c r="E636" s="32" t="s">
        <v>21</v>
      </c>
      <c r="F636" s="26" t="s">
        <v>22</v>
      </c>
      <c r="G636" s="26" t="s">
        <v>418</v>
      </c>
      <c r="J636" s="26" t="s">
        <v>28</v>
      </c>
      <c r="L636" s="54">
        <v>25</v>
      </c>
      <c r="M636" s="26" t="s">
        <v>23</v>
      </c>
      <c r="N636" s="26" t="s">
        <v>49</v>
      </c>
      <c r="O636" s="27" t="s">
        <v>1305</v>
      </c>
      <c r="P636" s="28" t="s">
        <v>1309</v>
      </c>
    </row>
    <row r="637" spans="1:16" ht="14.25" customHeight="1" x14ac:dyDescent="0.3">
      <c r="A637" s="19" t="s">
        <v>1301</v>
      </c>
      <c r="C637" s="8" t="str">
        <f>G637&amp;", "&amp;O637&amp;", "&amp;N637</f>
        <v>Tuerca, 244-2306, CATERPILLAR</v>
      </c>
      <c r="D637" s="21" t="s">
        <v>299</v>
      </c>
      <c r="E637" s="21" t="s">
        <v>21</v>
      </c>
      <c r="F637" s="7" t="s">
        <v>22</v>
      </c>
      <c r="G637" s="7" t="s">
        <v>1219</v>
      </c>
      <c r="J637" s="7" t="s">
        <v>28</v>
      </c>
      <c r="L637" s="44">
        <v>85.44</v>
      </c>
      <c r="M637" s="7" t="s">
        <v>23</v>
      </c>
      <c r="N637" s="7" t="s">
        <v>24</v>
      </c>
      <c r="O637" s="20" t="s">
        <v>1217</v>
      </c>
    </row>
    <row r="638" spans="1:16" ht="14.25" customHeight="1" x14ac:dyDescent="0.3">
      <c r="A638" s="19" t="s">
        <v>1301</v>
      </c>
      <c r="C638" s="8" t="str">
        <f>G638&amp;", "&amp;O638&amp;", "&amp;N638</f>
        <v>Tuerca, 8B-1002, CATERPILLAR</v>
      </c>
      <c r="D638" s="21" t="s">
        <v>300</v>
      </c>
      <c r="E638" s="21" t="s">
        <v>21</v>
      </c>
      <c r="F638" s="7" t="s">
        <v>22</v>
      </c>
      <c r="G638" s="7" t="s">
        <v>1219</v>
      </c>
      <c r="J638" s="7" t="s">
        <v>28</v>
      </c>
      <c r="L638" s="44">
        <v>50.82</v>
      </c>
      <c r="M638" s="7" t="s">
        <v>23</v>
      </c>
      <c r="N638" s="7" t="s">
        <v>24</v>
      </c>
      <c r="O638" s="20" t="s">
        <v>1218</v>
      </c>
    </row>
    <row r="639" spans="1:16" ht="14.25" customHeight="1" x14ac:dyDescent="0.3">
      <c r="A639" s="19" t="s">
        <v>1301</v>
      </c>
      <c r="C639" s="8" t="str">
        <f>G639&amp;", "&amp;O639&amp;", "&amp;N639</f>
        <v>Sello principal, 167-2318, CATERPILLAR</v>
      </c>
      <c r="D639" s="21" t="s">
        <v>301</v>
      </c>
      <c r="E639" s="21" t="s">
        <v>21</v>
      </c>
      <c r="F639" s="7" t="s">
        <v>22</v>
      </c>
      <c r="G639" s="7" t="s">
        <v>1172</v>
      </c>
      <c r="J639" s="7" t="s">
        <v>28</v>
      </c>
      <c r="L639" s="44">
        <v>52.89</v>
      </c>
      <c r="M639" s="7" t="s">
        <v>23</v>
      </c>
      <c r="N639" s="7" t="s">
        <v>24</v>
      </c>
      <c r="O639" s="20" t="s">
        <v>1220</v>
      </c>
    </row>
    <row r="640" spans="1:16" ht="14.25" customHeight="1" x14ac:dyDescent="0.3">
      <c r="A640" s="19" t="s">
        <v>1301</v>
      </c>
      <c r="C640" s="8" t="str">
        <f>G640&amp;", "&amp;O640&amp;", "&amp;N640</f>
        <v>Válvula, 158-2336, CATERPILLAR</v>
      </c>
      <c r="D640" s="21" t="s">
        <v>302</v>
      </c>
      <c r="E640" s="21" t="s">
        <v>21</v>
      </c>
      <c r="F640" s="7" t="s">
        <v>22</v>
      </c>
      <c r="G640" s="7" t="s">
        <v>1226</v>
      </c>
      <c r="J640" s="7" t="s">
        <v>28</v>
      </c>
      <c r="L640" s="44">
        <v>135.19</v>
      </c>
      <c r="M640" s="7" t="s">
        <v>23</v>
      </c>
      <c r="N640" s="7" t="s">
        <v>24</v>
      </c>
      <c r="O640" s="20" t="s">
        <v>1221</v>
      </c>
    </row>
    <row r="641" spans="1:15" ht="14.25" customHeight="1" x14ac:dyDescent="0.3">
      <c r="A641" s="19" t="s">
        <v>1301</v>
      </c>
      <c r="C641" s="8" t="str">
        <f>G641&amp;", "&amp;O641&amp;", "&amp;N641</f>
        <v>Válvula, 440-2667, CATERPILLAR</v>
      </c>
      <c r="D641" s="21" t="s">
        <v>303</v>
      </c>
      <c r="E641" s="21" t="s">
        <v>21</v>
      </c>
      <c r="F641" s="7" t="s">
        <v>22</v>
      </c>
      <c r="G641" s="7" t="s">
        <v>1226</v>
      </c>
      <c r="J641" s="7" t="s">
        <v>28</v>
      </c>
      <c r="L641" s="44">
        <v>65</v>
      </c>
      <c r="M641" s="7" t="s">
        <v>23</v>
      </c>
      <c r="N641" s="7" t="s">
        <v>24</v>
      </c>
      <c r="O641" s="20" t="s">
        <v>1222</v>
      </c>
    </row>
    <row r="642" spans="1:15" ht="14.25" customHeight="1" x14ac:dyDescent="0.3">
      <c r="A642" s="19" t="s">
        <v>1301</v>
      </c>
      <c r="C642" s="8" t="str">
        <f>G642&amp;", "&amp;O642&amp;", "&amp;N642</f>
        <v>Válvula, PB2194, KOMATSU</v>
      </c>
      <c r="D642" s="21" t="s">
        <v>304</v>
      </c>
      <c r="E642" s="21" t="s">
        <v>21</v>
      </c>
      <c r="F642" s="7" t="s">
        <v>22</v>
      </c>
      <c r="G642" s="7" t="s">
        <v>1226</v>
      </c>
      <c r="J642" s="7" t="s">
        <v>28</v>
      </c>
      <c r="L642" s="44">
        <v>175.56</v>
      </c>
      <c r="M642" s="7" t="s">
        <v>23</v>
      </c>
      <c r="N642" s="7" t="s">
        <v>30</v>
      </c>
      <c r="O642" s="20" t="s">
        <v>1223</v>
      </c>
    </row>
    <row r="643" spans="1:15" ht="14.25" customHeight="1" x14ac:dyDescent="0.3">
      <c r="A643" s="19" t="s">
        <v>1301</v>
      </c>
      <c r="C643" s="8" t="str">
        <f>G643&amp;", "&amp;O643&amp;", "&amp;N643</f>
        <v>Válvula, RK1887, KOMATSU</v>
      </c>
      <c r="D643" s="21" t="s">
        <v>305</v>
      </c>
      <c r="E643" s="21" t="s">
        <v>21</v>
      </c>
      <c r="F643" s="7" t="s">
        <v>22</v>
      </c>
      <c r="G643" s="7" t="s">
        <v>1226</v>
      </c>
      <c r="J643" s="7" t="s">
        <v>28</v>
      </c>
      <c r="L643" s="44">
        <f>40.75*1.5</f>
        <v>61.125</v>
      </c>
      <c r="M643" s="7" t="s">
        <v>23</v>
      </c>
      <c r="N643" s="7" t="s">
        <v>30</v>
      </c>
      <c r="O643" s="20" t="s">
        <v>1224</v>
      </c>
    </row>
    <row r="644" spans="1:15" ht="14.25" customHeight="1" x14ac:dyDescent="0.3">
      <c r="A644" s="19" t="s">
        <v>1301</v>
      </c>
      <c r="C644" s="8" t="str">
        <f>G644&amp;", "&amp;O644&amp;", "&amp;N644</f>
        <v>Válvula, XA5153, KOMATSU</v>
      </c>
      <c r="D644" s="21" t="s">
        <v>306</v>
      </c>
      <c r="E644" s="21" t="s">
        <v>21</v>
      </c>
      <c r="F644" s="7" t="s">
        <v>22</v>
      </c>
      <c r="G644" s="7" t="s">
        <v>1226</v>
      </c>
      <c r="J644" s="7" t="s">
        <v>28</v>
      </c>
      <c r="L644" s="44">
        <v>879.94</v>
      </c>
      <c r="M644" s="7" t="s">
        <v>23</v>
      </c>
      <c r="N644" s="7" t="s">
        <v>30</v>
      </c>
      <c r="O644" s="20" t="s">
        <v>1225</v>
      </c>
    </row>
    <row r="645" spans="1:15" ht="14.25" customHeight="1" x14ac:dyDescent="0.3">
      <c r="A645" s="19" t="s">
        <v>1301</v>
      </c>
      <c r="C645" s="8" t="str">
        <f>G645&amp;", "&amp;O645&amp;", "&amp;N645</f>
        <v>Arandela, 5P-8245, CATERPILLAR</v>
      </c>
      <c r="D645" s="21" t="s">
        <v>307</v>
      </c>
      <c r="E645" s="21" t="s">
        <v>21</v>
      </c>
      <c r="F645" s="7" t="s">
        <v>22</v>
      </c>
      <c r="G645" s="7" t="s">
        <v>563</v>
      </c>
      <c r="J645" s="7" t="s">
        <v>28</v>
      </c>
      <c r="L645" s="44">
        <v>1.38</v>
      </c>
      <c r="M645" s="7" t="s">
        <v>23</v>
      </c>
      <c r="N645" s="7" t="s">
        <v>24</v>
      </c>
      <c r="O645" s="20" t="s">
        <v>1228</v>
      </c>
    </row>
    <row r="646" spans="1:15" ht="14.25" customHeight="1" x14ac:dyDescent="0.3">
      <c r="A646" s="19" t="s">
        <v>1301</v>
      </c>
      <c r="C646" s="8" t="str">
        <f>G646&amp;", "&amp;O646&amp;", "&amp;N646</f>
        <v>Arandela, 7X-0521, CATERPILLAR</v>
      </c>
      <c r="D646" s="21" t="s">
        <v>308</v>
      </c>
      <c r="E646" s="21" t="s">
        <v>21</v>
      </c>
      <c r="F646" s="7" t="s">
        <v>22</v>
      </c>
      <c r="G646" s="7" t="s">
        <v>563</v>
      </c>
      <c r="J646" s="7" t="s">
        <v>28</v>
      </c>
      <c r="L646" s="44">
        <v>3.67</v>
      </c>
      <c r="M646" s="7" t="s">
        <v>23</v>
      </c>
      <c r="N646" s="7" t="s">
        <v>24</v>
      </c>
      <c r="O646" s="20" t="s">
        <v>1229</v>
      </c>
    </row>
    <row r="647" spans="1:15" ht="14.25" customHeight="1" x14ac:dyDescent="0.3">
      <c r="A647" s="19" t="s">
        <v>1301</v>
      </c>
      <c r="C647" s="8" t="str">
        <f>G647&amp;", "&amp;O647&amp;", "&amp;N647</f>
        <v>Arandela, TY1503, KOMATSU</v>
      </c>
      <c r="D647" s="21" t="s">
        <v>309</v>
      </c>
      <c r="E647" s="21" t="s">
        <v>21</v>
      </c>
      <c r="F647" s="7" t="s">
        <v>22</v>
      </c>
      <c r="G647" s="7" t="s">
        <v>563</v>
      </c>
      <c r="J647" s="7" t="s">
        <v>28</v>
      </c>
      <c r="L647" s="44">
        <v>20.58</v>
      </c>
      <c r="M647" s="7" t="s">
        <v>23</v>
      </c>
      <c r="N647" s="7" t="s">
        <v>30</v>
      </c>
      <c r="O647" s="20" t="s">
        <v>1230</v>
      </c>
    </row>
    <row r="648" spans="1:15" ht="14.25" customHeight="1" x14ac:dyDescent="0.3">
      <c r="A648" s="19" t="s">
        <v>1301</v>
      </c>
      <c r="C648" s="8" t="str">
        <f>G648&amp;", "&amp;O648&amp;", "&amp;N648</f>
        <v>Arandela, 6V-2360, CATERPILLAR</v>
      </c>
      <c r="D648" s="21" t="s">
        <v>310</v>
      </c>
      <c r="E648" s="21" t="s">
        <v>21</v>
      </c>
      <c r="F648" s="7" t="s">
        <v>22</v>
      </c>
      <c r="G648" s="7" t="s">
        <v>563</v>
      </c>
      <c r="J648" s="7" t="s">
        <v>28</v>
      </c>
      <c r="L648" s="44">
        <v>1.74</v>
      </c>
      <c r="M648" s="7" t="s">
        <v>23</v>
      </c>
      <c r="N648" s="7" t="s">
        <v>24</v>
      </c>
      <c r="O648" s="20" t="s">
        <v>1231</v>
      </c>
    </row>
    <row r="649" spans="1:15" ht="14.25" customHeight="1" x14ac:dyDescent="0.3">
      <c r="A649" s="19" t="s">
        <v>1301</v>
      </c>
      <c r="C649" s="8" t="str">
        <f>G649&amp;", "&amp;O649&amp;", "&amp;N649</f>
        <v>Limpiador, 233-0621, CATERPILLAR</v>
      </c>
      <c r="D649" s="21" t="s">
        <v>311</v>
      </c>
      <c r="E649" s="21" t="s">
        <v>21</v>
      </c>
      <c r="F649" s="7" t="s">
        <v>22</v>
      </c>
      <c r="G649" s="7" t="s">
        <v>940</v>
      </c>
      <c r="J649" s="7" t="s">
        <v>28</v>
      </c>
      <c r="L649" s="44">
        <v>56.67</v>
      </c>
      <c r="M649" s="7" t="s">
        <v>23</v>
      </c>
      <c r="N649" s="7" t="s">
        <v>24</v>
      </c>
      <c r="O649" s="20" t="s">
        <v>1232</v>
      </c>
    </row>
    <row r="650" spans="1:15" ht="14.25" customHeight="1" x14ac:dyDescent="0.3">
      <c r="A650" s="19" t="s">
        <v>1301</v>
      </c>
      <c r="C650" s="8" t="str">
        <f>G650&amp;", "&amp;O650&amp;", "&amp;N650</f>
        <v>Sello anular, -448, ALTERNATIVO</v>
      </c>
      <c r="D650" s="21" t="s">
        <v>312</v>
      </c>
      <c r="E650" s="21" t="s">
        <v>21</v>
      </c>
      <c r="F650" s="7" t="s">
        <v>22</v>
      </c>
      <c r="G650" s="7" t="s">
        <v>971</v>
      </c>
      <c r="J650" s="7" t="s">
        <v>28</v>
      </c>
      <c r="L650" s="44">
        <v>10</v>
      </c>
      <c r="M650" s="7" t="s">
        <v>23</v>
      </c>
      <c r="N650" s="7" t="s">
        <v>49</v>
      </c>
      <c r="O650" s="13">
        <v>-448</v>
      </c>
    </row>
    <row r="651" spans="1:15" ht="14.25" customHeight="1" x14ac:dyDescent="0.3">
      <c r="A651" s="19" t="s">
        <v>1301</v>
      </c>
      <c r="C651" s="8" t="str">
        <f>G651&amp;", "&amp;O651&amp;", "&amp;N651</f>
        <v>Sello anular, -377, ALTERNATIVO</v>
      </c>
      <c r="D651" s="21" t="s">
        <v>313</v>
      </c>
      <c r="E651" s="21" t="s">
        <v>21</v>
      </c>
      <c r="F651" s="7" t="s">
        <v>22</v>
      </c>
      <c r="G651" s="7" t="s">
        <v>971</v>
      </c>
      <c r="J651" s="7" t="s">
        <v>28</v>
      </c>
      <c r="L651" s="44">
        <v>10</v>
      </c>
      <c r="M651" s="7" t="s">
        <v>23</v>
      </c>
      <c r="N651" s="7" t="s">
        <v>49</v>
      </c>
      <c r="O651" s="13">
        <v>-377</v>
      </c>
    </row>
    <row r="652" spans="1:15" ht="14.25" customHeight="1" x14ac:dyDescent="0.3">
      <c r="A652" s="19" t="s">
        <v>1301</v>
      </c>
      <c r="C652" s="8" t="str">
        <f>G652&amp;", "&amp;O652&amp;", "&amp;N652</f>
        <v>Sello anular, -245, ALTERNATIVO</v>
      </c>
      <c r="D652" s="21" t="s">
        <v>314</v>
      </c>
      <c r="E652" s="21" t="s">
        <v>21</v>
      </c>
      <c r="F652" s="7" t="s">
        <v>22</v>
      </c>
      <c r="G652" s="7" t="s">
        <v>971</v>
      </c>
      <c r="J652" s="7" t="s">
        <v>28</v>
      </c>
      <c r="L652" s="44">
        <v>4</v>
      </c>
      <c r="M652" s="7" t="s">
        <v>23</v>
      </c>
      <c r="N652" s="7" t="s">
        <v>49</v>
      </c>
      <c r="O652" s="13">
        <v>-245</v>
      </c>
    </row>
    <row r="653" spans="1:15" ht="14.25" customHeight="1" x14ac:dyDescent="0.3">
      <c r="A653" s="19" t="s">
        <v>1301</v>
      </c>
      <c r="C653" s="8" t="str">
        <f>G653&amp;", "&amp;O653&amp;", "&amp;N653</f>
        <v>Sello anular, -228, ALTERNATIVO</v>
      </c>
      <c r="D653" s="21" t="s">
        <v>315</v>
      </c>
      <c r="E653" s="21" t="s">
        <v>21</v>
      </c>
      <c r="F653" s="7" t="s">
        <v>22</v>
      </c>
      <c r="G653" s="7" t="s">
        <v>971</v>
      </c>
      <c r="J653" s="7" t="s">
        <v>28</v>
      </c>
      <c r="L653" s="44">
        <v>1.27</v>
      </c>
      <c r="M653" s="7" t="s">
        <v>23</v>
      </c>
      <c r="N653" s="7" t="s">
        <v>49</v>
      </c>
      <c r="O653" s="13">
        <v>-228</v>
      </c>
    </row>
    <row r="654" spans="1:15" ht="14.25" customHeight="1" x14ac:dyDescent="0.3">
      <c r="A654" s="19" t="s">
        <v>1301</v>
      </c>
      <c r="C654" s="8" t="str">
        <f>G654&amp;", "&amp;O654&amp;", "&amp;N654</f>
        <v>Sello anular, -116, ALTERNATIVO</v>
      </c>
      <c r="D654" s="21" t="s">
        <v>316</v>
      </c>
      <c r="E654" s="21" t="s">
        <v>21</v>
      </c>
      <c r="F654" s="7" t="s">
        <v>22</v>
      </c>
      <c r="G654" s="7" t="s">
        <v>971</v>
      </c>
      <c r="J654" s="7" t="s">
        <v>28</v>
      </c>
      <c r="L654" s="44">
        <v>0.42</v>
      </c>
      <c r="M654" s="7" t="s">
        <v>23</v>
      </c>
      <c r="N654" s="7" t="s">
        <v>49</v>
      </c>
      <c r="O654" s="13">
        <v>-116</v>
      </c>
    </row>
    <row r="655" spans="1:15" ht="14.25" customHeight="1" x14ac:dyDescent="0.3">
      <c r="A655" s="19" t="s">
        <v>1301</v>
      </c>
      <c r="C655" s="8" t="str">
        <f>G655&amp;", "&amp;O655&amp;", "&amp;N655</f>
        <v>Back Up, 574 - 228, ALTERNATIVO</v>
      </c>
      <c r="D655" s="21" t="s">
        <v>317</v>
      </c>
      <c r="E655" s="21" t="s">
        <v>21</v>
      </c>
      <c r="F655" s="7" t="s">
        <v>22</v>
      </c>
      <c r="G655" s="7" t="s">
        <v>572</v>
      </c>
      <c r="J655" s="7" t="s">
        <v>28</v>
      </c>
      <c r="L655" s="44">
        <v>1.69</v>
      </c>
      <c r="M655" s="7" t="s">
        <v>23</v>
      </c>
      <c r="N655" s="7" t="s">
        <v>49</v>
      </c>
      <c r="O655" s="20" t="s">
        <v>1233</v>
      </c>
    </row>
    <row r="656" spans="1:15" ht="14.25" customHeight="1" x14ac:dyDescent="0.3">
      <c r="A656" s="19" t="s">
        <v>1301</v>
      </c>
      <c r="C656" s="8" t="str">
        <f>G656&amp;", "&amp;O656&amp;", "&amp;N656</f>
        <v>Back Up, 574 - 448, ALTERNATIVO</v>
      </c>
      <c r="D656" s="21" t="s">
        <v>318</v>
      </c>
      <c r="E656" s="21" t="s">
        <v>21</v>
      </c>
      <c r="F656" s="7" t="s">
        <v>22</v>
      </c>
      <c r="G656" s="7" t="s">
        <v>572</v>
      </c>
      <c r="J656" s="7" t="s">
        <v>28</v>
      </c>
      <c r="L656" s="44">
        <v>9</v>
      </c>
      <c r="M656" s="7" t="s">
        <v>23</v>
      </c>
      <c r="N656" s="7" t="s">
        <v>49</v>
      </c>
      <c r="O656" s="13" t="s">
        <v>1234</v>
      </c>
    </row>
    <row r="657" spans="1:15" ht="14.25" customHeight="1" x14ac:dyDescent="0.3">
      <c r="A657" s="19" t="s">
        <v>1301</v>
      </c>
      <c r="C657" s="8" t="str">
        <f>G657&amp;", "&amp;O657&amp;", "&amp;N657</f>
        <v>Sello, 612 - 1000 - 100 - SC, ALTERNATIVO</v>
      </c>
      <c r="D657" s="21" t="s">
        <v>319</v>
      </c>
      <c r="E657" s="21" t="s">
        <v>21</v>
      </c>
      <c r="F657" s="7" t="s">
        <v>22</v>
      </c>
      <c r="G657" s="7" t="s">
        <v>48</v>
      </c>
      <c r="J657" s="7" t="s">
        <v>28</v>
      </c>
      <c r="L657" s="44">
        <v>28</v>
      </c>
      <c r="M657" s="7" t="s">
        <v>23</v>
      </c>
      <c r="N657" s="7" t="s">
        <v>49</v>
      </c>
      <c r="O657" s="20" t="s">
        <v>1235</v>
      </c>
    </row>
    <row r="658" spans="1:15" ht="14.25" customHeight="1" x14ac:dyDescent="0.3">
      <c r="A658" s="19" t="s">
        <v>1301</v>
      </c>
      <c r="C658" s="8" t="str">
        <f>G658&amp;", "&amp;O658&amp;", "&amp;N658</f>
        <v>Sello, 612 - 225- 100 - SC, ALTERNATIVO</v>
      </c>
      <c r="D658" s="21" t="s">
        <v>320</v>
      </c>
      <c r="E658" s="21" t="s">
        <v>21</v>
      </c>
      <c r="F658" s="7" t="s">
        <v>22</v>
      </c>
      <c r="G658" s="7" t="s">
        <v>48</v>
      </c>
      <c r="J658" s="7" t="s">
        <v>28</v>
      </c>
      <c r="L658" s="44">
        <v>10</v>
      </c>
      <c r="M658" s="7" t="s">
        <v>23</v>
      </c>
      <c r="N658" s="7" t="s">
        <v>49</v>
      </c>
      <c r="O658" s="20" t="s">
        <v>1236</v>
      </c>
    </row>
    <row r="659" spans="1:15" ht="14.25" customHeight="1" x14ac:dyDescent="0.3">
      <c r="A659" s="19" t="s">
        <v>1301</v>
      </c>
      <c r="C659" s="8" t="str">
        <f>G659&amp;", "&amp;O659&amp;", "&amp;N659</f>
        <v>Sello, 612 - 250 - 050 - SC, ALTERNATIVO</v>
      </c>
      <c r="D659" s="21" t="s">
        <v>321</v>
      </c>
      <c r="E659" s="21" t="s">
        <v>21</v>
      </c>
      <c r="F659" s="7" t="s">
        <v>22</v>
      </c>
      <c r="G659" s="7" t="s">
        <v>48</v>
      </c>
      <c r="J659" s="7" t="s">
        <v>28</v>
      </c>
      <c r="L659" s="44">
        <v>5.93</v>
      </c>
      <c r="M659" s="7" t="s">
        <v>23</v>
      </c>
      <c r="N659" s="7" t="s">
        <v>49</v>
      </c>
      <c r="O659" s="13" t="s">
        <v>1237</v>
      </c>
    </row>
    <row r="660" spans="1:15" ht="14.25" customHeight="1" x14ac:dyDescent="0.3">
      <c r="A660" s="19" t="s">
        <v>1301</v>
      </c>
      <c r="C660" s="8" t="str">
        <f>G660&amp;", "&amp;O660&amp;", "&amp;N660</f>
        <v>Sello, 612 - 400 - 100, ALTERNATIVO</v>
      </c>
      <c r="D660" s="21" t="s">
        <v>322</v>
      </c>
      <c r="E660" s="21" t="s">
        <v>21</v>
      </c>
      <c r="F660" s="7" t="s">
        <v>22</v>
      </c>
      <c r="G660" s="7" t="s">
        <v>48</v>
      </c>
      <c r="J660" s="7" t="s">
        <v>28</v>
      </c>
      <c r="L660" s="44">
        <v>15</v>
      </c>
      <c r="M660" s="7" t="s">
        <v>23</v>
      </c>
      <c r="N660" s="7" t="s">
        <v>49</v>
      </c>
      <c r="O660" s="13" t="s">
        <v>1238</v>
      </c>
    </row>
    <row r="661" spans="1:15" ht="14.25" customHeight="1" x14ac:dyDescent="0.3">
      <c r="A661" s="19" t="s">
        <v>1301</v>
      </c>
      <c r="C661" s="8" t="str">
        <f>G661&amp;", "&amp;O661&amp;", "&amp;N661</f>
        <v>Sello, 612 - 725 - 100 - SC, ALTERNATIVO</v>
      </c>
      <c r="D661" s="21" t="s">
        <v>323</v>
      </c>
      <c r="E661" s="21" t="s">
        <v>21</v>
      </c>
      <c r="F661" s="7" t="s">
        <v>22</v>
      </c>
      <c r="G661" s="7" t="s">
        <v>48</v>
      </c>
      <c r="J661" s="7" t="s">
        <v>28</v>
      </c>
      <c r="L661" s="44">
        <v>23</v>
      </c>
      <c r="M661" s="7" t="s">
        <v>23</v>
      </c>
      <c r="N661" s="7" t="s">
        <v>49</v>
      </c>
      <c r="O661" s="13" t="s">
        <v>1239</v>
      </c>
    </row>
    <row r="662" spans="1:15" ht="14.25" customHeight="1" x14ac:dyDescent="0.3">
      <c r="A662" s="19" t="s">
        <v>1301</v>
      </c>
      <c r="C662" s="8" t="str">
        <f>G662&amp;", "&amp;O662&amp;", "&amp;N662</f>
        <v>Barras, BARRA CROMADA Ø1-1/4" X 7-1/2" LONG, ALTERNATIVO</v>
      </c>
      <c r="D662" s="21" t="s">
        <v>324</v>
      </c>
      <c r="E662" s="21" t="s">
        <v>21</v>
      </c>
      <c r="F662" s="7" t="s">
        <v>22</v>
      </c>
      <c r="G662" s="7" t="s">
        <v>62</v>
      </c>
      <c r="J662" s="7" t="s">
        <v>28</v>
      </c>
      <c r="L662" s="44">
        <v>5.5</v>
      </c>
      <c r="M662" s="7" t="s">
        <v>23</v>
      </c>
      <c r="N662" s="7" t="s">
        <v>49</v>
      </c>
      <c r="O662" s="20" t="s">
        <v>1240</v>
      </c>
    </row>
    <row r="663" spans="1:15" ht="14.25" customHeight="1" x14ac:dyDescent="0.3">
      <c r="A663" s="19" t="s">
        <v>1301</v>
      </c>
      <c r="C663" s="8" t="str">
        <f>G663&amp;", "&amp;O663&amp;", "&amp;N663</f>
        <v>Sello, BWR01 128 X 135 X 25 ORCOTT MAQUINABLE, MACHEN</v>
      </c>
      <c r="D663" s="21" t="s">
        <v>325</v>
      </c>
      <c r="E663" s="21" t="s">
        <v>21</v>
      </c>
      <c r="F663" s="7" t="s">
        <v>22</v>
      </c>
      <c r="G663" s="7" t="s">
        <v>48</v>
      </c>
      <c r="J663" s="7" t="s">
        <v>28</v>
      </c>
      <c r="L663" s="44">
        <v>95.4</v>
      </c>
      <c r="M663" s="7" t="s">
        <v>23</v>
      </c>
      <c r="N663" s="7" t="s">
        <v>478</v>
      </c>
      <c r="O663" s="20" t="s">
        <v>1241</v>
      </c>
    </row>
    <row r="664" spans="1:15" ht="14.25" customHeight="1" x14ac:dyDescent="0.3">
      <c r="A664" s="19" t="s">
        <v>1301</v>
      </c>
      <c r="C664" s="8" t="str">
        <f>G664&amp;", "&amp;O664&amp;", "&amp;N664</f>
        <v>Sello, CTC - 1672195 / 289-2935, ALTERNATIVO</v>
      </c>
      <c r="D664" s="21" t="s">
        <v>326</v>
      </c>
      <c r="E664" s="21" t="s">
        <v>21</v>
      </c>
      <c r="F664" s="7" t="s">
        <v>22</v>
      </c>
      <c r="G664" s="7" t="s">
        <v>48</v>
      </c>
      <c r="J664" s="7" t="s">
        <v>28</v>
      </c>
      <c r="L664" s="44">
        <v>40.74</v>
      </c>
      <c r="M664" s="7" t="s">
        <v>23</v>
      </c>
      <c r="N664" s="7" t="s">
        <v>49</v>
      </c>
      <c r="O664" s="20" t="s">
        <v>1308</v>
      </c>
    </row>
    <row r="665" spans="1:15" ht="14.25" customHeight="1" x14ac:dyDescent="0.3">
      <c r="A665" s="19" t="s">
        <v>1301</v>
      </c>
      <c r="C665" s="8" t="str">
        <f>G665&amp;", "&amp;O665&amp;", "&amp;N665</f>
        <v>Sello, CTC - 9J3497, ALTERNATIVO</v>
      </c>
      <c r="D665" s="21" t="s">
        <v>327</v>
      </c>
      <c r="E665" s="21" t="s">
        <v>21</v>
      </c>
      <c r="F665" s="7" t="s">
        <v>22</v>
      </c>
      <c r="G665" s="7" t="s">
        <v>48</v>
      </c>
      <c r="J665" s="7" t="s">
        <v>28</v>
      </c>
      <c r="L665" s="44">
        <v>11.59</v>
      </c>
      <c r="M665" s="7" t="s">
        <v>23</v>
      </c>
      <c r="N665" s="7" t="s">
        <v>49</v>
      </c>
      <c r="O665" s="20" t="s">
        <v>1242</v>
      </c>
    </row>
    <row r="666" spans="1:15" ht="14.25" customHeight="1" x14ac:dyDescent="0.3">
      <c r="A666" s="19" t="s">
        <v>1301</v>
      </c>
      <c r="C666" s="8" t="str">
        <f>G666&amp;", "&amp;O666&amp;", "&amp;N666</f>
        <v>Sello, DRU37 - 7.00 - 62, ALTERNATIVO</v>
      </c>
      <c r="D666" s="21" t="s">
        <v>328</v>
      </c>
      <c r="E666" s="21" t="s">
        <v>21</v>
      </c>
      <c r="F666" s="7" t="s">
        <v>22</v>
      </c>
      <c r="G666" s="7" t="s">
        <v>48</v>
      </c>
      <c r="J666" s="7" t="s">
        <v>28</v>
      </c>
      <c r="L666" s="44">
        <v>100</v>
      </c>
      <c r="M666" s="7" t="s">
        <v>23</v>
      </c>
      <c r="N666" s="7" t="s">
        <v>49</v>
      </c>
      <c r="O666" s="20" t="s">
        <v>1243</v>
      </c>
    </row>
    <row r="667" spans="1:15" ht="14.25" customHeight="1" x14ac:dyDescent="0.3">
      <c r="A667" s="19" t="s">
        <v>1301</v>
      </c>
      <c r="C667" s="8" t="str">
        <f>G667&amp;", "&amp;O667&amp;", "&amp;N667</f>
        <v>Sello, DSU18 - 1.25 - 25, ALTERNATIVO</v>
      </c>
      <c r="D667" s="21" t="s">
        <v>329</v>
      </c>
      <c r="E667" s="21" t="s">
        <v>21</v>
      </c>
      <c r="F667" s="7" t="s">
        <v>22</v>
      </c>
      <c r="G667" s="7" t="s">
        <v>48</v>
      </c>
      <c r="J667" s="7" t="s">
        <v>28</v>
      </c>
      <c r="L667" s="44">
        <v>6.3</v>
      </c>
      <c r="M667" s="7" t="s">
        <v>23</v>
      </c>
      <c r="N667" s="7" t="s">
        <v>49</v>
      </c>
      <c r="O667" s="20" t="s">
        <v>1244</v>
      </c>
    </row>
    <row r="668" spans="1:15" ht="14.25" customHeight="1" x14ac:dyDescent="0.3">
      <c r="A668" s="19" t="s">
        <v>1301</v>
      </c>
      <c r="C668" s="8" t="str">
        <f>G668&amp;", "&amp;O668&amp;", "&amp;N668</f>
        <v>Sello, MBN 80 X 5 X 3, ALTERNATIVO</v>
      </c>
      <c r="D668" s="21" t="s">
        <v>330</v>
      </c>
      <c r="E668" s="21" t="s">
        <v>21</v>
      </c>
      <c r="F668" s="7" t="s">
        <v>22</v>
      </c>
      <c r="G668" s="7" t="s">
        <v>48</v>
      </c>
      <c r="J668" s="7" t="s">
        <v>28</v>
      </c>
      <c r="L668" s="44">
        <v>8</v>
      </c>
      <c r="M668" s="7" t="s">
        <v>23</v>
      </c>
      <c r="N668" s="7" t="s">
        <v>49</v>
      </c>
      <c r="O668" s="20" t="s">
        <v>1245</v>
      </c>
    </row>
    <row r="669" spans="1:15" ht="14.25" customHeight="1" x14ac:dyDescent="0.3">
      <c r="A669" s="19" t="s">
        <v>1301</v>
      </c>
      <c r="C669" s="8" t="str">
        <f>G669&amp;", "&amp;O669&amp;", "&amp;N669</f>
        <v>Sello, MBU 80 X 2.5 X 1.3, ALTERNATIVO</v>
      </c>
      <c r="D669" s="21" t="s">
        <v>331</v>
      </c>
      <c r="E669" s="21" t="s">
        <v>21</v>
      </c>
      <c r="F669" s="7" t="s">
        <v>22</v>
      </c>
      <c r="G669" s="7" t="s">
        <v>48</v>
      </c>
      <c r="J669" s="7" t="s">
        <v>28</v>
      </c>
      <c r="L669" s="44">
        <v>6</v>
      </c>
      <c r="M669" s="7" t="s">
        <v>23</v>
      </c>
      <c r="N669" s="7" t="s">
        <v>49</v>
      </c>
      <c r="O669" s="20" t="s">
        <v>1246</v>
      </c>
    </row>
    <row r="670" spans="1:15" ht="14.25" customHeight="1" x14ac:dyDescent="0.3">
      <c r="A670" s="19" t="s">
        <v>1301</v>
      </c>
      <c r="C670" s="8" t="str">
        <f>G670&amp;", "&amp;O670&amp;", "&amp;N670</f>
        <v>Sello, MCHD - 2006 - D, ALTERNATIVO</v>
      </c>
      <c r="D670" s="21" t="s">
        <v>332</v>
      </c>
      <c r="E670" s="21" t="s">
        <v>21</v>
      </c>
      <c r="F670" s="7" t="s">
        <v>22</v>
      </c>
      <c r="G670" s="7" t="s">
        <v>48</v>
      </c>
      <c r="J670" s="7" t="s">
        <v>28</v>
      </c>
      <c r="L670" s="44">
        <v>21</v>
      </c>
      <c r="M670" s="7" t="s">
        <v>23</v>
      </c>
      <c r="N670" s="7" t="s">
        <v>49</v>
      </c>
      <c r="O670" s="20" t="s">
        <v>1247</v>
      </c>
    </row>
    <row r="671" spans="1:15" ht="14.25" customHeight="1" x14ac:dyDescent="0.3">
      <c r="A671" s="19" t="s">
        <v>1301</v>
      </c>
      <c r="C671" s="8" t="str">
        <f>G671&amp;", "&amp;O671&amp;", "&amp;N671</f>
        <v>Sello, MCN - 1254, ALTERNATIVO</v>
      </c>
      <c r="D671" s="21" t="s">
        <v>333</v>
      </c>
      <c r="E671" s="21" t="s">
        <v>21</v>
      </c>
      <c r="F671" s="7" t="s">
        <v>22</v>
      </c>
      <c r="G671" s="7" t="s">
        <v>48</v>
      </c>
      <c r="J671" s="7" t="s">
        <v>28</v>
      </c>
      <c r="L671" s="44">
        <v>11.02</v>
      </c>
      <c r="M671" s="7" t="s">
        <v>23</v>
      </c>
      <c r="N671" s="7" t="s">
        <v>49</v>
      </c>
      <c r="O671" s="20" t="s">
        <v>1248</v>
      </c>
    </row>
    <row r="672" spans="1:15" ht="14.25" customHeight="1" x14ac:dyDescent="0.3">
      <c r="A672" s="19" t="s">
        <v>1301</v>
      </c>
      <c r="C672" s="8" t="str">
        <f>G672&amp;", "&amp;O672&amp;", "&amp;N672</f>
        <v>Sello, MCW 80 X 94 X 8, ALTERNATIVO</v>
      </c>
      <c r="D672" s="21" t="s">
        <v>334</v>
      </c>
      <c r="E672" s="21" t="s">
        <v>21</v>
      </c>
      <c r="F672" s="7" t="s">
        <v>22</v>
      </c>
      <c r="G672" s="7" t="s">
        <v>48</v>
      </c>
      <c r="J672" s="7" t="s">
        <v>28</v>
      </c>
      <c r="L672" s="44">
        <v>37</v>
      </c>
      <c r="M672" s="7" t="s">
        <v>23</v>
      </c>
      <c r="N672" s="7" t="s">
        <v>49</v>
      </c>
      <c r="O672" s="20" t="s">
        <v>1249</v>
      </c>
    </row>
    <row r="673" spans="1:15" ht="14.25" customHeight="1" x14ac:dyDescent="0.3">
      <c r="A673" s="19" t="s">
        <v>1301</v>
      </c>
      <c r="C673" s="8" t="str">
        <f>G673&amp;", "&amp;O673&amp;", "&amp;N673</f>
        <v>Sello, MDU 80 X 85 X 30, ALTERNATIVO</v>
      </c>
      <c r="D673" s="21" t="s">
        <v>335</v>
      </c>
      <c r="E673" s="21" t="s">
        <v>21</v>
      </c>
      <c r="F673" s="7" t="s">
        <v>22</v>
      </c>
      <c r="G673" s="7" t="s">
        <v>48</v>
      </c>
      <c r="J673" s="7" t="s">
        <v>28</v>
      </c>
      <c r="L673" s="44">
        <v>25</v>
      </c>
      <c r="M673" s="7" t="s">
        <v>23</v>
      </c>
      <c r="N673" s="7" t="s">
        <v>49</v>
      </c>
      <c r="O673" s="20" t="s">
        <v>1250</v>
      </c>
    </row>
    <row r="674" spans="1:15" ht="14.25" customHeight="1" x14ac:dyDescent="0.3">
      <c r="A674" s="19" t="s">
        <v>1301</v>
      </c>
      <c r="C674" s="8" t="str">
        <f>G674&amp;", "&amp;O674&amp;", "&amp;N674</f>
        <v>Sello, MGB 6 X 4 (3MT), ALTERNATIVO</v>
      </c>
      <c r="D674" s="21" t="s">
        <v>336</v>
      </c>
      <c r="E674" s="21" t="s">
        <v>21</v>
      </c>
      <c r="F674" s="7" t="s">
        <v>22</v>
      </c>
      <c r="G674" s="7" t="s">
        <v>48</v>
      </c>
      <c r="J674" s="7" t="s">
        <v>28</v>
      </c>
      <c r="L674" s="44">
        <v>99</v>
      </c>
      <c r="M674" s="7" t="s">
        <v>23</v>
      </c>
      <c r="N674" s="7" t="s">
        <v>49</v>
      </c>
      <c r="O674" s="20" t="s">
        <v>1251</v>
      </c>
    </row>
    <row r="675" spans="1:15" ht="14.25" customHeight="1" x14ac:dyDescent="0.3">
      <c r="A675" s="19" t="s">
        <v>1301</v>
      </c>
      <c r="C675" s="8" t="str">
        <f>G675&amp;", "&amp;O675&amp;", "&amp;N675</f>
        <v>Sello anular, MOR 80 X 2.5 - NBR 90, ALTERNATIVO</v>
      </c>
      <c r="D675" s="21" t="s">
        <v>337</v>
      </c>
      <c r="E675" s="21" t="s">
        <v>21</v>
      </c>
      <c r="F675" s="7" t="s">
        <v>22</v>
      </c>
      <c r="G675" s="7" t="s">
        <v>971</v>
      </c>
      <c r="J675" s="7" t="s">
        <v>28</v>
      </c>
      <c r="L675" s="44">
        <v>4</v>
      </c>
      <c r="M675" s="7" t="s">
        <v>23</v>
      </c>
      <c r="N675" s="7" t="s">
        <v>49</v>
      </c>
      <c r="O675" s="20" t="s">
        <v>1252</v>
      </c>
    </row>
    <row r="676" spans="1:15" ht="14.25" customHeight="1" x14ac:dyDescent="0.3">
      <c r="A676" s="19" t="s">
        <v>1301</v>
      </c>
      <c r="C676" s="8" t="str">
        <f>G676&amp;", "&amp;O676&amp;", "&amp;N676</f>
        <v>Sello, MRTU 80 X 90 X 6, ALTERNATIVO</v>
      </c>
      <c r="D676" s="21" t="s">
        <v>338</v>
      </c>
      <c r="E676" s="21" t="s">
        <v>21</v>
      </c>
      <c r="F676" s="7" t="s">
        <v>22</v>
      </c>
      <c r="G676" s="7" t="s">
        <v>48</v>
      </c>
      <c r="J676" s="7" t="s">
        <v>28</v>
      </c>
      <c r="L676" s="44">
        <v>33</v>
      </c>
      <c r="M676" s="7" t="s">
        <v>23</v>
      </c>
      <c r="N676" s="7" t="s">
        <v>49</v>
      </c>
      <c r="O676" s="20" t="s">
        <v>1253</v>
      </c>
    </row>
    <row r="677" spans="1:15" ht="14.25" customHeight="1" x14ac:dyDescent="0.3">
      <c r="A677" s="19" t="s">
        <v>1301</v>
      </c>
      <c r="C677" s="8" t="str">
        <f>G677&amp;", "&amp;O677&amp;", "&amp;N677</f>
        <v>Sello, MYR 80 X 95.5 X 5.9, ALTERNATIVO</v>
      </c>
      <c r="D677" s="21" t="s">
        <v>339</v>
      </c>
      <c r="E677" s="21" t="s">
        <v>21</v>
      </c>
      <c r="F677" s="7" t="s">
        <v>22</v>
      </c>
      <c r="G677" s="7" t="s">
        <v>48</v>
      </c>
      <c r="J677" s="7" t="s">
        <v>28</v>
      </c>
      <c r="L677" s="44">
        <v>18</v>
      </c>
      <c r="M677" s="7" t="s">
        <v>23</v>
      </c>
      <c r="N677" s="7" t="s">
        <v>49</v>
      </c>
      <c r="O677" s="20" t="s">
        <v>1254</v>
      </c>
    </row>
    <row r="678" spans="1:15" ht="14.25" customHeight="1" x14ac:dyDescent="0.3">
      <c r="A678" s="19" t="s">
        <v>1301</v>
      </c>
      <c r="C678" s="8" t="str">
        <f>G678&amp;", "&amp;O678&amp;", "&amp;N678</f>
        <v>Sello anular, OR 2 - 218 NBR 70, ALTERNATIVO</v>
      </c>
      <c r="D678" s="21" t="s">
        <v>340</v>
      </c>
      <c r="E678" s="21" t="s">
        <v>21</v>
      </c>
      <c r="F678" s="7" t="s">
        <v>22</v>
      </c>
      <c r="G678" s="7" t="s">
        <v>971</v>
      </c>
      <c r="J678" s="7" t="s">
        <v>28</v>
      </c>
      <c r="L678" s="44">
        <v>1</v>
      </c>
      <c r="M678" s="7" t="s">
        <v>23</v>
      </c>
      <c r="N678" s="7" t="s">
        <v>49</v>
      </c>
      <c r="O678" s="20" t="s">
        <v>1255</v>
      </c>
    </row>
    <row r="679" spans="1:15" ht="14.25" customHeight="1" x14ac:dyDescent="0.3">
      <c r="A679" s="19" t="s">
        <v>1301</v>
      </c>
      <c r="C679" s="8" t="str">
        <f>G679&amp;", "&amp;O679&amp;", "&amp;N679</f>
        <v>Sello anular, OR 2 - 241 NBR 70, ALTERNATIVO</v>
      </c>
      <c r="D679" s="21" t="s">
        <v>341</v>
      </c>
      <c r="E679" s="21" t="s">
        <v>21</v>
      </c>
      <c r="F679" s="7" t="s">
        <v>22</v>
      </c>
      <c r="G679" s="7" t="s">
        <v>971</v>
      </c>
      <c r="J679" s="7" t="s">
        <v>28</v>
      </c>
      <c r="L679" s="44">
        <v>3</v>
      </c>
      <c r="M679" s="7" t="s">
        <v>23</v>
      </c>
      <c r="N679" s="7" t="s">
        <v>49</v>
      </c>
      <c r="O679" s="13" t="s">
        <v>1256</v>
      </c>
    </row>
    <row r="680" spans="1:15" ht="14.25" customHeight="1" x14ac:dyDescent="0.3">
      <c r="A680" s="19" t="s">
        <v>1301</v>
      </c>
      <c r="C680" s="8" t="str">
        <f>G680&amp;", "&amp;O680&amp;", "&amp;N680</f>
        <v>Perno, PERNO (GRADO 8) 1/2" X 3/4" - HILO CORRIENTE, ALTERNATIVO</v>
      </c>
      <c r="D680" s="21" t="s">
        <v>342</v>
      </c>
      <c r="E680" s="21" t="s">
        <v>21</v>
      </c>
      <c r="F680" s="7" t="s">
        <v>22</v>
      </c>
      <c r="G680" s="7" t="s">
        <v>984</v>
      </c>
      <c r="J680" s="7" t="s">
        <v>28</v>
      </c>
      <c r="L680" s="44">
        <v>5</v>
      </c>
      <c r="M680" s="7" t="s">
        <v>23</v>
      </c>
      <c r="N680" s="7" t="s">
        <v>49</v>
      </c>
      <c r="O680" s="13" t="s">
        <v>1257</v>
      </c>
    </row>
    <row r="681" spans="1:15" ht="14.25" customHeight="1" x14ac:dyDescent="0.3">
      <c r="A681" s="19" t="s">
        <v>1301</v>
      </c>
      <c r="C681" s="8" t="str">
        <f>G681&amp;", "&amp;O681&amp;", "&amp;N681</f>
        <v>Prisionero, PRISIONERO 1/4" X 1/4" LONG, ALTERNATIVO</v>
      </c>
      <c r="D681" s="21" t="s">
        <v>343</v>
      </c>
      <c r="E681" s="21" t="s">
        <v>21</v>
      </c>
      <c r="F681" s="7" t="s">
        <v>22</v>
      </c>
      <c r="G681" s="7" t="s">
        <v>1281</v>
      </c>
      <c r="J681" s="7" t="s">
        <v>28</v>
      </c>
      <c r="L681" s="44">
        <v>5</v>
      </c>
      <c r="M681" s="7" t="s">
        <v>23</v>
      </c>
      <c r="N681" s="7" t="s">
        <v>49</v>
      </c>
      <c r="O681" s="13" t="s">
        <v>1258</v>
      </c>
    </row>
    <row r="682" spans="1:15" ht="14.25" customHeight="1" x14ac:dyDescent="0.3">
      <c r="A682" s="19" t="s">
        <v>1301</v>
      </c>
      <c r="C682" s="8" t="str">
        <f>G682&amp;", "&amp;O682&amp;", "&amp;N682</f>
        <v>Prisionero, PRISIONERO M10 X 15MM LONG, ALTERNATIVO</v>
      </c>
      <c r="D682" s="21" t="s">
        <v>344</v>
      </c>
      <c r="E682" s="21" t="s">
        <v>21</v>
      </c>
      <c r="F682" s="7" t="s">
        <v>22</v>
      </c>
      <c r="G682" s="7" t="s">
        <v>1281</v>
      </c>
      <c r="J682" s="7" t="s">
        <v>28</v>
      </c>
      <c r="L682" s="44">
        <v>5</v>
      </c>
      <c r="M682" s="7" t="s">
        <v>23</v>
      </c>
      <c r="N682" s="7" t="s">
        <v>49</v>
      </c>
      <c r="O682" s="13" t="s">
        <v>1259</v>
      </c>
    </row>
    <row r="683" spans="1:15" ht="14.25" customHeight="1" x14ac:dyDescent="0.3">
      <c r="A683" s="19" t="s">
        <v>1301</v>
      </c>
      <c r="C683" s="8" t="str">
        <f>G683&amp;", "&amp;O683&amp;", "&amp;N683</f>
        <v>Prisionero, PRISIONERO M12 X 32.18, ALTERNATIVO</v>
      </c>
      <c r="D683" s="21" t="s">
        <v>345</v>
      </c>
      <c r="E683" s="21" t="s">
        <v>21</v>
      </c>
      <c r="F683" s="7" t="s">
        <v>22</v>
      </c>
      <c r="G683" s="7" t="s">
        <v>1281</v>
      </c>
      <c r="J683" s="7" t="s">
        <v>28</v>
      </c>
      <c r="L683" s="44">
        <v>5</v>
      </c>
      <c r="M683" s="7" t="s">
        <v>23</v>
      </c>
      <c r="N683" s="7" t="s">
        <v>49</v>
      </c>
      <c r="O683" s="13" t="s">
        <v>1260</v>
      </c>
    </row>
    <row r="684" spans="1:15" ht="14.25" customHeight="1" x14ac:dyDescent="0.3">
      <c r="A684" s="19" t="s">
        <v>1301</v>
      </c>
      <c r="C684" s="8" t="str">
        <f>G684&amp;", "&amp;O684&amp;", "&amp;N684</f>
        <v>Sello, PS081 = 229.00 x 241.30 x 13.20 POM + NBR (MEDIDA FINAL), MACHEN</v>
      </c>
      <c r="D684" s="21" t="s">
        <v>346</v>
      </c>
      <c r="E684" s="21" t="s">
        <v>21</v>
      </c>
      <c r="F684" s="7" t="s">
        <v>22</v>
      </c>
      <c r="G684" s="7" t="s">
        <v>48</v>
      </c>
      <c r="J684" s="7" t="s">
        <v>28</v>
      </c>
      <c r="L684" s="44">
        <v>256</v>
      </c>
      <c r="M684" s="7" t="s">
        <v>23</v>
      </c>
      <c r="N684" s="7" t="s">
        <v>478</v>
      </c>
      <c r="O684" s="20" t="s">
        <v>1261</v>
      </c>
    </row>
    <row r="685" spans="1:15" ht="14.25" customHeight="1" x14ac:dyDescent="0.3">
      <c r="A685" s="19" t="s">
        <v>1301</v>
      </c>
      <c r="C685" s="8" t="str">
        <f>G685&amp;", "&amp;O685&amp;", "&amp;N685</f>
        <v>Sello, PS081 = 279.90 x 292.10 x 13.20 POM + NBR (MEDIDA FINAL), MACHEN</v>
      </c>
      <c r="D685" s="21" t="s">
        <v>347</v>
      </c>
      <c r="E685" s="21" t="s">
        <v>21</v>
      </c>
      <c r="F685" s="7" t="s">
        <v>22</v>
      </c>
      <c r="G685" s="7" t="s">
        <v>48</v>
      </c>
      <c r="J685" s="7" t="s">
        <v>28</v>
      </c>
      <c r="L685" s="44">
        <v>350</v>
      </c>
      <c r="M685" s="7" t="s">
        <v>23</v>
      </c>
      <c r="N685" s="7" t="s">
        <v>478</v>
      </c>
      <c r="O685" s="20" t="s">
        <v>1262</v>
      </c>
    </row>
    <row r="686" spans="1:15" ht="14.25" customHeight="1" x14ac:dyDescent="0.3">
      <c r="A686" s="19" t="s">
        <v>1301</v>
      </c>
      <c r="C686" s="8" t="str">
        <f>G686&amp;", "&amp;O686&amp;", "&amp;N686</f>
        <v>Sello, PS081 118.80 X 135 X 7.50 PTFE BRONCE + NBR, MACHEN</v>
      </c>
      <c r="D686" s="21" t="s">
        <v>348</v>
      </c>
      <c r="E686" s="21" t="s">
        <v>21</v>
      </c>
      <c r="F686" s="7" t="s">
        <v>22</v>
      </c>
      <c r="G686" s="7" t="s">
        <v>48</v>
      </c>
      <c r="J686" s="7" t="s">
        <v>28</v>
      </c>
      <c r="L686" s="44">
        <v>60.4</v>
      </c>
      <c r="M686" s="7" t="s">
        <v>23</v>
      </c>
      <c r="N686" s="7" t="s">
        <v>478</v>
      </c>
      <c r="O686" s="20" t="s">
        <v>1263</v>
      </c>
    </row>
    <row r="687" spans="1:15" ht="14.25" customHeight="1" x14ac:dyDescent="0.3">
      <c r="A687" s="19" t="s">
        <v>1301</v>
      </c>
      <c r="C687" s="8" t="str">
        <f>G687&amp;", "&amp;O687&amp;", "&amp;N687</f>
        <v>Sello, PS35 129.80 X 135 X 5.60 PU GREY, MACHEN</v>
      </c>
      <c r="D687" s="21" t="s">
        <v>349</v>
      </c>
      <c r="E687" s="21" t="s">
        <v>21</v>
      </c>
      <c r="F687" s="7" t="s">
        <v>22</v>
      </c>
      <c r="G687" s="7" t="s">
        <v>48</v>
      </c>
      <c r="J687" s="7" t="s">
        <v>28</v>
      </c>
      <c r="L687" s="44">
        <v>18.5</v>
      </c>
      <c r="M687" s="7" t="s">
        <v>23</v>
      </c>
      <c r="N687" s="7" t="s">
        <v>478</v>
      </c>
      <c r="O687" s="20" t="s">
        <v>1264</v>
      </c>
    </row>
    <row r="688" spans="1:15" ht="14.25" customHeight="1" x14ac:dyDescent="0.3">
      <c r="A688" s="19" t="s">
        <v>1301</v>
      </c>
      <c r="C688" s="8" t="str">
        <f>G688&amp;", "&amp;O688&amp;", "&amp;N688</f>
        <v>Sello, PS35 146.5 X 152.40 X 5.40 (PU RED), MACHEN</v>
      </c>
      <c r="D688" s="21" t="s">
        <v>350</v>
      </c>
      <c r="E688" s="21" t="s">
        <v>21</v>
      </c>
      <c r="F688" s="7" t="s">
        <v>22</v>
      </c>
      <c r="G688" s="7" t="s">
        <v>48</v>
      </c>
      <c r="J688" s="7" t="s">
        <v>28</v>
      </c>
      <c r="L688" s="44">
        <v>18.399999999999999</v>
      </c>
      <c r="M688" s="7" t="s">
        <v>23</v>
      </c>
      <c r="N688" s="7" t="s">
        <v>478</v>
      </c>
      <c r="O688" s="20" t="s">
        <v>1265</v>
      </c>
    </row>
    <row r="689" spans="1:15" ht="14.25" customHeight="1" x14ac:dyDescent="0.3">
      <c r="A689" s="19" t="s">
        <v>1301</v>
      </c>
      <c r="C689" s="8" t="str">
        <f>G689&amp;", "&amp;O689&amp;", "&amp;N689</f>
        <v>Sello, PS35 96 X 101.60 X 5.2 PU RED, MACHEN</v>
      </c>
      <c r="D689" s="21" t="s">
        <v>351</v>
      </c>
      <c r="E689" s="21" t="s">
        <v>21</v>
      </c>
      <c r="F689" s="7" t="s">
        <v>22</v>
      </c>
      <c r="G689" s="7" t="s">
        <v>48</v>
      </c>
      <c r="J689" s="7" t="s">
        <v>28</v>
      </c>
      <c r="L689" s="44">
        <v>9.6</v>
      </c>
      <c r="M689" s="7" t="s">
        <v>23</v>
      </c>
      <c r="N689" s="7" t="s">
        <v>478</v>
      </c>
      <c r="O689" s="13" t="s">
        <v>1266</v>
      </c>
    </row>
    <row r="690" spans="1:15" ht="14.25" customHeight="1" x14ac:dyDescent="0.3">
      <c r="A690" s="19" t="s">
        <v>1301</v>
      </c>
      <c r="C690" s="8" t="str">
        <f>G690&amp;", "&amp;O690&amp;", "&amp;N690</f>
        <v>Sello, PS81 - 229.10 X 241.30 X 14.5 POM + NBR (MEDIDA FINAL DE ALTURA DE SELLO 13.5), MACHEN</v>
      </c>
      <c r="D690" s="21" t="s">
        <v>352</v>
      </c>
      <c r="E690" s="21" t="s">
        <v>21</v>
      </c>
      <c r="F690" s="7" t="s">
        <v>22</v>
      </c>
      <c r="G690" s="7" t="s">
        <v>48</v>
      </c>
      <c r="J690" s="7" t="s">
        <v>28</v>
      </c>
      <c r="L690" s="44">
        <v>145</v>
      </c>
      <c r="M690" s="7" t="s">
        <v>23</v>
      </c>
      <c r="N690" s="7" t="s">
        <v>478</v>
      </c>
      <c r="O690" s="13" t="s">
        <v>1267</v>
      </c>
    </row>
    <row r="691" spans="1:15" ht="14.25" customHeight="1" x14ac:dyDescent="0.3">
      <c r="A691" s="19" t="s">
        <v>1301</v>
      </c>
      <c r="C691" s="8" t="str">
        <f>G691&amp;", "&amp;O691&amp;", "&amp;N691</f>
        <v>Sello, PS81 - 286.50 X 298.55 X 14.5 PA + NBR (MEDIDA FINAL DE ALTURA DE SELLO 13.5), MACHEN</v>
      </c>
      <c r="D691" s="21" t="s">
        <v>353</v>
      </c>
      <c r="E691" s="21" t="s">
        <v>21</v>
      </c>
      <c r="F691" s="7" t="s">
        <v>22</v>
      </c>
      <c r="G691" s="7" t="s">
        <v>48</v>
      </c>
      <c r="J691" s="7" t="s">
        <v>28</v>
      </c>
      <c r="L691" s="44">
        <v>174</v>
      </c>
      <c r="M691" s="7" t="s">
        <v>23</v>
      </c>
      <c r="N691" s="7" t="s">
        <v>478</v>
      </c>
      <c r="O691" s="13" t="s">
        <v>1268</v>
      </c>
    </row>
    <row r="692" spans="1:15" ht="14.25" customHeight="1" x14ac:dyDescent="0.3">
      <c r="A692" s="19" t="s">
        <v>1301</v>
      </c>
      <c r="C692" s="8" t="str">
        <f>G692&amp;", "&amp;O692&amp;", "&amp;N692</f>
        <v>Sello, PS81 - 343.3 X 355.7 X 14.5 PA+NBR (MEDIDA FINAL DE ALTURA DE SELLO 13.5), MACHEN</v>
      </c>
      <c r="D692" s="21" t="s">
        <v>354</v>
      </c>
      <c r="E692" s="21" t="s">
        <v>21</v>
      </c>
      <c r="F692" s="7" t="s">
        <v>22</v>
      </c>
      <c r="G692" s="7" t="s">
        <v>48</v>
      </c>
      <c r="J692" s="7" t="s">
        <v>28</v>
      </c>
      <c r="L692" s="44">
        <v>190</v>
      </c>
      <c r="M692" s="7" t="s">
        <v>23</v>
      </c>
      <c r="N692" s="7" t="s">
        <v>478</v>
      </c>
      <c r="O692" s="13" t="s">
        <v>1269</v>
      </c>
    </row>
    <row r="693" spans="1:15" ht="14.25" customHeight="1" x14ac:dyDescent="0.3">
      <c r="A693" s="19" t="s">
        <v>1301</v>
      </c>
      <c r="C693" s="8" t="str">
        <f>G693&amp;", "&amp;O693&amp;", "&amp;N693</f>
        <v>Sello, PS81 54.00 X 63.5 X 4.70, MACHEN</v>
      </c>
      <c r="D693" s="21" t="s">
        <v>355</v>
      </c>
      <c r="E693" s="21" t="s">
        <v>21</v>
      </c>
      <c r="F693" s="7" t="s">
        <v>22</v>
      </c>
      <c r="G693" s="7" t="s">
        <v>48</v>
      </c>
      <c r="J693" s="7" t="s">
        <v>28</v>
      </c>
      <c r="L693" s="44">
        <v>10.4</v>
      </c>
      <c r="M693" s="7" t="s">
        <v>23</v>
      </c>
      <c r="N693" s="7" t="s">
        <v>478</v>
      </c>
      <c r="O693" s="13" t="s">
        <v>1270</v>
      </c>
    </row>
    <row r="694" spans="1:15" ht="14.25" customHeight="1" x14ac:dyDescent="0.3">
      <c r="A694" s="19" t="s">
        <v>1301</v>
      </c>
      <c r="C694" s="8" t="str">
        <f>G694&amp;", "&amp;O694&amp;", "&amp;N694</f>
        <v>Sello, PSQ - 160, ALTERNATIVO</v>
      </c>
      <c r="D694" s="21" t="s">
        <v>356</v>
      </c>
      <c r="E694" s="21" t="s">
        <v>21</v>
      </c>
      <c r="F694" s="7" t="s">
        <v>22</v>
      </c>
      <c r="G694" s="7" t="s">
        <v>48</v>
      </c>
      <c r="J694" s="7" t="s">
        <v>28</v>
      </c>
      <c r="L694" s="44">
        <v>178.68</v>
      </c>
      <c r="M694" s="7" t="s">
        <v>23</v>
      </c>
      <c r="N694" s="7" t="s">
        <v>49</v>
      </c>
      <c r="O694" s="20" t="s">
        <v>1271</v>
      </c>
    </row>
    <row r="695" spans="1:15" ht="14.25" customHeight="1" x14ac:dyDescent="0.3">
      <c r="A695" s="19" t="s">
        <v>1301</v>
      </c>
      <c r="C695" s="8" t="str">
        <f>G695&amp;", "&amp;O695&amp;", "&amp;N695</f>
        <v>Sello, RS09B 64.5 X 50.8 X 3.6 PTFE BRONCE + NBR, MACHEN</v>
      </c>
      <c r="D695" s="21" t="s">
        <v>357</v>
      </c>
      <c r="E695" s="21" t="s">
        <v>21</v>
      </c>
      <c r="F695" s="7" t="s">
        <v>22</v>
      </c>
      <c r="G695" s="7" t="s">
        <v>48</v>
      </c>
      <c r="J695" s="7" t="s">
        <v>28</v>
      </c>
      <c r="L695" s="44">
        <v>54.6</v>
      </c>
      <c r="M695" s="7" t="s">
        <v>23</v>
      </c>
      <c r="N695" s="7" t="s">
        <v>478</v>
      </c>
      <c r="O695" s="20" t="s">
        <v>1272</v>
      </c>
    </row>
    <row r="696" spans="1:15" ht="14.25" customHeight="1" x14ac:dyDescent="0.3">
      <c r="A696" s="19" t="s">
        <v>1301</v>
      </c>
      <c r="C696" s="8" t="str">
        <f>G696&amp;", "&amp;O696&amp;", "&amp;N696</f>
        <v>Sello, RTUB25 - 2.00 - 37, ALTERNATIVO</v>
      </c>
      <c r="D696" s="21" t="s">
        <v>358</v>
      </c>
      <c r="E696" s="21" t="s">
        <v>21</v>
      </c>
      <c r="F696" s="7" t="s">
        <v>22</v>
      </c>
      <c r="G696" s="7" t="s">
        <v>48</v>
      </c>
      <c r="J696" s="7" t="s">
        <v>28</v>
      </c>
      <c r="L696" s="44">
        <v>37</v>
      </c>
      <c r="M696" s="7" t="s">
        <v>23</v>
      </c>
      <c r="N696" s="7" t="s">
        <v>49</v>
      </c>
      <c r="O696" s="20" t="s">
        <v>1273</v>
      </c>
    </row>
    <row r="697" spans="1:15" ht="14.25" customHeight="1" x14ac:dyDescent="0.3">
      <c r="A697" s="19" t="s">
        <v>1301</v>
      </c>
      <c r="C697" s="8" t="str">
        <f>G697&amp;", "&amp;O697&amp;", "&amp;N697</f>
        <v>Sello, ST-700-XL, ALTERNATIVO</v>
      </c>
      <c r="D697" s="21" t="s">
        <v>359</v>
      </c>
      <c r="E697" s="21" t="s">
        <v>21</v>
      </c>
      <c r="F697" s="7" t="s">
        <v>22</v>
      </c>
      <c r="G697" s="7" t="s">
        <v>48</v>
      </c>
      <c r="J697" s="7" t="s">
        <v>28</v>
      </c>
      <c r="L697" s="44">
        <v>50</v>
      </c>
      <c r="M697" s="7" t="s">
        <v>23</v>
      </c>
      <c r="N697" s="7" t="s">
        <v>49</v>
      </c>
      <c r="O697" s="20" t="s">
        <v>1274</v>
      </c>
    </row>
    <row r="698" spans="1:15" ht="14.25" customHeight="1" x14ac:dyDescent="0.3">
      <c r="A698" s="19" t="s">
        <v>1301</v>
      </c>
      <c r="C698" s="8" t="str">
        <f>G698&amp;", "&amp;O698&amp;", "&amp;N698</f>
        <v>Tubos, TUBO MICROBRUÑIDO OD 3.015 X ID 2.500 X 8.500" LONG, ALTERNATIVO</v>
      </c>
      <c r="D698" s="21" t="s">
        <v>360</v>
      </c>
      <c r="E698" s="21" t="s">
        <v>21</v>
      </c>
      <c r="F698" s="7" t="s">
        <v>22</v>
      </c>
      <c r="G698" s="7" t="s">
        <v>418</v>
      </c>
      <c r="J698" s="7" t="s">
        <v>28</v>
      </c>
      <c r="L698" s="44">
        <v>8.7899999999999991</v>
      </c>
      <c r="M698" s="7" t="s">
        <v>23</v>
      </c>
      <c r="N698" s="7" t="s">
        <v>49</v>
      </c>
      <c r="O698" s="13" t="s">
        <v>1275</v>
      </c>
    </row>
    <row r="699" spans="1:15" ht="14.25" customHeight="1" x14ac:dyDescent="0.3">
      <c r="A699" s="19" t="s">
        <v>1301</v>
      </c>
      <c r="C699" s="8" t="str">
        <f>G699&amp;", "&amp;O699&amp;", "&amp;N699</f>
        <v>Tuerca, TUERCA Ø3/4" X 16 HILOS POR PULGADA DE GRADO 8 (HILO FINO), ALTERNATIVO</v>
      </c>
      <c r="D699" s="21" t="s">
        <v>361</v>
      </c>
      <c r="E699" s="21" t="s">
        <v>21</v>
      </c>
      <c r="F699" s="7" t="s">
        <v>22</v>
      </c>
      <c r="G699" s="7" t="s">
        <v>1219</v>
      </c>
      <c r="J699" s="7" t="s">
        <v>28</v>
      </c>
      <c r="L699" s="44">
        <v>45</v>
      </c>
      <c r="M699" s="7" t="s">
        <v>23</v>
      </c>
      <c r="N699" s="7" t="s">
        <v>49</v>
      </c>
      <c r="O699" s="13" t="s">
        <v>1276</v>
      </c>
    </row>
    <row r="700" spans="1:15" ht="14.25" customHeight="1" x14ac:dyDescent="0.3">
      <c r="A700" s="19" t="s">
        <v>1301</v>
      </c>
      <c r="C700" s="8" t="str">
        <f>G700&amp;", "&amp;O700&amp;", "&amp;N700</f>
        <v>Válvula, VALV CBGG-LJN, ALTERNATIVO</v>
      </c>
      <c r="D700" s="21" t="s">
        <v>362</v>
      </c>
      <c r="E700" s="21" t="s">
        <v>21</v>
      </c>
      <c r="F700" s="7" t="s">
        <v>22</v>
      </c>
      <c r="G700" s="7" t="s">
        <v>1226</v>
      </c>
      <c r="J700" s="7" t="s">
        <v>28</v>
      </c>
      <c r="L700" s="44">
        <v>463.81</v>
      </c>
      <c r="M700" s="7" t="s">
        <v>23</v>
      </c>
      <c r="N700" s="7" t="s">
        <v>49</v>
      </c>
      <c r="O700" s="20" t="s">
        <v>1277</v>
      </c>
    </row>
    <row r="701" spans="1:15" ht="14.25" customHeight="1" x14ac:dyDescent="0.3">
      <c r="A701" s="19" t="s">
        <v>1301</v>
      </c>
      <c r="C701" s="8" t="str">
        <f>G701&amp;", "&amp;O701&amp;", "&amp;N701</f>
        <v>Perno, PERNO (GRADO 8) 7/8" X 3" - 9NC, ALTERNATIVO</v>
      </c>
      <c r="D701" s="21" t="s">
        <v>363</v>
      </c>
      <c r="E701" s="21" t="s">
        <v>21</v>
      </c>
      <c r="F701" s="7" t="s">
        <v>22</v>
      </c>
      <c r="G701" s="7" t="s">
        <v>984</v>
      </c>
      <c r="J701" s="7" t="s">
        <v>28</v>
      </c>
      <c r="L701" s="44">
        <v>20</v>
      </c>
      <c r="M701" s="7" t="s">
        <v>23</v>
      </c>
      <c r="N701" s="7" t="s">
        <v>49</v>
      </c>
      <c r="O701" s="13" t="s">
        <v>1278</v>
      </c>
    </row>
    <row r="702" spans="1:15" ht="14.25" customHeight="1" x14ac:dyDescent="0.3">
      <c r="A702" s="19" t="s">
        <v>1301</v>
      </c>
      <c r="C702" s="8" t="str">
        <f>G702&amp;", "&amp;O702&amp;", "&amp;N702</f>
        <v>Perno, PERNO (GRADO 10.9) + ARANDELA ENDURECIDAS 7/8 - 9NC X 4-1/2", ALTERNATIVO</v>
      </c>
      <c r="D702" s="21" t="s">
        <v>364</v>
      </c>
      <c r="E702" s="21" t="s">
        <v>21</v>
      </c>
      <c r="F702" s="7" t="s">
        <v>22</v>
      </c>
      <c r="G702" s="7" t="s">
        <v>984</v>
      </c>
      <c r="J702" s="7" t="s">
        <v>28</v>
      </c>
      <c r="L702" s="44">
        <v>20</v>
      </c>
      <c r="M702" s="7" t="s">
        <v>23</v>
      </c>
      <c r="N702" s="7" t="s">
        <v>49</v>
      </c>
      <c r="O702" s="13" t="s">
        <v>1279</v>
      </c>
    </row>
    <row r="703" spans="1:15" ht="14.25" customHeight="1" x14ac:dyDescent="0.3">
      <c r="A703" s="19" t="s">
        <v>1301</v>
      </c>
      <c r="C703" s="8" t="str">
        <f>G703&amp;", "&amp;O703&amp;", "&amp;N703</f>
        <v>Anillo de retención, ANILLO DE RETENCION PARA INTERIORES ØEXT 70 MM, ALTERNATIVO</v>
      </c>
      <c r="D703" s="21" t="s">
        <v>365</v>
      </c>
      <c r="E703" s="21" t="s">
        <v>21</v>
      </c>
      <c r="F703" s="7" t="s">
        <v>22</v>
      </c>
      <c r="G703" s="7" t="s">
        <v>547</v>
      </c>
      <c r="J703" s="7" t="s">
        <v>28</v>
      </c>
      <c r="L703" s="44">
        <v>20</v>
      </c>
      <c r="M703" s="7" t="s">
        <v>23</v>
      </c>
      <c r="N703" s="7" t="s">
        <v>49</v>
      </c>
      <c r="O703" s="13" t="s">
        <v>1280</v>
      </c>
    </row>
    <row r="704" spans="1:15" ht="14.25" customHeight="1" x14ac:dyDescent="0.3">
      <c r="A704" s="19" t="s">
        <v>1301</v>
      </c>
      <c r="C704" s="8" t="str">
        <f>G704&amp;", "&amp;O704&amp;", "&amp;N704</f>
        <v>Acero, ACERO H1045 11-1/4" X 5" X 3/4" ESPESOR, BOHLER</v>
      </c>
      <c r="D704" s="21" t="s">
        <v>366</v>
      </c>
      <c r="E704" s="21" t="s">
        <v>21</v>
      </c>
      <c r="F704" s="7" t="s">
        <v>22</v>
      </c>
      <c r="G704" s="7" t="s">
        <v>438</v>
      </c>
      <c r="J704" s="7" t="s">
        <v>28</v>
      </c>
      <c r="L704" s="44">
        <v>58.3</v>
      </c>
      <c r="M704" s="7" t="s">
        <v>23</v>
      </c>
      <c r="N704" s="7" t="s">
        <v>481</v>
      </c>
      <c r="O704" s="20" t="s">
        <v>1283</v>
      </c>
    </row>
    <row r="705" spans="1:15" ht="14.25" customHeight="1" x14ac:dyDescent="0.3">
      <c r="A705" s="19" t="s">
        <v>1301</v>
      </c>
      <c r="C705" s="8" t="str">
        <f>G705&amp;", "&amp;O705&amp;", "&amp;N705</f>
        <v>Anillo de respaldo, 478-8407, CATERPILLAR</v>
      </c>
      <c r="D705" s="21" t="s">
        <v>367</v>
      </c>
      <c r="E705" s="21" t="s">
        <v>21</v>
      </c>
      <c r="F705" s="7" t="s">
        <v>22</v>
      </c>
      <c r="G705" s="7" t="s">
        <v>533</v>
      </c>
      <c r="J705" s="7" t="s">
        <v>28</v>
      </c>
      <c r="L705" s="44">
        <v>60.03</v>
      </c>
      <c r="M705" s="7" t="s">
        <v>23</v>
      </c>
      <c r="N705" s="7" t="s">
        <v>24</v>
      </c>
      <c r="O705" s="20" t="s">
        <v>497</v>
      </c>
    </row>
    <row r="706" spans="1:15" ht="14.25" customHeight="1" x14ac:dyDescent="0.3">
      <c r="A706" s="19" t="s">
        <v>1301</v>
      </c>
      <c r="C706" s="8" t="str">
        <f>G706&amp;", "&amp;O706&amp;", "&amp;N706</f>
        <v>Anillo de respaldo, 7Y-4669, CATERPILLAR</v>
      </c>
      <c r="D706" s="21" t="s">
        <v>368</v>
      </c>
      <c r="E706" s="21" t="s">
        <v>21</v>
      </c>
      <c r="F706" s="7" t="s">
        <v>22</v>
      </c>
      <c r="G706" s="7" t="s">
        <v>533</v>
      </c>
      <c r="J706" s="7" t="s">
        <v>28</v>
      </c>
      <c r="L706" s="44">
        <v>38.85</v>
      </c>
      <c r="M706" s="7" t="s">
        <v>23</v>
      </c>
      <c r="N706" s="7" t="s">
        <v>24</v>
      </c>
      <c r="O706" s="20" t="s">
        <v>498</v>
      </c>
    </row>
    <row r="707" spans="1:15" ht="14.25" customHeight="1" x14ac:dyDescent="0.3">
      <c r="A707" s="19" t="s">
        <v>1301</v>
      </c>
      <c r="C707" s="8" t="str">
        <f>G707&amp;", "&amp;O707&amp;", "&amp;N707</f>
        <v>Arandela, 9X-8399, CATERPILLAR</v>
      </c>
      <c r="D707" s="21" t="s">
        <v>369</v>
      </c>
      <c r="E707" s="21" t="s">
        <v>21</v>
      </c>
      <c r="F707" s="7" t="s">
        <v>22</v>
      </c>
      <c r="G707" s="7" t="s">
        <v>563</v>
      </c>
      <c r="J707" s="7" t="s">
        <v>28</v>
      </c>
      <c r="L707" s="44">
        <v>8.6199999999999992</v>
      </c>
      <c r="M707" s="7" t="s">
        <v>23</v>
      </c>
      <c r="N707" s="7" t="s">
        <v>24</v>
      </c>
      <c r="O707" s="20" t="s">
        <v>1284</v>
      </c>
    </row>
    <row r="708" spans="1:15" ht="14.25" customHeight="1" x14ac:dyDescent="0.3">
      <c r="A708" s="19" t="s">
        <v>1301</v>
      </c>
      <c r="C708" s="8" t="str">
        <f>G708&amp;", "&amp;O708&amp;", "&amp;N708</f>
        <v>Cojinete, 517-5956, CATERPILLAR</v>
      </c>
      <c r="D708" s="21" t="s">
        <v>370</v>
      </c>
      <c r="E708" s="21" t="s">
        <v>21</v>
      </c>
      <c r="F708" s="7" t="s">
        <v>22</v>
      </c>
      <c r="G708" s="7" t="s">
        <v>34</v>
      </c>
      <c r="J708" s="7" t="s">
        <v>28</v>
      </c>
      <c r="L708" s="44">
        <v>935.03</v>
      </c>
      <c r="M708" s="7" t="s">
        <v>23</v>
      </c>
      <c r="N708" s="7" t="s">
        <v>24</v>
      </c>
      <c r="O708" s="20" t="s">
        <v>1285</v>
      </c>
    </row>
    <row r="709" spans="1:15" ht="14.25" customHeight="1" x14ac:dyDescent="0.3">
      <c r="A709" s="19" t="s">
        <v>1301</v>
      </c>
      <c r="C709" s="8" t="str">
        <f>G709&amp;", "&amp;O709&amp;", "&amp;N709</f>
        <v>Cojinete, 9J-7099, CATERPILLAR</v>
      </c>
      <c r="D709" s="21" t="s">
        <v>371</v>
      </c>
      <c r="E709" s="21" t="s">
        <v>21</v>
      </c>
      <c r="F709" s="7" t="s">
        <v>22</v>
      </c>
      <c r="G709" s="7" t="s">
        <v>34</v>
      </c>
      <c r="J709" s="7" t="s">
        <v>28</v>
      </c>
      <c r="L709" s="44">
        <v>56.41</v>
      </c>
      <c r="M709" s="7" t="s">
        <v>23</v>
      </c>
      <c r="N709" s="7" t="s">
        <v>24</v>
      </c>
      <c r="O709" s="20" t="s">
        <v>1286</v>
      </c>
    </row>
    <row r="710" spans="1:15" ht="14.25" customHeight="1" x14ac:dyDescent="0.3">
      <c r="A710" s="19" t="s">
        <v>1301</v>
      </c>
      <c r="C710" s="8" t="str">
        <f>G710&amp;", "&amp;O710&amp;", "&amp;N710</f>
        <v>Cojinete, 3G-7624, CATERPILLAR</v>
      </c>
      <c r="D710" s="21" t="s">
        <v>372</v>
      </c>
      <c r="E710" s="21" t="s">
        <v>21</v>
      </c>
      <c r="F710" s="7" t="s">
        <v>22</v>
      </c>
      <c r="G710" s="7" t="s">
        <v>34</v>
      </c>
      <c r="J710" s="7" t="s">
        <v>28</v>
      </c>
      <c r="L710" s="44">
        <v>40.799999999999997</v>
      </c>
      <c r="M710" s="7" t="s">
        <v>23</v>
      </c>
      <c r="N710" s="7" t="s">
        <v>24</v>
      </c>
      <c r="O710" s="20" t="s">
        <v>613</v>
      </c>
    </row>
    <row r="711" spans="1:15" ht="14.25" customHeight="1" x14ac:dyDescent="0.3">
      <c r="A711" s="19" t="s">
        <v>1301</v>
      </c>
      <c r="C711" s="8" t="str">
        <f>G711&amp;", "&amp;O711&amp;", "&amp;N711</f>
        <v>Cojinete, 462-2010, CATERPILLAR</v>
      </c>
      <c r="D711" s="21" t="s">
        <v>373</v>
      </c>
      <c r="E711" s="21" t="s">
        <v>21</v>
      </c>
      <c r="F711" s="7" t="s">
        <v>22</v>
      </c>
      <c r="G711" s="7" t="s">
        <v>34</v>
      </c>
      <c r="J711" s="7" t="s">
        <v>28</v>
      </c>
      <c r="L711" s="44">
        <v>603.08000000000004</v>
      </c>
      <c r="M711" s="7" t="s">
        <v>23</v>
      </c>
      <c r="N711" s="7" t="s">
        <v>24</v>
      </c>
      <c r="O711" s="20" t="s">
        <v>1287</v>
      </c>
    </row>
    <row r="712" spans="1:15" ht="14.25" customHeight="1" x14ac:dyDescent="0.3">
      <c r="A712" s="19" t="s">
        <v>1301</v>
      </c>
      <c r="C712" s="8" t="str">
        <f>G712&amp;", "&amp;O712&amp;", "&amp;N712</f>
        <v>Cojinete, 9J-7100, CATERPILLAR</v>
      </c>
      <c r="D712" s="21" t="s">
        <v>374</v>
      </c>
      <c r="E712" s="21" t="s">
        <v>21</v>
      </c>
      <c r="F712" s="7" t="s">
        <v>22</v>
      </c>
      <c r="G712" s="7" t="s">
        <v>34</v>
      </c>
      <c r="J712" s="7" t="s">
        <v>28</v>
      </c>
      <c r="L712" s="44">
        <v>331.03</v>
      </c>
      <c r="M712" s="7" t="s">
        <v>23</v>
      </c>
      <c r="N712" s="7" t="s">
        <v>24</v>
      </c>
      <c r="O712" s="20" t="s">
        <v>1288</v>
      </c>
    </row>
    <row r="713" spans="1:15" ht="14.25" customHeight="1" x14ac:dyDescent="0.3">
      <c r="A713" s="19" t="s">
        <v>1301</v>
      </c>
      <c r="C713" s="8" t="str">
        <f>G713&amp;", "&amp;O713&amp;", "&amp;N713</f>
        <v>Perno, C1602, KOMATSU</v>
      </c>
      <c r="D713" s="21" t="s">
        <v>375</v>
      </c>
      <c r="E713" s="21" t="s">
        <v>21</v>
      </c>
      <c r="F713" s="7" t="s">
        <v>22</v>
      </c>
      <c r="G713" s="7" t="s">
        <v>984</v>
      </c>
      <c r="J713" s="7" t="s">
        <v>28</v>
      </c>
      <c r="L713" s="44">
        <f>0.3*1.5</f>
        <v>0.44999999999999996</v>
      </c>
      <c r="M713" s="7" t="s">
        <v>23</v>
      </c>
      <c r="N713" s="7" t="s">
        <v>30</v>
      </c>
      <c r="O713" s="20" t="s">
        <v>1289</v>
      </c>
    </row>
    <row r="714" spans="1:15" ht="14.25" customHeight="1" x14ac:dyDescent="0.3">
      <c r="A714" s="19" t="s">
        <v>1301</v>
      </c>
      <c r="C714" s="8" t="str">
        <f>G714&amp;", "&amp;O714&amp;", "&amp;N714</f>
        <v>Perno, VN9149 / 24869R1, KOMATSU</v>
      </c>
      <c r="D714" s="21" t="s">
        <v>376</v>
      </c>
      <c r="E714" s="21" t="s">
        <v>21</v>
      </c>
      <c r="F714" s="7" t="s">
        <v>22</v>
      </c>
      <c r="G714" s="7" t="s">
        <v>984</v>
      </c>
      <c r="J714" s="7" t="s">
        <v>28</v>
      </c>
      <c r="L714" s="44">
        <v>13.16</v>
      </c>
      <c r="M714" s="7" t="s">
        <v>23</v>
      </c>
      <c r="N714" s="7" t="s">
        <v>30</v>
      </c>
      <c r="O714" s="20" t="s">
        <v>1307</v>
      </c>
    </row>
    <row r="715" spans="1:15" ht="14.25" customHeight="1" x14ac:dyDescent="0.3">
      <c r="A715" s="19" t="s">
        <v>1301</v>
      </c>
      <c r="C715" s="8" t="str">
        <f>G715&amp;", "&amp;O715&amp;", "&amp;N715</f>
        <v>Cojinete, 7J-9694, CATERPILLAR</v>
      </c>
      <c r="D715" s="21" t="s">
        <v>377</v>
      </c>
      <c r="E715" s="21" t="s">
        <v>21</v>
      </c>
      <c r="F715" s="7" t="s">
        <v>22</v>
      </c>
      <c r="G715" s="7" t="s">
        <v>34</v>
      </c>
      <c r="J715" s="7" t="s">
        <v>28</v>
      </c>
      <c r="L715" s="44">
        <v>100.38</v>
      </c>
      <c r="M715" s="7" t="s">
        <v>23</v>
      </c>
      <c r="N715" s="7" t="s">
        <v>24</v>
      </c>
      <c r="O715" s="20" t="s">
        <v>1290</v>
      </c>
    </row>
    <row r="716" spans="1:15" ht="14.25" customHeight="1" x14ac:dyDescent="0.3">
      <c r="A716" s="19" t="s">
        <v>1301</v>
      </c>
      <c r="C716" s="8" t="str">
        <f>G716&amp;", "&amp;O716&amp;", "&amp;N716</f>
        <v>Cone Roller, PB-9996, KOMATSU</v>
      </c>
      <c r="D716" s="21" t="s">
        <v>378</v>
      </c>
      <c r="E716" s="21" t="s">
        <v>21</v>
      </c>
      <c r="F716" s="7" t="s">
        <v>22</v>
      </c>
      <c r="G716" s="7" t="s">
        <v>699</v>
      </c>
      <c r="J716" s="7" t="s">
        <v>28</v>
      </c>
      <c r="L716" s="44">
        <v>2340</v>
      </c>
      <c r="M716" s="7" t="s">
        <v>23</v>
      </c>
      <c r="N716" s="7" t="s">
        <v>30</v>
      </c>
      <c r="O716" s="20" t="s">
        <v>1291</v>
      </c>
    </row>
    <row r="717" spans="1:15" ht="14.25" customHeight="1" x14ac:dyDescent="0.3">
      <c r="A717" s="19" t="s">
        <v>1301</v>
      </c>
      <c r="C717" s="8" t="str">
        <f>G717&amp;", "&amp;O717&amp;", "&amp;N717</f>
        <v>Cone Roller, PC-1424, KOMATSU</v>
      </c>
      <c r="D717" s="21" t="s">
        <v>379</v>
      </c>
      <c r="E717" s="21" t="s">
        <v>21</v>
      </c>
      <c r="F717" s="7" t="s">
        <v>22</v>
      </c>
      <c r="G717" s="14" t="s">
        <v>699</v>
      </c>
      <c r="J717" s="7" t="s">
        <v>28</v>
      </c>
      <c r="L717" s="44">
        <v>2510</v>
      </c>
      <c r="M717" s="7" t="s">
        <v>23</v>
      </c>
      <c r="N717" s="7" t="s">
        <v>30</v>
      </c>
      <c r="O717" s="13" t="s">
        <v>1292</v>
      </c>
    </row>
    <row r="718" spans="1:15" ht="14.25" customHeight="1" x14ac:dyDescent="0.3">
      <c r="A718" s="19" t="s">
        <v>1301</v>
      </c>
      <c r="C718" s="8" t="str">
        <f>G718&amp;", "&amp;O718&amp;", "&amp;N718</f>
        <v>Cup Roller., PC-0002, KOMATSU</v>
      </c>
      <c r="D718" s="21" t="s">
        <v>380</v>
      </c>
      <c r="E718" s="21" t="s">
        <v>21</v>
      </c>
      <c r="F718" s="7" t="s">
        <v>22</v>
      </c>
      <c r="G718" s="14" t="s">
        <v>742</v>
      </c>
      <c r="J718" s="7" t="s">
        <v>28</v>
      </c>
      <c r="L718" s="44">
        <v>1075</v>
      </c>
      <c r="M718" s="7" t="s">
        <v>23</v>
      </c>
      <c r="N718" s="7" t="s">
        <v>30</v>
      </c>
      <c r="O718" s="13" t="s">
        <v>1293</v>
      </c>
    </row>
    <row r="719" spans="1:15" ht="14.25" customHeight="1" x14ac:dyDescent="0.3">
      <c r="A719" s="19" t="s">
        <v>1301</v>
      </c>
      <c r="C719" s="8" t="str">
        <f>G719&amp;", "&amp;O719&amp;", "&amp;N719</f>
        <v>Cup Roller., PC-0521, KOMATSU</v>
      </c>
      <c r="D719" s="21" t="s">
        <v>381</v>
      </c>
      <c r="E719" s="21" t="s">
        <v>21</v>
      </c>
      <c r="F719" s="7" t="s">
        <v>22</v>
      </c>
      <c r="G719" s="7" t="s">
        <v>742</v>
      </c>
      <c r="J719" s="7" t="s">
        <v>28</v>
      </c>
      <c r="L719" s="44">
        <v>1195</v>
      </c>
      <c r="M719" s="7" t="s">
        <v>23</v>
      </c>
      <c r="N719" s="7" t="s">
        <v>30</v>
      </c>
      <c r="O719" s="13" t="s">
        <v>1294</v>
      </c>
    </row>
    <row r="720" spans="1:15" ht="14.25" customHeight="1" x14ac:dyDescent="0.3">
      <c r="A720" s="19" t="s">
        <v>1301</v>
      </c>
      <c r="C720" s="8" t="str">
        <f>G720&amp;", "&amp;O720&amp;", "&amp;N720</f>
        <v>Limpiador, 9X-4598 / 166-1497, CATERPILLAR</v>
      </c>
      <c r="D720" s="21" t="s">
        <v>382</v>
      </c>
      <c r="E720" s="21" t="s">
        <v>21</v>
      </c>
      <c r="F720" s="7" t="s">
        <v>22</v>
      </c>
      <c r="G720" s="7" t="s">
        <v>940</v>
      </c>
      <c r="J720" s="7" t="s">
        <v>28</v>
      </c>
      <c r="L720" s="44">
        <v>82.94</v>
      </c>
      <c r="M720" s="7" t="s">
        <v>23</v>
      </c>
      <c r="N720" s="7" t="s">
        <v>24</v>
      </c>
      <c r="O720" s="20" t="s">
        <v>1302</v>
      </c>
    </row>
    <row r="721" spans="1:15" ht="14.25" customHeight="1" x14ac:dyDescent="0.3">
      <c r="A721" s="19" t="s">
        <v>1301</v>
      </c>
      <c r="C721" s="8" t="str">
        <f>G721&amp;", "&amp;O721&amp;", "&amp;N721</f>
        <v>Limpiador, 9X-4599 / 166-1498, CATERPILLAR</v>
      </c>
      <c r="D721" s="21" t="s">
        <v>383</v>
      </c>
      <c r="E721" s="21" t="s">
        <v>21</v>
      </c>
      <c r="F721" s="7" t="s">
        <v>22</v>
      </c>
      <c r="G721" s="7" t="s">
        <v>940</v>
      </c>
      <c r="J721" s="7" t="s">
        <v>28</v>
      </c>
      <c r="L721" s="44">
        <v>117.85</v>
      </c>
      <c r="M721" s="7" t="s">
        <v>23</v>
      </c>
      <c r="N721" s="7" t="s">
        <v>24</v>
      </c>
      <c r="O721" s="20" t="s">
        <v>1303</v>
      </c>
    </row>
    <row r="722" spans="1:15" ht="14.25" customHeight="1" x14ac:dyDescent="0.3">
      <c r="A722" s="19" t="s">
        <v>1301</v>
      </c>
      <c r="C722" s="8" t="str">
        <f>G722&amp;", "&amp;O722&amp;", "&amp;N722</f>
        <v>Sello anular, EH-7195, KOMATSU</v>
      </c>
      <c r="D722" s="21" t="s">
        <v>384</v>
      </c>
      <c r="E722" s="21" t="s">
        <v>21</v>
      </c>
      <c r="F722" s="7" t="s">
        <v>22</v>
      </c>
      <c r="G722" s="7" t="s">
        <v>971</v>
      </c>
      <c r="J722" s="7" t="s">
        <v>28</v>
      </c>
      <c r="L722" s="44">
        <v>202.08</v>
      </c>
      <c r="M722" s="7" t="s">
        <v>23</v>
      </c>
      <c r="N722" s="7" t="s">
        <v>30</v>
      </c>
      <c r="O722" s="20" t="s">
        <v>1295</v>
      </c>
    </row>
    <row r="723" spans="1:15" ht="14.25" customHeight="1" x14ac:dyDescent="0.3">
      <c r="A723" s="19" t="s">
        <v>1301</v>
      </c>
      <c r="C723" s="8" t="str">
        <f>G723&amp;", "&amp;O723&amp;", "&amp;N723</f>
        <v>Sello anular, EH-7196, KOMATSU</v>
      </c>
      <c r="D723" s="21" t="s">
        <v>385</v>
      </c>
      <c r="E723" s="21" t="s">
        <v>21</v>
      </c>
      <c r="F723" s="7" t="s">
        <v>22</v>
      </c>
      <c r="G723" s="7" t="s">
        <v>971</v>
      </c>
      <c r="J723" s="7" t="s">
        <v>28</v>
      </c>
      <c r="L723" s="44">
        <v>75.48</v>
      </c>
      <c r="M723" s="7" t="s">
        <v>23</v>
      </c>
      <c r="N723" s="7" t="s">
        <v>30</v>
      </c>
      <c r="O723" s="20" t="s">
        <v>1296</v>
      </c>
    </row>
    <row r="724" spans="1:15" ht="14.25" customHeight="1" x14ac:dyDescent="0.3">
      <c r="A724" s="19" t="s">
        <v>1301</v>
      </c>
      <c r="C724" s="8" t="str">
        <f>G724&amp;", "&amp;O724&amp;", "&amp;N724</f>
        <v>Sello anular, EH-7197, KOMATSU</v>
      </c>
      <c r="D724" s="21" t="s">
        <v>386</v>
      </c>
      <c r="E724" s="21" t="s">
        <v>21</v>
      </c>
      <c r="F724" s="7" t="s">
        <v>22</v>
      </c>
      <c r="G724" s="7" t="s">
        <v>971</v>
      </c>
      <c r="J724" s="7" t="s">
        <v>28</v>
      </c>
      <c r="L724" s="44">
        <v>89.22</v>
      </c>
      <c r="M724" s="7" t="s">
        <v>23</v>
      </c>
      <c r="N724" s="7" t="s">
        <v>30</v>
      </c>
      <c r="O724" s="20" t="s">
        <v>1297</v>
      </c>
    </row>
    <row r="725" spans="1:15" ht="14.25" customHeight="1" x14ac:dyDescent="0.3">
      <c r="A725" s="19" t="s">
        <v>1301</v>
      </c>
      <c r="C725" s="33" t="str">
        <f>G725&amp;", "&amp;O725&amp;", "&amp;N725</f>
        <v>Plug, WA4780, KOMATSU</v>
      </c>
      <c r="D725" s="21" t="s">
        <v>387</v>
      </c>
      <c r="E725" s="21" t="s">
        <v>21</v>
      </c>
      <c r="F725" s="7" t="s">
        <v>22</v>
      </c>
      <c r="G725" s="7" t="s">
        <v>1015</v>
      </c>
      <c r="J725" s="7" t="s">
        <v>28</v>
      </c>
      <c r="L725" s="44">
        <v>7.84</v>
      </c>
      <c r="M725" s="7" t="s">
        <v>23</v>
      </c>
      <c r="N725" s="7" t="s">
        <v>30</v>
      </c>
      <c r="O725" s="20" t="s">
        <v>1298</v>
      </c>
    </row>
    <row r="726" spans="1:15" ht="14.25" customHeight="1" x14ac:dyDescent="0.3">
      <c r="A726" s="34" t="s">
        <v>1320</v>
      </c>
      <c r="B726" s="34"/>
      <c r="C726" s="35" t="s">
        <v>1321</v>
      </c>
      <c r="D726" s="21" t="s">
        <v>1548</v>
      </c>
      <c r="E726" s="34" t="s">
        <v>4</v>
      </c>
      <c r="F726" s="34" t="s">
        <v>36</v>
      </c>
      <c r="G726" s="34" t="s">
        <v>57</v>
      </c>
      <c r="H726" s="34"/>
      <c r="I726" s="34"/>
      <c r="J726" s="34" t="s">
        <v>28</v>
      </c>
      <c r="K726" s="36" t="s">
        <v>1322</v>
      </c>
      <c r="L726" s="55">
        <v>21.19</v>
      </c>
      <c r="M726" s="34" t="s">
        <v>29</v>
      </c>
      <c r="N726" s="34" t="s">
        <v>1323</v>
      </c>
      <c r="O726" s="34">
        <v>120562</v>
      </c>
    </row>
    <row r="727" spans="1:15" ht="14.25" customHeight="1" x14ac:dyDescent="0.3">
      <c r="A727" s="34" t="s">
        <v>1320</v>
      </c>
      <c r="B727" s="34"/>
      <c r="C727" s="35" t="s">
        <v>1324</v>
      </c>
      <c r="D727" s="21" t="s">
        <v>1549</v>
      </c>
      <c r="E727" s="34" t="s">
        <v>4</v>
      </c>
      <c r="F727" s="34" t="s">
        <v>36</v>
      </c>
      <c r="G727" s="34" t="s">
        <v>57</v>
      </c>
      <c r="H727" s="34"/>
      <c r="I727" s="34"/>
      <c r="J727" s="34" t="s">
        <v>28</v>
      </c>
      <c r="K727" s="36" t="s">
        <v>1322</v>
      </c>
      <c r="L727" s="55">
        <v>9.32</v>
      </c>
      <c r="M727" s="34" t="s">
        <v>29</v>
      </c>
      <c r="N727" s="34" t="s">
        <v>1325</v>
      </c>
      <c r="O727" s="34">
        <v>1400096</v>
      </c>
    </row>
    <row r="728" spans="1:15" ht="14.25" customHeight="1" x14ac:dyDescent="0.3">
      <c r="A728" s="34" t="s">
        <v>1320</v>
      </c>
      <c r="B728" s="34"/>
      <c r="C728" s="34" t="s">
        <v>1326</v>
      </c>
      <c r="D728" s="21" t="s">
        <v>1550</v>
      </c>
      <c r="E728" s="34" t="s">
        <v>4</v>
      </c>
      <c r="F728" s="34" t="s">
        <v>36</v>
      </c>
      <c r="G728" s="34" t="s">
        <v>57</v>
      </c>
      <c r="H728" s="34"/>
      <c r="I728" s="34"/>
      <c r="J728" s="34" t="s">
        <v>28</v>
      </c>
      <c r="K728" s="36" t="s">
        <v>1322</v>
      </c>
      <c r="L728" s="55">
        <v>31.36</v>
      </c>
      <c r="M728" s="34" t="s">
        <v>29</v>
      </c>
      <c r="N728" s="34" t="s">
        <v>1327</v>
      </c>
      <c r="O728" s="34" t="s">
        <v>1328</v>
      </c>
    </row>
    <row r="729" spans="1:15" ht="14.25" customHeight="1" x14ac:dyDescent="0.3">
      <c r="A729" s="34" t="s">
        <v>1320</v>
      </c>
      <c r="B729" s="34"/>
      <c r="C729" s="34" t="s">
        <v>1329</v>
      </c>
      <c r="D729" s="21" t="s">
        <v>1551</v>
      </c>
      <c r="E729" s="34" t="s">
        <v>4</v>
      </c>
      <c r="F729" s="34" t="s">
        <v>36</v>
      </c>
      <c r="G729" s="34" t="s">
        <v>57</v>
      </c>
      <c r="H729" s="34"/>
      <c r="I729" s="34"/>
      <c r="J729" s="34" t="s">
        <v>28</v>
      </c>
      <c r="K729" s="36" t="s">
        <v>1322</v>
      </c>
      <c r="L729" s="55">
        <v>5.93</v>
      </c>
      <c r="M729" s="34" t="s">
        <v>29</v>
      </c>
      <c r="N729" s="34" t="s">
        <v>1330</v>
      </c>
      <c r="O729" s="34" t="s">
        <v>1331</v>
      </c>
    </row>
    <row r="730" spans="1:15" ht="14.25" customHeight="1" x14ac:dyDescent="0.3">
      <c r="A730" s="34" t="s">
        <v>1320</v>
      </c>
      <c r="B730" s="34"/>
      <c r="C730" s="34" t="s">
        <v>1332</v>
      </c>
      <c r="D730" s="21" t="s">
        <v>1552</v>
      </c>
      <c r="E730" s="34" t="s">
        <v>4</v>
      </c>
      <c r="F730" s="34" t="s">
        <v>36</v>
      </c>
      <c r="G730" s="34" t="s">
        <v>57</v>
      </c>
      <c r="H730" s="34"/>
      <c r="I730" s="34"/>
      <c r="J730" s="34" t="s">
        <v>28</v>
      </c>
      <c r="K730" s="36" t="s">
        <v>1322</v>
      </c>
      <c r="L730" s="55">
        <v>5.08</v>
      </c>
      <c r="M730" s="34" t="s">
        <v>29</v>
      </c>
      <c r="N730" s="34" t="s">
        <v>1330</v>
      </c>
      <c r="O730" s="34" t="s">
        <v>1333</v>
      </c>
    </row>
    <row r="731" spans="1:15" ht="14.25" customHeight="1" x14ac:dyDescent="0.3">
      <c r="A731" s="34" t="s">
        <v>1320</v>
      </c>
      <c r="B731" s="34"/>
      <c r="C731" s="34" t="s">
        <v>1334</v>
      </c>
      <c r="D731" s="21" t="s">
        <v>1553</v>
      </c>
      <c r="E731" s="34" t="s">
        <v>4</v>
      </c>
      <c r="F731" s="34" t="s">
        <v>36</v>
      </c>
      <c r="G731" s="34" t="s">
        <v>57</v>
      </c>
      <c r="H731" s="34"/>
      <c r="I731" s="34"/>
      <c r="J731" s="34" t="s">
        <v>28</v>
      </c>
      <c r="K731" s="36" t="s">
        <v>1322</v>
      </c>
      <c r="L731" s="55">
        <v>38.14</v>
      </c>
      <c r="M731" s="34" t="s">
        <v>29</v>
      </c>
      <c r="N731" s="34" t="s">
        <v>1335</v>
      </c>
      <c r="O731" s="34" t="s">
        <v>1336</v>
      </c>
    </row>
    <row r="732" spans="1:15" ht="14.25" customHeight="1" x14ac:dyDescent="0.3">
      <c r="A732" s="34" t="s">
        <v>1320</v>
      </c>
      <c r="B732" s="34"/>
      <c r="C732" s="34" t="s">
        <v>1337</v>
      </c>
      <c r="D732" s="21" t="s">
        <v>1554</v>
      </c>
      <c r="E732" s="34" t="s">
        <v>4</v>
      </c>
      <c r="F732" s="34" t="s">
        <v>36</v>
      </c>
      <c r="G732" s="34" t="s">
        <v>57</v>
      </c>
      <c r="H732" s="34"/>
      <c r="I732" s="34"/>
      <c r="J732" s="34" t="s">
        <v>28</v>
      </c>
      <c r="K732" s="36" t="s">
        <v>1322</v>
      </c>
      <c r="L732" s="55">
        <v>5.08</v>
      </c>
      <c r="M732" s="34" t="s">
        <v>29</v>
      </c>
      <c r="N732" s="34" t="s">
        <v>29</v>
      </c>
      <c r="O732" s="34" t="s">
        <v>1338</v>
      </c>
    </row>
    <row r="733" spans="1:15" ht="14.25" customHeight="1" x14ac:dyDescent="0.3">
      <c r="A733" s="34" t="s">
        <v>1320</v>
      </c>
      <c r="B733" s="34"/>
      <c r="C733" s="34" t="s">
        <v>1339</v>
      </c>
      <c r="D733" s="21" t="s">
        <v>1555</v>
      </c>
      <c r="E733" s="34" t="s">
        <v>4</v>
      </c>
      <c r="F733" s="34" t="s">
        <v>36</v>
      </c>
      <c r="G733" s="34" t="s">
        <v>57</v>
      </c>
      <c r="H733" s="34"/>
      <c r="I733" s="34"/>
      <c r="J733" s="34" t="s">
        <v>28</v>
      </c>
      <c r="K733" s="36" t="s">
        <v>1322</v>
      </c>
      <c r="L733" s="55">
        <v>21.19</v>
      </c>
      <c r="M733" s="34" t="s">
        <v>29</v>
      </c>
      <c r="N733" s="34" t="s">
        <v>1340</v>
      </c>
      <c r="O733" s="34">
        <v>12588</v>
      </c>
    </row>
    <row r="734" spans="1:15" ht="14.25" customHeight="1" x14ac:dyDescent="0.3">
      <c r="A734" s="34" t="s">
        <v>1320</v>
      </c>
      <c r="B734" s="34"/>
      <c r="C734" s="34" t="s">
        <v>1341</v>
      </c>
      <c r="D734" s="21" t="s">
        <v>1556</v>
      </c>
      <c r="E734" s="34" t="s">
        <v>4</v>
      </c>
      <c r="F734" s="34" t="s">
        <v>36</v>
      </c>
      <c r="G734" s="34" t="s">
        <v>57</v>
      </c>
      <c r="H734" s="34"/>
      <c r="I734" s="34"/>
      <c r="J734" s="34" t="s">
        <v>28</v>
      </c>
      <c r="K734" s="36" t="s">
        <v>1322</v>
      </c>
      <c r="L734" s="55">
        <v>2.54</v>
      </c>
      <c r="M734" s="34" t="s">
        <v>29</v>
      </c>
      <c r="N734" s="34" t="s">
        <v>1342</v>
      </c>
      <c r="O734" s="34">
        <v>123179</v>
      </c>
    </row>
    <row r="735" spans="1:15" ht="14.25" customHeight="1" x14ac:dyDescent="0.3">
      <c r="A735" s="34" t="s">
        <v>1320</v>
      </c>
      <c r="B735" s="34"/>
      <c r="C735" s="34" t="s">
        <v>1343</v>
      </c>
      <c r="D735" s="21" t="s">
        <v>1557</v>
      </c>
      <c r="E735" s="34" t="s">
        <v>4</v>
      </c>
      <c r="F735" s="34" t="s">
        <v>36</v>
      </c>
      <c r="G735" s="34" t="s">
        <v>57</v>
      </c>
      <c r="H735" s="34"/>
      <c r="I735" s="34"/>
      <c r="J735" s="34" t="s">
        <v>28</v>
      </c>
      <c r="K735" s="36" t="s">
        <v>1322</v>
      </c>
      <c r="L735" s="55">
        <v>5.93</v>
      </c>
      <c r="M735" s="34" t="s">
        <v>29</v>
      </c>
      <c r="N735" s="34" t="s">
        <v>1330</v>
      </c>
      <c r="O735" s="34">
        <v>1421</v>
      </c>
    </row>
    <row r="736" spans="1:15" ht="14.25" customHeight="1" x14ac:dyDescent="0.3">
      <c r="A736" s="34" t="s">
        <v>1320</v>
      </c>
      <c r="B736" s="34"/>
      <c r="C736" s="34" t="s">
        <v>1344</v>
      </c>
      <c r="D736" s="21" t="s">
        <v>1558</v>
      </c>
      <c r="E736" s="34" t="s">
        <v>4</v>
      </c>
      <c r="F736" s="34" t="s">
        <v>36</v>
      </c>
      <c r="G736" s="34" t="s">
        <v>57</v>
      </c>
      <c r="H736" s="34"/>
      <c r="I736" s="34"/>
      <c r="J736" s="34" t="s">
        <v>28</v>
      </c>
      <c r="K736" s="36" t="s">
        <v>1322</v>
      </c>
      <c r="L736" s="55">
        <v>0.85</v>
      </c>
      <c r="M736" s="34" t="s">
        <v>29</v>
      </c>
      <c r="N736" s="34" t="s">
        <v>1345</v>
      </c>
      <c r="O736" s="34">
        <v>126246</v>
      </c>
    </row>
    <row r="737" spans="1:15" ht="14.25" customHeight="1" x14ac:dyDescent="0.3">
      <c r="A737" s="34" t="s">
        <v>1320</v>
      </c>
      <c r="B737" s="34"/>
      <c r="C737" s="34" t="s">
        <v>1346</v>
      </c>
      <c r="D737" s="21" t="s">
        <v>1559</v>
      </c>
      <c r="E737" s="34" t="s">
        <v>4</v>
      </c>
      <c r="F737" s="34" t="s">
        <v>36</v>
      </c>
      <c r="G737" s="34" t="s">
        <v>57</v>
      </c>
      <c r="H737" s="34"/>
      <c r="I737" s="34"/>
      <c r="J737" s="34" t="s">
        <v>28</v>
      </c>
      <c r="K737" s="36" t="s">
        <v>1322</v>
      </c>
      <c r="L737" s="55">
        <v>3.39</v>
      </c>
      <c r="M737" s="34" t="s">
        <v>29</v>
      </c>
      <c r="N737" s="34" t="s">
        <v>1347</v>
      </c>
      <c r="O737" s="34" t="s">
        <v>1348</v>
      </c>
    </row>
    <row r="738" spans="1:15" ht="14.25" customHeight="1" x14ac:dyDescent="0.3">
      <c r="A738" s="34" t="s">
        <v>1320</v>
      </c>
      <c r="B738" s="34"/>
      <c r="C738" s="34" t="s">
        <v>1349</v>
      </c>
      <c r="D738" s="21" t="s">
        <v>1560</v>
      </c>
      <c r="E738" s="34" t="s">
        <v>4</v>
      </c>
      <c r="F738" s="34" t="s">
        <v>36</v>
      </c>
      <c r="G738" s="34" t="s">
        <v>57</v>
      </c>
      <c r="H738" s="34"/>
      <c r="I738" s="34"/>
      <c r="J738" s="34" t="s">
        <v>28</v>
      </c>
      <c r="K738" s="36" t="s">
        <v>1322</v>
      </c>
      <c r="L738" s="55">
        <v>23.73</v>
      </c>
      <c r="M738" s="34" t="s">
        <v>29</v>
      </c>
      <c r="N738" s="34" t="s">
        <v>1347</v>
      </c>
      <c r="O738" s="34" t="s">
        <v>1350</v>
      </c>
    </row>
    <row r="739" spans="1:15" ht="14.25" customHeight="1" x14ac:dyDescent="0.3">
      <c r="A739" s="34" t="s">
        <v>1320</v>
      </c>
      <c r="B739" s="34"/>
      <c r="C739" s="34" t="s">
        <v>1351</v>
      </c>
      <c r="D739" s="21" t="s">
        <v>1561</v>
      </c>
      <c r="E739" s="34" t="s">
        <v>4</v>
      </c>
      <c r="F739" s="34" t="s">
        <v>36</v>
      </c>
      <c r="G739" s="34" t="s">
        <v>57</v>
      </c>
      <c r="H739" s="34"/>
      <c r="I739" s="34"/>
      <c r="J739" s="34" t="s">
        <v>28</v>
      </c>
      <c r="K739" s="36" t="s">
        <v>1322</v>
      </c>
      <c r="L739" s="55">
        <v>2.97</v>
      </c>
      <c r="M739" s="34" t="s">
        <v>29</v>
      </c>
      <c r="N739" s="34" t="s">
        <v>1352</v>
      </c>
      <c r="O739" s="34">
        <v>66252846557</v>
      </c>
    </row>
    <row r="740" spans="1:15" ht="14.25" customHeight="1" x14ac:dyDescent="0.3">
      <c r="A740" s="34" t="s">
        <v>1320</v>
      </c>
      <c r="B740" s="34"/>
      <c r="C740" s="34" t="s">
        <v>1353</v>
      </c>
      <c r="D740" s="21" t="s">
        <v>1562</v>
      </c>
      <c r="E740" s="34" t="s">
        <v>4</v>
      </c>
      <c r="F740" s="34" t="s">
        <v>36</v>
      </c>
      <c r="G740" s="34" t="s">
        <v>57</v>
      </c>
      <c r="H740" s="34"/>
      <c r="I740" s="34"/>
      <c r="J740" s="34" t="s">
        <v>28</v>
      </c>
      <c r="K740" s="36" t="s">
        <v>1322</v>
      </c>
      <c r="L740" s="55">
        <v>3.81</v>
      </c>
      <c r="M740" s="34" t="s">
        <v>29</v>
      </c>
      <c r="N740" s="34" t="s">
        <v>1354</v>
      </c>
      <c r="O740" s="34" t="s">
        <v>1355</v>
      </c>
    </row>
    <row r="741" spans="1:15" ht="14.25" customHeight="1" x14ac:dyDescent="0.3">
      <c r="A741" s="34" t="s">
        <v>1320</v>
      </c>
      <c r="B741" s="34"/>
      <c r="C741" s="34" t="s">
        <v>1356</v>
      </c>
      <c r="D741" s="21" t="s">
        <v>1563</v>
      </c>
      <c r="E741" s="34" t="s">
        <v>4</v>
      </c>
      <c r="F741" s="34" t="s">
        <v>36</v>
      </c>
      <c r="G741" s="34" t="s">
        <v>57</v>
      </c>
      <c r="H741" s="34"/>
      <c r="I741" s="34"/>
      <c r="J741" s="34" t="s">
        <v>28</v>
      </c>
      <c r="K741" s="36" t="s">
        <v>1322</v>
      </c>
      <c r="L741" s="55">
        <v>15.25</v>
      </c>
      <c r="M741" s="34" t="s">
        <v>29</v>
      </c>
      <c r="N741" s="34" t="s">
        <v>1357</v>
      </c>
      <c r="O741" s="34" t="s">
        <v>1358</v>
      </c>
    </row>
    <row r="742" spans="1:15" ht="14.25" customHeight="1" x14ac:dyDescent="0.3">
      <c r="A742" s="34" t="s">
        <v>1320</v>
      </c>
      <c r="B742" s="34"/>
      <c r="C742" s="34" t="s">
        <v>1359</v>
      </c>
      <c r="D742" s="21" t="s">
        <v>1564</v>
      </c>
      <c r="E742" s="34" t="s">
        <v>4</v>
      </c>
      <c r="F742" s="34" t="s">
        <v>36</v>
      </c>
      <c r="G742" s="34" t="s">
        <v>57</v>
      </c>
      <c r="H742" s="34"/>
      <c r="I742" s="34"/>
      <c r="J742" s="34" t="s">
        <v>28</v>
      </c>
      <c r="K742" s="36" t="s">
        <v>1322</v>
      </c>
      <c r="L742" s="55">
        <v>8.4700000000000006</v>
      </c>
      <c r="M742" s="34" t="s">
        <v>29</v>
      </c>
      <c r="N742" s="34" t="s">
        <v>1354</v>
      </c>
      <c r="O742" s="34" t="s">
        <v>1360</v>
      </c>
    </row>
    <row r="743" spans="1:15" ht="14.25" customHeight="1" x14ac:dyDescent="0.3">
      <c r="A743" s="34" t="s">
        <v>1320</v>
      </c>
      <c r="B743" s="34"/>
      <c r="C743" s="34" t="s">
        <v>1361</v>
      </c>
      <c r="D743" s="21" t="s">
        <v>1565</v>
      </c>
      <c r="E743" s="34" t="s">
        <v>4</v>
      </c>
      <c r="F743" s="34" t="s">
        <v>36</v>
      </c>
      <c r="G743" s="34" t="s">
        <v>57</v>
      </c>
      <c r="H743" s="34"/>
      <c r="I743" s="34"/>
      <c r="J743" s="34" t="s">
        <v>28</v>
      </c>
      <c r="K743" s="36" t="s">
        <v>1322</v>
      </c>
      <c r="L743" s="55">
        <v>22.03</v>
      </c>
      <c r="M743" s="34" t="s">
        <v>29</v>
      </c>
      <c r="N743" s="34" t="s">
        <v>1323</v>
      </c>
      <c r="O743" s="34" t="s">
        <v>1362</v>
      </c>
    </row>
    <row r="744" spans="1:15" ht="14.25" customHeight="1" x14ac:dyDescent="0.3">
      <c r="A744" s="34" t="s">
        <v>1320</v>
      </c>
      <c r="B744" s="34"/>
      <c r="C744" s="34" t="s">
        <v>1363</v>
      </c>
      <c r="D744" s="21" t="s">
        <v>1566</v>
      </c>
      <c r="E744" s="34" t="s">
        <v>4</v>
      </c>
      <c r="F744" s="34" t="s">
        <v>36</v>
      </c>
      <c r="G744" s="34" t="s">
        <v>57</v>
      </c>
      <c r="H744" s="34"/>
      <c r="I744" s="34"/>
      <c r="J744" s="34" t="s">
        <v>28</v>
      </c>
      <c r="K744" s="36" t="s">
        <v>1322</v>
      </c>
      <c r="L744" s="55">
        <v>59.32</v>
      </c>
      <c r="M744" s="34" t="s">
        <v>29</v>
      </c>
      <c r="N744" s="34" t="s">
        <v>1364</v>
      </c>
      <c r="O744" s="34" t="s">
        <v>1365</v>
      </c>
    </row>
    <row r="745" spans="1:15" ht="14.25" customHeight="1" x14ac:dyDescent="0.3">
      <c r="A745" s="34" t="s">
        <v>1320</v>
      </c>
      <c r="B745" s="34"/>
      <c r="C745" s="34" t="s">
        <v>1366</v>
      </c>
      <c r="D745" s="21" t="s">
        <v>1567</v>
      </c>
      <c r="E745" s="34" t="s">
        <v>4</v>
      </c>
      <c r="F745" s="34" t="s">
        <v>36</v>
      </c>
      <c r="G745" s="34" t="s">
        <v>57</v>
      </c>
      <c r="H745" s="34"/>
      <c r="I745" s="34"/>
      <c r="J745" s="34" t="s">
        <v>28</v>
      </c>
      <c r="K745" s="36" t="s">
        <v>1322</v>
      </c>
      <c r="L745" s="55">
        <v>59.32</v>
      </c>
      <c r="M745" s="34" t="s">
        <v>29</v>
      </c>
      <c r="N745" s="34" t="s">
        <v>1364</v>
      </c>
      <c r="O745" s="34" t="s">
        <v>1367</v>
      </c>
    </row>
    <row r="746" spans="1:15" ht="14.25" customHeight="1" x14ac:dyDescent="0.3">
      <c r="A746" s="34" t="s">
        <v>1320</v>
      </c>
      <c r="B746" s="34"/>
      <c r="C746" s="34" t="s">
        <v>1368</v>
      </c>
      <c r="D746" s="21" t="s">
        <v>1568</v>
      </c>
      <c r="E746" s="34" t="s">
        <v>4</v>
      </c>
      <c r="F746" s="34" t="s">
        <v>36</v>
      </c>
      <c r="G746" s="34" t="s">
        <v>57</v>
      </c>
      <c r="H746" s="34"/>
      <c r="I746" s="34"/>
      <c r="J746" s="34" t="s">
        <v>28</v>
      </c>
      <c r="K746" s="36" t="s">
        <v>1322</v>
      </c>
      <c r="L746" s="55">
        <v>59.32</v>
      </c>
      <c r="M746" s="34" t="s">
        <v>29</v>
      </c>
      <c r="N746" s="34" t="s">
        <v>1364</v>
      </c>
      <c r="O746" s="34" t="s">
        <v>1369</v>
      </c>
    </row>
    <row r="747" spans="1:15" ht="14.25" customHeight="1" x14ac:dyDescent="0.3">
      <c r="A747" s="34" t="s">
        <v>1320</v>
      </c>
      <c r="B747" s="34"/>
      <c r="C747" s="34" t="s">
        <v>1370</v>
      </c>
      <c r="D747" s="21" t="s">
        <v>1569</v>
      </c>
      <c r="E747" s="34" t="s">
        <v>4</v>
      </c>
      <c r="F747" s="34" t="s">
        <v>36</v>
      </c>
      <c r="G747" s="34" t="s">
        <v>57</v>
      </c>
      <c r="H747" s="34"/>
      <c r="I747" s="34"/>
      <c r="J747" s="34" t="s">
        <v>28</v>
      </c>
      <c r="K747" s="36" t="s">
        <v>1322</v>
      </c>
      <c r="L747" s="55">
        <v>0.85</v>
      </c>
      <c r="M747" s="34" t="s">
        <v>29</v>
      </c>
      <c r="N747" s="34" t="s">
        <v>1371</v>
      </c>
      <c r="O747" s="34">
        <v>4300200200</v>
      </c>
    </row>
    <row r="748" spans="1:15" ht="14.25" customHeight="1" x14ac:dyDescent="0.3">
      <c r="A748" s="34" t="s">
        <v>1320</v>
      </c>
      <c r="B748" s="34"/>
      <c r="C748" s="34" t="s">
        <v>1372</v>
      </c>
      <c r="D748" s="21" t="s">
        <v>1570</v>
      </c>
      <c r="E748" s="34" t="s">
        <v>4</v>
      </c>
      <c r="F748" s="34" t="s">
        <v>36</v>
      </c>
      <c r="G748" s="34" t="s">
        <v>57</v>
      </c>
      <c r="H748" s="34"/>
      <c r="I748" s="34"/>
      <c r="J748" s="34" t="s">
        <v>28</v>
      </c>
      <c r="K748" s="36" t="s">
        <v>1322</v>
      </c>
      <c r="L748" s="55">
        <v>7.63</v>
      </c>
      <c r="M748" s="34" t="s">
        <v>29</v>
      </c>
      <c r="N748" s="34" t="s">
        <v>1373</v>
      </c>
      <c r="O748" s="34">
        <v>603792</v>
      </c>
    </row>
    <row r="749" spans="1:15" ht="14.25" customHeight="1" x14ac:dyDescent="0.3">
      <c r="A749" s="34" t="s">
        <v>1320</v>
      </c>
      <c r="B749" s="34"/>
      <c r="C749" s="34" t="s">
        <v>1374</v>
      </c>
      <c r="D749" s="21" t="s">
        <v>1571</v>
      </c>
      <c r="E749" s="34" t="s">
        <v>4</v>
      </c>
      <c r="F749" s="34" t="s">
        <v>36</v>
      </c>
      <c r="G749" s="34" t="s">
        <v>57</v>
      </c>
      <c r="H749" s="34"/>
      <c r="I749" s="34"/>
      <c r="J749" s="34" t="s">
        <v>28</v>
      </c>
      <c r="K749" s="36" t="s">
        <v>1322</v>
      </c>
      <c r="L749" s="55">
        <v>2.12</v>
      </c>
      <c r="M749" s="34" t="s">
        <v>29</v>
      </c>
      <c r="N749" s="34" t="s">
        <v>1375</v>
      </c>
      <c r="O749" s="34" t="s">
        <v>1376</v>
      </c>
    </row>
    <row r="750" spans="1:15" ht="14.25" customHeight="1" x14ac:dyDescent="0.3">
      <c r="A750" s="34" t="s">
        <v>1320</v>
      </c>
      <c r="B750" s="34"/>
      <c r="C750" s="34" t="s">
        <v>1377</v>
      </c>
      <c r="D750" s="21" t="s">
        <v>1572</v>
      </c>
      <c r="E750" s="34" t="s">
        <v>4</v>
      </c>
      <c r="F750" s="34" t="s">
        <v>36</v>
      </c>
      <c r="G750" s="34" t="s">
        <v>57</v>
      </c>
      <c r="H750" s="34"/>
      <c r="I750" s="34"/>
      <c r="J750" s="34" t="s">
        <v>28</v>
      </c>
      <c r="K750" s="36" t="s">
        <v>1322</v>
      </c>
      <c r="L750" s="55">
        <v>2.12</v>
      </c>
      <c r="M750" s="34" t="s">
        <v>29</v>
      </c>
      <c r="N750" s="34" t="s">
        <v>1375</v>
      </c>
      <c r="O750" s="34" t="s">
        <v>1378</v>
      </c>
    </row>
    <row r="751" spans="1:15" ht="14.25" customHeight="1" x14ac:dyDescent="0.3">
      <c r="A751" s="34" t="s">
        <v>1320</v>
      </c>
      <c r="B751" s="34"/>
      <c r="C751" s="34" t="s">
        <v>1379</v>
      </c>
      <c r="D751" s="21" t="s">
        <v>1573</v>
      </c>
      <c r="E751" s="34" t="s">
        <v>4</v>
      </c>
      <c r="F751" s="34" t="s">
        <v>36</v>
      </c>
      <c r="G751" s="34" t="s">
        <v>57</v>
      </c>
      <c r="H751" s="34"/>
      <c r="I751" s="34"/>
      <c r="J751" s="34" t="s">
        <v>28</v>
      </c>
      <c r="K751" s="36" t="s">
        <v>1322</v>
      </c>
      <c r="L751" s="55">
        <v>38.14</v>
      </c>
      <c r="M751" s="34" t="s">
        <v>29</v>
      </c>
      <c r="N751" s="34" t="s">
        <v>1380</v>
      </c>
      <c r="O751" s="34">
        <v>0</v>
      </c>
    </row>
    <row r="752" spans="1:15" ht="14.25" customHeight="1" x14ac:dyDescent="0.3">
      <c r="A752" s="34" t="s">
        <v>1320</v>
      </c>
      <c r="B752" s="34"/>
      <c r="C752" s="34" t="s">
        <v>1381</v>
      </c>
      <c r="D752" s="21" t="s">
        <v>1574</v>
      </c>
      <c r="E752" s="34" t="s">
        <v>4</v>
      </c>
      <c r="F752" s="34" t="s">
        <v>36</v>
      </c>
      <c r="G752" s="34" t="s">
        <v>57</v>
      </c>
      <c r="H752" s="34"/>
      <c r="I752" s="34"/>
      <c r="J752" s="34" t="s">
        <v>28</v>
      </c>
      <c r="K752" s="36" t="s">
        <v>1322</v>
      </c>
      <c r="L752" s="55">
        <v>5.08</v>
      </c>
      <c r="M752" s="34" t="s">
        <v>29</v>
      </c>
      <c r="N752" s="34" t="s">
        <v>1382</v>
      </c>
      <c r="O752" s="34" t="s">
        <v>1383</v>
      </c>
    </row>
    <row r="753" spans="1:15" ht="14.25" customHeight="1" x14ac:dyDescent="0.3">
      <c r="A753" s="34" t="s">
        <v>1320</v>
      </c>
      <c r="B753" s="34"/>
      <c r="C753" s="34" t="s">
        <v>1384</v>
      </c>
      <c r="D753" s="21" t="s">
        <v>1575</v>
      </c>
      <c r="E753" s="34" t="s">
        <v>4</v>
      </c>
      <c r="F753" s="34" t="s">
        <v>36</v>
      </c>
      <c r="G753" s="34" t="s">
        <v>57</v>
      </c>
      <c r="H753" s="34"/>
      <c r="I753" s="34"/>
      <c r="J753" s="34" t="s">
        <v>28</v>
      </c>
      <c r="K753" s="36" t="s">
        <v>1322</v>
      </c>
      <c r="L753" s="55">
        <v>0.93</v>
      </c>
      <c r="M753" s="34" t="s">
        <v>29</v>
      </c>
      <c r="N753" s="34" t="s">
        <v>1385</v>
      </c>
      <c r="O753" s="34">
        <v>60900002</v>
      </c>
    </row>
    <row r="754" spans="1:15" ht="14.25" customHeight="1" x14ac:dyDescent="0.3">
      <c r="A754" s="34" t="s">
        <v>1320</v>
      </c>
      <c r="B754" s="34"/>
      <c r="C754" s="34" t="s">
        <v>1386</v>
      </c>
      <c r="D754" s="21" t="s">
        <v>1576</v>
      </c>
      <c r="E754" s="34" t="s">
        <v>4</v>
      </c>
      <c r="F754" s="34" t="s">
        <v>36</v>
      </c>
      <c r="G754" s="34" t="s">
        <v>57</v>
      </c>
      <c r="H754" s="34"/>
      <c r="I754" s="34"/>
      <c r="J754" s="34" t="s">
        <v>28</v>
      </c>
      <c r="K754" s="36" t="s">
        <v>1322</v>
      </c>
      <c r="L754" s="55">
        <v>1.36</v>
      </c>
      <c r="M754" s="34" t="s">
        <v>29</v>
      </c>
      <c r="N754" s="34" t="s">
        <v>1385</v>
      </c>
      <c r="O754" s="34">
        <v>60900020</v>
      </c>
    </row>
    <row r="755" spans="1:15" ht="14.25" customHeight="1" x14ac:dyDescent="0.3">
      <c r="A755" s="34" t="s">
        <v>1320</v>
      </c>
      <c r="B755" s="34"/>
      <c r="C755" s="34" t="s">
        <v>1387</v>
      </c>
      <c r="D755" s="21" t="s">
        <v>1577</v>
      </c>
      <c r="E755" s="34" t="s">
        <v>4</v>
      </c>
      <c r="F755" s="34" t="s">
        <v>36</v>
      </c>
      <c r="G755" s="34" t="s">
        <v>57</v>
      </c>
      <c r="H755" s="34"/>
      <c r="I755" s="34"/>
      <c r="J755" s="34" t="s">
        <v>28</v>
      </c>
      <c r="K755" s="36" t="s">
        <v>1322</v>
      </c>
      <c r="L755" s="55">
        <v>1.36</v>
      </c>
      <c r="M755" s="34" t="s">
        <v>29</v>
      </c>
      <c r="N755" s="34" t="s">
        <v>1385</v>
      </c>
      <c r="O755" s="34">
        <v>60900022</v>
      </c>
    </row>
    <row r="756" spans="1:15" ht="14.25" customHeight="1" x14ac:dyDescent="0.3">
      <c r="A756" s="34" t="s">
        <v>1320</v>
      </c>
      <c r="B756" s="34"/>
      <c r="C756" s="34" t="s">
        <v>1388</v>
      </c>
      <c r="D756" s="21" t="s">
        <v>1578</v>
      </c>
      <c r="E756" s="34" t="s">
        <v>4</v>
      </c>
      <c r="F756" s="34" t="s">
        <v>36</v>
      </c>
      <c r="G756" s="34" t="s">
        <v>57</v>
      </c>
      <c r="H756" s="34"/>
      <c r="I756" s="34"/>
      <c r="J756" s="34" t="s">
        <v>28</v>
      </c>
      <c r="K756" s="36" t="s">
        <v>1322</v>
      </c>
      <c r="L756" s="55">
        <v>1.78</v>
      </c>
      <c r="M756" s="34" t="s">
        <v>29</v>
      </c>
      <c r="N756" s="34" t="s">
        <v>1385</v>
      </c>
      <c r="O756" s="34">
        <v>60900006</v>
      </c>
    </row>
    <row r="757" spans="1:15" ht="14.25" customHeight="1" x14ac:dyDescent="0.3">
      <c r="A757" s="34" t="s">
        <v>1320</v>
      </c>
      <c r="B757" s="34"/>
      <c r="C757" s="34" t="s">
        <v>1389</v>
      </c>
      <c r="D757" s="21" t="s">
        <v>1579</v>
      </c>
      <c r="E757" s="34" t="s">
        <v>4</v>
      </c>
      <c r="F757" s="34" t="s">
        <v>36</v>
      </c>
      <c r="G757" s="34" t="s">
        <v>57</v>
      </c>
      <c r="H757" s="34"/>
      <c r="I757" s="34"/>
      <c r="J757" s="34" t="s">
        <v>28</v>
      </c>
      <c r="K757" s="36" t="s">
        <v>1322</v>
      </c>
      <c r="L757" s="55">
        <v>1.44</v>
      </c>
      <c r="M757" s="34" t="s">
        <v>29</v>
      </c>
      <c r="N757" s="34" t="s">
        <v>1385</v>
      </c>
      <c r="O757" s="34">
        <v>60900018</v>
      </c>
    </row>
    <row r="758" spans="1:15" ht="14.25" customHeight="1" x14ac:dyDescent="0.3">
      <c r="A758" s="34" t="s">
        <v>1320</v>
      </c>
      <c r="B758" s="34"/>
      <c r="C758" s="34" t="s">
        <v>1390</v>
      </c>
      <c r="D758" s="21" t="s">
        <v>1580</v>
      </c>
      <c r="E758" s="34" t="s">
        <v>4</v>
      </c>
      <c r="F758" s="34" t="s">
        <v>36</v>
      </c>
      <c r="G758" s="34" t="s">
        <v>57</v>
      </c>
      <c r="H758" s="34"/>
      <c r="I758" s="34"/>
      <c r="J758" s="34" t="s">
        <v>28</v>
      </c>
      <c r="K758" s="36" t="s">
        <v>1322</v>
      </c>
      <c r="L758" s="55">
        <v>3.39</v>
      </c>
      <c r="M758" s="34" t="s">
        <v>29</v>
      </c>
      <c r="N758" s="34" t="s">
        <v>1391</v>
      </c>
      <c r="O758" s="34" t="s">
        <v>1392</v>
      </c>
    </row>
    <row r="759" spans="1:15" ht="14.25" customHeight="1" x14ac:dyDescent="0.3">
      <c r="A759" s="34" t="s">
        <v>1320</v>
      </c>
      <c r="B759" s="34"/>
      <c r="C759" s="34" t="s">
        <v>1393</v>
      </c>
      <c r="D759" s="21" t="s">
        <v>1581</v>
      </c>
      <c r="E759" s="34" t="s">
        <v>4</v>
      </c>
      <c r="F759" s="34" t="s">
        <v>36</v>
      </c>
      <c r="G759" s="34" t="s">
        <v>57</v>
      </c>
      <c r="H759" s="34"/>
      <c r="I759" s="34"/>
      <c r="J759" s="34" t="s">
        <v>28</v>
      </c>
      <c r="K759" s="36" t="s">
        <v>1322</v>
      </c>
      <c r="L759" s="55">
        <v>63.56</v>
      </c>
      <c r="M759" s="34" t="s">
        <v>29</v>
      </c>
      <c r="N759" s="34" t="s">
        <v>1394</v>
      </c>
      <c r="O759" s="34">
        <v>0</v>
      </c>
    </row>
    <row r="760" spans="1:15" ht="14.25" customHeight="1" x14ac:dyDescent="0.3">
      <c r="A760" s="34" t="s">
        <v>1320</v>
      </c>
      <c r="B760" s="34"/>
      <c r="C760" s="34" t="s">
        <v>1395</v>
      </c>
      <c r="D760" s="21" t="s">
        <v>1582</v>
      </c>
      <c r="E760" s="34" t="s">
        <v>4</v>
      </c>
      <c r="F760" s="34" t="s">
        <v>36</v>
      </c>
      <c r="G760" s="34" t="s">
        <v>57</v>
      </c>
      <c r="H760" s="34"/>
      <c r="I760" s="34"/>
      <c r="J760" s="34" t="s">
        <v>28</v>
      </c>
      <c r="K760" s="36" t="s">
        <v>1322</v>
      </c>
      <c r="L760" s="55">
        <v>3.39</v>
      </c>
      <c r="M760" s="34" t="s">
        <v>29</v>
      </c>
      <c r="N760" s="34" t="s">
        <v>1391</v>
      </c>
      <c r="O760" s="34" t="s">
        <v>1396</v>
      </c>
    </row>
    <row r="761" spans="1:15" ht="14.25" customHeight="1" x14ac:dyDescent="0.3">
      <c r="A761" s="34" t="s">
        <v>1320</v>
      </c>
      <c r="B761" s="34"/>
      <c r="C761" s="34" t="s">
        <v>1397</v>
      </c>
      <c r="D761" s="21" t="s">
        <v>1583</v>
      </c>
      <c r="E761" s="34" t="s">
        <v>4</v>
      </c>
      <c r="F761" s="34" t="s">
        <v>36</v>
      </c>
      <c r="G761" s="34" t="s">
        <v>57</v>
      </c>
      <c r="H761" s="34"/>
      <c r="I761" s="34"/>
      <c r="J761" s="34" t="s">
        <v>28</v>
      </c>
      <c r="K761" s="36" t="s">
        <v>1322</v>
      </c>
      <c r="L761" s="55">
        <v>13.56</v>
      </c>
      <c r="M761" s="34" t="s">
        <v>29</v>
      </c>
      <c r="N761" s="34" t="s">
        <v>1398</v>
      </c>
      <c r="O761" s="34">
        <v>163102</v>
      </c>
    </row>
    <row r="762" spans="1:15" ht="14.25" customHeight="1" x14ac:dyDescent="0.3">
      <c r="A762" s="34" t="s">
        <v>1320</v>
      </c>
      <c r="B762" s="34"/>
      <c r="C762" s="34" t="s">
        <v>1399</v>
      </c>
      <c r="D762" s="21" t="s">
        <v>1584</v>
      </c>
      <c r="E762" s="34" t="s">
        <v>4</v>
      </c>
      <c r="F762" s="34" t="s">
        <v>36</v>
      </c>
      <c r="G762" s="34" t="s">
        <v>57</v>
      </c>
      <c r="H762" s="34"/>
      <c r="I762" s="34"/>
      <c r="J762" s="34" t="s">
        <v>28</v>
      </c>
      <c r="K762" s="36" t="s">
        <v>1322</v>
      </c>
      <c r="L762" s="55">
        <v>13.56</v>
      </c>
      <c r="M762" s="34" t="s">
        <v>29</v>
      </c>
      <c r="N762" s="34" t="s">
        <v>1398</v>
      </c>
      <c r="O762" s="34">
        <v>163103</v>
      </c>
    </row>
    <row r="763" spans="1:15" ht="14.25" customHeight="1" x14ac:dyDescent="0.3">
      <c r="A763" s="34" t="s">
        <v>1320</v>
      </c>
      <c r="B763" s="34"/>
      <c r="C763" s="34" t="s">
        <v>1400</v>
      </c>
      <c r="D763" s="21" t="s">
        <v>1585</v>
      </c>
      <c r="E763" s="34" t="s">
        <v>4</v>
      </c>
      <c r="F763" s="34" t="s">
        <v>36</v>
      </c>
      <c r="G763" s="34" t="s">
        <v>57</v>
      </c>
      <c r="H763" s="34"/>
      <c r="I763" s="34"/>
      <c r="J763" s="34" t="s">
        <v>28</v>
      </c>
      <c r="K763" s="36" t="s">
        <v>1322</v>
      </c>
      <c r="L763" s="55">
        <v>15.68</v>
      </c>
      <c r="M763" s="34" t="s">
        <v>29</v>
      </c>
      <c r="N763" s="34" t="s">
        <v>1398</v>
      </c>
      <c r="O763" s="34">
        <v>163093</v>
      </c>
    </row>
    <row r="764" spans="1:15" ht="14.25" customHeight="1" x14ac:dyDescent="0.3">
      <c r="A764" s="34" t="s">
        <v>1320</v>
      </c>
      <c r="B764" s="34"/>
      <c r="C764" s="34" t="s">
        <v>1401</v>
      </c>
      <c r="D764" s="21" t="s">
        <v>1586</v>
      </c>
      <c r="E764" s="34" t="s">
        <v>4</v>
      </c>
      <c r="F764" s="34" t="s">
        <v>36</v>
      </c>
      <c r="G764" s="34" t="s">
        <v>57</v>
      </c>
      <c r="H764" s="34"/>
      <c r="I764" s="34"/>
      <c r="J764" s="34" t="s">
        <v>28</v>
      </c>
      <c r="K764" s="36" t="s">
        <v>1322</v>
      </c>
      <c r="L764" s="55">
        <v>15.68</v>
      </c>
      <c r="M764" s="34" t="s">
        <v>29</v>
      </c>
      <c r="N764" s="34" t="s">
        <v>1398</v>
      </c>
      <c r="O764" s="34">
        <v>163089</v>
      </c>
    </row>
    <row r="765" spans="1:15" ht="14.25" customHeight="1" x14ac:dyDescent="0.3">
      <c r="A765" s="34" t="s">
        <v>1320</v>
      </c>
      <c r="B765" s="34"/>
      <c r="C765" s="34" t="s">
        <v>1402</v>
      </c>
      <c r="D765" s="21" t="s">
        <v>1587</v>
      </c>
      <c r="E765" s="34" t="s">
        <v>4</v>
      </c>
      <c r="F765" s="34" t="s">
        <v>36</v>
      </c>
      <c r="G765" s="34" t="s">
        <v>57</v>
      </c>
      <c r="H765" s="34"/>
      <c r="I765" s="34"/>
      <c r="J765" s="34" t="s">
        <v>28</v>
      </c>
      <c r="K765" s="36" t="s">
        <v>1322</v>
      </c>
      <c r="L765" s="55">
        <v>15.68</v>
      </c>
      <c r="M765" s="34" t="s">
        <v>29</v>
      </c>
      <c r="N765" s="34" t="s">
        <v>1398</v>
      </c>
      <c r="O765" s="34">
        <v>163090</v>
      </c>
    </row>
    <row r="766" spans="1:15" ht="14.25" customHeight="1" x14ac:dyDescent="0.3">
      <c r="A766" s="34" t="s">
        <v>1320</v>
      </c>
      <c r="B766" s="34"/>
      <c r="C766" s="34" t="s">
        <v>1403</v>
      </c>
      <c r="D766" s="21" t="s">
        <v>1588</v>
      </c>
      <c r="E766" s="34" t="s">
        <v>4</v>
      </c>
      <c r="F766" s="34" t="s">
        <v>36</v>
      </c>
      <c r="G766" s="34" t="s">
        <v>57</v>
      </c>
      <c r="H766" s="34"/>
      <c r="I766" s="34"/>
      <c r="J766" s="34" t="s">
        <v>28</v>
      </c>
      <c r="K766" s="36" t="s">
        <v>1322</v>
      </c>
      <c r="L766" s="55">
        <v>15.68</v>
      </c>
      <c r="M766" s="34" t="s">
        <v>29</v>
      </c>
      <c r="N766" s="34" t="s">
        <v>1398</v>
      </c>
      <c r="O766" s="34">
        <v>163091</v>
      </c>
    </row>
    <row r="767" spans="1:15" ht="14.25" customHeight="1" x14ac:dyDescent="0.3">
      <c r="A767" s="34" t="s">
        <v>1320</v>
      </c>
      <c r="B767" s="34"/>
      <c r="C767" s="34" t="s">
        <v>1404</v>
      </c>
      <c r="D767" s="21" t="s">
        <v>1589</v>
      </c>
      <c r="E767" s="34" t="s">
        <v>4</v>
      </c>
      <c r="F767" s="34" t="s">
        <v>36</v>
      </c>
      <c r="G767" s="34" t="s">
        <v>57</v>
      </c>
      <c r="H767" s="34"/>
      <c r="I767" s="34"/>
      <c r="J767" s="34" t="s">
        <v>28</v>
      </c>
      <c r="K767" s="36" t="s">
        <v>1322</v>
      </c>
      <c r="L767" s="55">
        <v>27.97</v>
      </c>
      <c r="M767" s="34" t="s">
        <v>29</v>
      </c>
      <c r="N767" s="34" t="s">
        <v>1405</v>
      </c>
      <c r="O767" s="34" t="s">
        <v>1406</v>
      </c>
    </row>
    <row r="768" spans="1:15" ht="14.25" customHeight="1" x14ac:dyDescent="0.3">
      <c r="A768" s="34" t="s">
        <v>1320</v>
      </c>
      <c r="B768" s="34"/>
      <c r="C768" s="34" t="s">
        <v>1407</v>
      </c>
      <c r="D768" s="21" t="s">
        <v>1590</v>
      </c>
      <c r="E768" s="34" t="s">
        <v>4</v>
      </c>
      <c r="F768" s="34" t="s">
        <v>36</v>
      </c>
      <c r="G768" s="34" t="s">
        <v>57</v>
      </c>
      <c r="H768" s="34"/>
      <c r="I768" s="34"/>
      <c r="J768" s="34" t="s">
        <v>28</v>
      </c>
      <c r="K768" s="36" t="s">
        <v>1322</v>
      </c>
      <c r="L768" s="55">
        <v>33.049999999999997</v>
      </c>
      <c r="M768" s="34" t="s">
        <v>29</v>
      </c>
      <c r="N768" s="34" t="s">
        <v>1408</v>
      </c>
      <c r="O768" s="34" t="s">
        <v>1409</v>
      </c>
    </row>
    <row r="769" spans="1:15" ht="14.25" customHeight="1" x14ac:dyDescent="0.3">
      <c r="A769" s="34" t="s">
        <v>1320</v>
      </c>
      <c r="B769" s="34"/>
      <c r="C769" s="34" t="s">
        <v>1410</v>
      </c>
      <c r="D769" s="21" t="s">
        <v>1591</v>
      </c>
      <c r="E769" s="34" t="s">
        <v>4</v>
      </c>
      <c r="F769" s="34" t="s">
        <v>36</v>
      </c>
      <c r="G769" s="34" t="s">
        <v>57</v>
      </c>
      <c r="H769" s="34"/>
      <c r="I769" s="34"/>
      <c r="J769" s="34" t="s">
        <v>28</v>
      </c>
      <c r="K769" s="36" t="s">
        <v>1322</v>
      </c>
      <c r="L769" s="55">
        <v>8.4700000000000006</v>
      </c>
      <c r="M769" s="34" t="s">
        <v>29</v>
      </c>
      <c r="N769" s="34" t="s">
        <v>1411</v>
      </c>
      <c r="O769" s="34">
        <v>54001</v>
      </c>
    </row>
    <row r="770" spans="1:15" ht="14.25" customHeight="1" x14ac:dyDescent="0.3">
      <c r="A770" s="34" t="s">
        <v>1320</v>
      </c>
      <c r="B770" s="34"/>
      <c r="C770" s="34" t="s">
        <v>1412</v>
      </c>
      <c r="D770" s="21" t="s">
        <v>1592</v>
      </c>
      <c r="E770" s="34" t="s">
        <v>4</v>
      </c>
      <c r="F770" s="34" t="s">
        <v>36</v>
      </c>
      <c r="G770" s="34" t="s">
        <v>57</v>
      </c>
      <c r="H770" s="34"/>
      <c r="I770" s="34"/>
      <c r="J770" s="34" t="s">
        <v>28</v>
      </c>
      <c r="K770" s="36" t="s">
        <v>1322</v>
      </c>
      <c r="L770" s="55">
        <v>1.27</v>
      </c>
      <c r="M770" s="34" t="s">
        <v>29</v>
      </c>
      <c r="N770" s="34" t="s">
        <v>1413</v>
      </c>
      <c r="O770" s="34">
        <v>0</v>
      </c>
    </row>
    <row r="771" spans="1:15" ht="14.25" customHeight="1" x14ac:dyDescent="0.3">
      <c r="A771" s="34" t="s">
        <v>1320</v>
      </c>
      <c r="B771" s="34"/>
      <c r="C771" s="34" t="s">
        <v>1414</v>
      </c>
      <c r="D771" s="21" t="s">
        <v>1593</v>
      </c>
      <c r="E771" s="34" t="s">
        <v>4</v>
      </c>
      <c r="F771" s="34" t="s">
        <v>36</v>
      </c>
      <c r="G771" s="34" t="s">
        <v>57</v>
      </c>
      <c r="H771" s="34"/>
      <c r="I771" s="34"/>
      <c r="J771" s="34" t="s">
        <v>28</v>
      </c>
      <c r="K771" s="36" t="s">
        <v>1322</v>
      </c>
      <c r="L771" s="55">
        <v>1.27</v>
      </c>
      <c r="M771" s="34" t="s">
        <v>29</v>
      </c>
      <c r="N771" s="34" t="s">
        <v>1413</v>
      </c>
      <c r="O771" s="34">
        <v>0</v>
      </c>
    </row>
    <row r="772" spans="1:15" ht="14.25" customHeight="1" x14ac:dyDescent="0.3">
      <c r="A772" s="34" t="s">
        <v>1320</v>
      </c>
      <c r="B772" s="34"/>
      <c r="C772" s="34" t="s">
        <v>1415</v>
      </c>
      <c r="D772" s="21" t="s">
        <v>1594</v>
      </c>
      <c r="E772" s="34" t="s">
        <v>4</v>
      </c>
      <c r="F772" s="34" t="s">
        <v>36</v>
      </c>
      <c r="G772" s="34" t="s">
        <v>57</v>
      </c>
      <c r="H772" s="34"/>
      <c r="I772" s="34"/>
      <c r="J772" s="34" t="s">
        <v>28</v>
      </c>
      <c r="K772" s="36" t="s">
        <v>1322</v>
      </c>
      <c r="L772" s="55">
        <v>0.25</v>
      </c>
      <c r="M772" s="34" t="s">
        <v>29</v>
      </c>
      <c r="N772" s="34" t="s">
        <v>1413</v>
      </c>
      <c r="O772" s="34">
        <v>0</v>
      </c>
    </row>
    <row r="773" spans="1:15" ht="14.25" customHeight="1" x14ac:dyDescent="0.3">
      <c r="A773" s="34" t="s">
        <v>1320</v>
      </c>
      <c r="B773" s="34"/>
      <c r="C773" s="34" t="s">
        <v>1416</v>
      </c>
      <c r="D773" s="21" t="s">
        <v>1595</v>
      </c>
      <c r="E773" s="34" t="s">
        <v>4</v>
      </c>
      <c r="F773" s="34" t="s">
        <v>36</v>
      </c>
      <c r="G773" s="34" t="s">
        <v>57</v>
      </c>
      <c r="H773" s="34"/>
      <c r="I773" s="34"/>
      <c r="J773" s="34" t="s">
        <v>28</v>
      </c>
      <c r="K773" s="36" t="s">
        <v>1322</v>
      </c>
      <c r="L773" s="55">
        <v>5.08</v>
      </c>
      <c r="M773" s="34" t="s">
        <v>29</v>
      </c>
      <c r="N773" s="34" t="s">
        <v>1330</v>
      </c>
      <c r="O773" s="34" t="s">
        <v>1417</v>
      </c>
    </row>
    <row r="774" spans="1:15" ht="14.25" customHeight="1" x14ac:dyDescent="0.3">
      <c r="A774" s="34" t="s">
        <v>1320</v>
      </c>
      <c r="B774" s="34"/>
      <c r="C774" s="34" t="s">
        <v>1418</v>
      </c>
      <c r="D774" s="21" t="s">
        <v>1596</v>
      </c>
      <c r="E774" s="34" t="s">
        <v>4</v>
      </c>
      <c r="F774" s="34" t="s">
        <v>36</v>
      </c>
      <c r="G774" s="34" t="s">
        <v>57</v>
      </c>
      <c r="H774" s="34"/>
      <c r="I774" s="34"/>
      <c r="J774" s="34" t="s">
        <v>28</v>
      </c>
      <c r="K774" s="36" t="s">
        <v>1322</v>
      </c>
      <c r="L774" s="55">
        <v>32.200000000000003</v>
      </c>
      <c r="M774" s="34" t="s">
        <v>29</v>
      </c>
      <c r="N774" s="34" t="s">
        <v>1340</v>
      </c>
      <c r="O774" s="34">
        <v>19236</v>
      </c>
    </row>
    <row r="775" spans="1:15" ht="14.25" customHeight="1" x14ac:dyDescent="0.3">
      <c r="A775" s="34" t="s">
        <v>1320</v>
      </c>
      <c r="B775" s="34"/>
      <c r="C775" s="34" t="s">
        <v>1419</v>
      </c>
      <c r="D775" s="21" t="s">
        <v>1597</v>
      </c>
      <c r="E775" s="34" t="s">
        <v>4</v>
      </c>
      <c r="F775" s="34" t="s">
        <v>36</v>
      </c>
      <c r="G775" s="34" t="s">
        <v>57</v>
      </c>
      <c r="H775" s="34"/>
      <c r="I775" s="34"/>
      <c r="J775" s="34" t="s">
        <v>28</v>
      </c>
      <c r="K775" s="36" t="s">
        <v>1322</v>
      </c>
      <c r="L775" s="55">
        <v>29.66</v>
      </c>
      <c r="M775" s="34" t="s">
        <v>29</v>
      </c>
      <c r="N775" s="34" t="s">
        <v>1357</v>
      </c>
      <c r="O775" s="34" t="s">
        <v>1420</v>
      </c>
    </row>
    <row r="776" spans="1:15" ht="14.25" customHeight="1" x14ac:dyDescent="0.3">
      <c r="A776" s="34" t="s">
        <v>1320</v>
      </c>
      <c r="B776" s="34"/>
      <c r="C776" s="34" t="s">
        <v>1421</v>
      </c>
      <c r="D776" s="21" t="s">
        <v>1598</v>
      </c>
      <c r="E776" s="34" t="s">
        <v>4</v>
      </c>
      <c r="F776" s="34" t="s">
        <v>36</v>
      </c>
      <c r="G776" s="34" t="s">
        <v>57</v>
      </c>
      <c r="H776" s="34"/>
      <c r="I776" s="34"/>
      <c r="J776" s="34" t="s">
        <v>28</v>
      </c>
      <c r="K776" s="36" t="s">
        <v>1322</v>
      </c>
      <c r="L776" s="55">
        <v>97.46</v>
      </c>
      <c r="M776" s="34" t="s">
        <v>29</v>
      </c>
      <c r="N776" s="34" t="s">
        <v>1352</v>
      </c>
      <c r="O776" s="34">
        <v>6626106430</v>
      </c>
    </row>
    <row r="777" spans="1:15" ht="14.25" customHeight="1" x14ac:dyDescent="0.3">
      <c r="A777" s="34" t="s">
        <v>1320</v>
      </c>
      <c r="B777" s="34"/>
      <c r="C777" s="34" t="s">
        <v>1422</v>
      </c>
      <c r="D777" s="21" t="s">
        <v>1599</v>
      </c>
      <c r="E777" s="34" t="s">
        <v>4</v>
      </c>
      <c r="F777" s="34" t="s">
        <v>36</v>
      </c>
      <c r="G777" s="34" t="s">
        <v>57</v>
      </c>
      <c r="H777" s="34"/>
      <c r="I777" s="34"/>
      <c r="J777" s="34" t="s">
        <v>28</v>
      </c>
      <c r="K777" s="36" t="s">
        <v>1322</v>
      </c>
      <c r="L777" s="55">
        <v>135.59</v>
      </c>
      <c r="M777" s="34" t="s">
        <v>29</v>
      </c>
      <c r="N777" s="34" t="s">
        <v>1347</v>
      </c>
      <c r="O777" s="34">
        <v>810571</v>
      </c>
    </row>
    <row r="778" spans="1:15" ht="14.25" customHeight="1" x14ac:dyDescent="0.3">
      <c r="A778" s="34" t="s">
        <v>1320</v>
      </c>
      <c r="B778" s="34"/>
      <c r="C778" s="34" t="s">
        <v>1423</v>
      </c>
      <c r="D778" s="21" t="s">
        <v>1600</v>
      </c>
      <c r="E778" s="34" t="s">
        <v>4</v>
      </c>
      <c r="F778" s="34" t="s">
        <v>36</v>
      </c>
      <c r="G778" s="34" t="s">
        <v>57</v>
      </c>
      <c r="H778" s="34"/>
      <c r="I778" s="34"/>
      <c r="J778" s="34" t="s">
        <v>28</v>
      </c>
      <c r="K778" s="36" t="s">
        <v>1322</v>
      </c>
      <c r="L778" s="55">
        <v>9.32</v>
      </c>
      <c r="M778" s="34" t="s">
        <v>29</v>
      </c>
      <c r="N778" s="34" t="s">
        <v>1325</v>
      </c>
      <c r="O778" s="34">
        <v>1400102</v>
      </c>
    </row>
    <row r="779" spans="1:15" ht="14.25" customHeight="1" x14ac:dyDescent="0.3">
      <c r="A779" s="34" t="s">
        <v>1320</v>
      </c>
      <c r="B779" s="37"/>
      <c r="C779" s="34" t="s">
        <v>1424</v>
      </c>
      <c r="D779" s="21" t="s">
        <v>1601</v>
      </c>
      <c r="E779" s="34" t="s">
        <v>4</v>
      </c>
      <c r="F779" s="34" t="s">
        <v>36</v>
      </c>
      <c r="G779" s="34" t="s">
        <v>57</v>
      </c>
      <c r="H779" s="34"/>
      <c r="I779" s="34"/>
      <c r="J779" s="34" t="s">
        <v>28</v>
      </c>
      <c r="K779" s="36" t="s">
        <v>1322</v>
      </c>
      <c r="L779" s="55">
        <v>14.41</v>
      </c>
      <c r="M779" s="34" t="s">
        <v>29</v>
      </c>
      <c r="N779" s="34" t="s">
        <v>1425</v>
      </c>
      <c r="O779" s="34">
        <v>506626</v>
      </c>
    </row>
    <row r="780" spans="1:15" ht="14.25" customHeight="1" x14ac:dyDescent="0.3">
      <c r="A780" s="34" t="s">
        <v>1320</v>
      </c>
      <c r="B780" s="34"/>
      <c r="C780" s="34" t="s">
        <v>1426</v>
      </c>
      <c r="D780" s="21" t="s">
        <v>1602</v>
      </c>
      <c r="E780" s="34" t="s">
        <v>4</v>
      </c>
      <c r="F780" s="34" t="s">
        <v>36</v>
      </c>
      <c r="G780" s="34" t="s">
        <v>57</v>
      </c>
      <c r="H780" s="34"/>
      <c r="I780" s="34"/>
      <c r="J780" s="34" t="s">
        <v>28</v>
      </c>
      <c r="K780" s="36" t="s">
        <v>1322</v>
      </c>
      <c r="L780" s="55">
        <v>12.71</v>
      </c>
      <c r="M780" s="34" t="s">
        <v>29</v>
      </c>
      <c r="N780" s="34" t="s">
        <v>1427</v>
      </c>
      <c r="O780" s="34" t="s">
        <v>1428</v>
      </c>
    </row>
    <row r="781" spans="1:15" ht="14.25" customHeight="1" x14ac:dyDescent="0.3">
      <c r="A781" s="34" t="s">
        <v>1320</v>
      </c>
      <c r="B781" s="34"/>
      <c r="C781" s="34" t="s">
        <v>1429</v>
      </c>
      <c r="D781" s="21" t="s">
        <v>1603</v>
      </c>
      <c r="E781" s="34" t="s">
        <v>4</v>
      </c>
      <c r="F781" s="34" t="s">
        <v>36</v>
      </c>
      <c r="G781" s="34" t="s">
        <v>57</v>
      </c>
      <c r="H781" s="34"/>
      <c r="I781" s="34"/>
      <c r="J781" s="34" t="s">
        <v>28</v>
      </c>
      <c r="K781" s="36" t="s">
        <v>1322</v>
      </c>
      <c r="L781" s="55">
        <v>5.93</v>
      </c>
      <c r="M781" s="34" t="s">
        <v>29</v>
      </c>
      <c r="N781" s="34" t="s">
        <v>1430</v>
      </c>
      <c r="O781" s="34" t="s">
        <v>1431</v>
      </c>
    </row>
    <row r="782" spans="1:15" ht="14.25" customHeight="1" x14ac:dyDescent="0.3">
      <c r="A782" s="34" t="s">
        <v>1320</v>
      </c>
      <c r="B782" s="34"/>
      <c r="C782" s="34" t="s">
        <v>1432</v>
      </c>
      <c r="D782" s="21" t="s">
        <v>1604</v>
      </c>
      <c r="E782" s="34" t="s">
        <v>4</v>
      </c>
      <c r="F782" s="34" t="s">
        <v>36</v>
      </c>
      <c r="G782" s="34" t="s">
        <v>57</v>
      </c>
      <c r="H782" s="34"/>
      <c r="I782" s="34"/>
      <c r="J782" s="34" t="s">
        <v>28</v>
      </c>
      <c r="K782" s="36" t="s">
        <v>1322</v>
      </c>
      <c r="L782" s="55">
        <v>8.4700000000000006</v>
      </c>
      <c r="M782" s="34" t="s">
        <v>29</v>
      </c>
      <c r="N782" s="34" t="s">
        <v>1433</v>
      </c>
      <c r="O782" s="34" t="s">
        <v>1434</v>
      </c>
    </row>
    <row r="783" spans="1:15" ht="14.25" customHeight="1" x14ac:dyDescent="0.3">
      <c r="A783" s="34" t="s">
        <v>1320</v>
      </c>
      <c r="B783" s="34"/>
      <c r="C783" s="34" t="s">
        <v>1435</v>
      </c>
      <c r="D783" s="21" t="s">
        <v>1605</v>
      </c>
      <c r="E783" s="34" t="s">
        <v>4</v>
      </c>
      <c r="F783" s="34" t="s">
        <v>36</v>
      </c>
      <c r="G783" s="34" t="s">
        <v>57</v>
      </c>
      <c r="H783" s="34"/>
      <c r="I783" s="34"/>
      <c r="J783" s="34" t="s">
        <v>28</v>
      </c>
      <c r="K783" s="36" t="s">
        <v>1322</v>
      </c>
      <c r="L783" s="55">
        <v>63.56</v>
      </c>
      <c r="M783" s="34" t="s">
        <v>29</v>
      </c>
      <c r="N783" s="34" t="s">
        <v>1364</v>
      </c>
      <c r="O783" s="34" t="s">
        <v>1436</v>
      </c>
    </row>
    <row r="784" spans="1:15" ht="14.25" customHeight="1" x14ac:dyDescent="0.3">
      <c r="A784" s="34" t="s">
        <v>1437</v>
      </c>
      <c r="B784" s="38"/>
      <c r="C784" s="38" t="s">
        <v>1438</v>
      </c>
      <c r="D784" s="21" t="s">
        <v>1606</v>
      </c>
      <c r="E784" s="39" t="s">
        <v>4</v>
      </c>
      <c r="F784" s="39" t="s">
        <v>36</v>
      </c>
      <c r="G784" s="39" t="s">
        <v>57</v>
      </c>
      <c r="H784" s="38"/>
      <c r="I784" s="38"/>
      <c r="J784" s="39" t="s">
        <v>449</v>
      </c>
      <c r="K784" s="40">
        <v>3</v>
      </c>
      <c r="L784" s="56">
        <v>17</v>
      </c>
      <c r="M784" s="39" t="s">
        <v>29</v>
      </c>
      <c r="N784" s="39" t="s">
        <v>1439</v>
      </c>
      <c r="O784" s="41">
        <v>1000201</v>
      </c>
    </row>
    <row r="785" spans="1:15" ht="14.25" customHeight="1" x14ac:dyDescent="0.3">
      <c r="A785" s="34" t="s">
        <v>1437</v>
      </c>
      <c r="B785" s="38"/>
      <c r="C785" s="38" t="s">
        <v>1440</v>
      </c>
      <c r="D785" s="21" t="s">
        <v>1607</v>
      </c>
      <c r="E785" s="39" t="s">
        <v>4</v>
      </c>
      <c r="F785" s="39" t="s">
        <v>36</v>
      </c>
      <c r="G785" s="39" t="s">
        <v>57</v>
      </c>
      <c r="H785" s="38"/>
      <c r="I785" s="38"/>
      <c r="J785" s="39" t="s">
        <v>449</v>
      </c>
      <c r="K785" s="40">
        <v>4</v>
      </c>
      <c r="L785" s="56">
        <v>9.6</v>
      </c>
      <c r="M785" s="39" t="s">
        <v>29</v>
      </c>
      <c r="N785" s="39" t="s">
        <v>1441</v>
      </c>
      <c r="O785" s="41" t="s">
        <v>1442</v>
      </c>
    </row>
    <row r="786" spans="1:15" ht="14.25" customHeight="1" x14ac:dyDescent="0.3">
      <c r="A786" s="34" t="s">
        <v>1437</v>
      </c>
      <c r="B786" s="38"/>
      <c r="C786" s="38" t="s">
        <v>1443</v>
      </c>
      <c r="D786" s="21" t="s">
        <v>1608</v>
      </c>
      <c r="E786" s="39" t="s">
        <v>4</v>
      </c>
      <c r="F786" s="39" t="s">
        <v>36</v>
      </c>
      <c r="G786" s="39" t="s">
        <v>57</v>
      </c>
      <c r="H786" s="38"/>
      <c r="I786" s="38"/>
      <c r="J786" s="39" t="s">
        <v>449</v>
      </c>
      <c r="K786" s="40">
        <v>4</v>
      </c>
      <c r="L786" s="56">
        <v>50.85</v>
      </c>
      <c r="M786" s="39" t="s">
        <v>29</v>
      </c>
      <c r="N786" s="39" t="s">
        <v>1441</v>
      </c>
      <c r="O786" s="41" t="s">
        <v>1444</v>
      </c>
    </row>
    <row r="787" spans="1:15" ht="14.25" customHeight="1" x14ac:dyDescent="0.3">
      <c r="A787" s="34" t="s">
        <v>1437</v>
      </c>
      <c r="B787" s="38"/>
      <c r="C787" s="38" t="s">
        <v>1445</v>
      </c>
      <c r="D787" s="21" t="s">
        <v>1609</v>
      </c>
      <c r="E787" s="39" t="s">
        <v>4</v>
      </c>
      <c r="F787" s="39" t="s">
        <v>36</v>
      </c>
      <c r="G787" s="39" t="s">
        <v>57</v>
      </c>
      <c r="H787" s="38"/>
      <c r="I787" s="38" t="s">
        <v>1306</v>
      </c>
      <c r="J787" s="39" t="s">
        <v>28</v>
      </c>
      <c r="K787" s="40">
        <v>7</v>
      </c>
      <c r="L787" s="56">
        <v>39.979999999999997</v>
      </c>
      <c r="M787" s="39" t="s">
        <v>23</v>
      </c>
      <c r="N787" s="39" t="s">
        <v>1446</v>
      </c>
      <c r="O787" s="41" t="s">
        <v>1447</v>
      </c>
    </row>
    <row r="788" spans="1:15" ht="14.25" customHeight="1" x14ac:dyDescent="0.3">
      <c r="A788" s="34" t="s">
        <v>1437</v>
      </c>
      <c r="B788" s="38"/>
      <c r="C788" s="38" t="s">
        <v>1448</v>
      </c>
      <c r="D788" s="21" t="s">
        <v>1610</v>
      </c>
      <c r="E788" s="39" t="s">
        <v>4</v>
      </c>
      <c r="F788" s="39" t="s">
        <v>36</v>
      </c>
      <c r="G788" s="39" t="s">
        <v>57</v>
      </c>
      <c r="H788" s="38"/>
      <c r="I788" s="38"/>
      <c r="J788" s="39" t="s">
        <v>28</v>
      </c>
      <c r="K788" s="40">
        <v>7</v>
      </c>
      <c r="L788" s="56">
        <v>39.979999999999997</v>
      </c>
      <c r="M788" s="39" t="s">
        <v>23</v>
      </c>
      <c r="N788" s="39" t="s">
        <v>1446</v>
      </c>
      <c r="O788" s="41" t="s">
        <v>1449</v>
      </c>
    </row>
    <row r="789" spans="1:15" ht="14.25" customHeight="1" x14ac:dyDescent="0.3">
      <c r="A789" s="34" t="s">
        <v>1437</v>
      </c>
      <c r="B789" s="38"/>
      <c r="C789" s="38" t="s">
        <v>1450</v>
      </c>
      <c r="D789" s="21" t="s">
        <v>1611</v>
      </c>
      <c r="E789" s="39" t="s">
        <v>4</v>
      </c>
      <c r="F789" s="39" t="s">
        <v>36</v>
      </c>
      <c r="G789" s="39" t="s">
        <v>57</v>
      </c>
      <c r="H789" s="38"/>
      <c r="I789" s="38"/>
      <c r="J789" s="39" t="s">
        <v>28</v>
      </c>
      <c r="K789" s="40">
        <v>7</v>
      </c>
      <c r="L789" s="56">
        <v>39.979999999999997</v>
      </c>
      <c r="M789" s="39" t="s">
        <v>23</v>
      </c>
      <c r="N789" s="39" t="s">
        <v>1446</v>
      </c>
      <c r="O789" s="41" t="s">
        <v>1451</v>
      </c>
    </row>
    <row r="790" spans="1:15" ht="14.25" customHeight="1" x14ac:dyDescent="0.3">
      <c r="A790" s="34" t="s">
        <v>1437</v>
      </c>
      <c r="B790" s="38"/>
      <c r="C790" s="38" t="s">
        <v>1452</v>
      </c>
      <c r="D790" s="21" t="s">
        <v>1612</v>
      </c>
      <c r="E790" s="39" t="s">
        <v>4</v>
      </c>
      <c r="F790" s="39" t="s">
        <v>36</v>
      </c>
      <c r="G790" s="39" t="s">
        <v>57</v>
      </c>
      <c r="H790" s="38"/>
      <c r="I790" s="38"/>
      <c r="J790" s="39" t="s">
        <v>28</v>
      </c>
      <c r="K790" s="40">
        <v>7</v>
      </c>
      <c r="L790" s="56">
        <v>39.979999999999997</v>
      </c>
      <c r="M790" s="39" t="s">
        <v>23</v>
      </c>
      <c r="N790" s="39" t="s">
        <v>1446</v>
      </c>
      <c r="O790" s="41" t="s">
        <v>1453</v>
      </c>
    </row>
    <row r="791" spans="1:15" ht="14.25" customHeight="1" x14ac:dyDescent="0.3">
      <c r="A791" s="34" t="s">
        <v>1437</v>
      </c>
      <c r="B791" s="38"/>
      <c r="C791" s="38" t="s">
        <v>1454</v>
      </c>
      <c r="D791" s="21" t="s">
        <v>1613</v>
      </c>
      <c r="E791" s="39" t="s">
        <v>4</v>
      </c>
      <c r="F791" s="39" t="s">
        <v>36</v>
      </c>
      <c r="G791" s="39" t="s">
        <v>57</v>
      </c>
      <c r="H791" s="38"/>
      <c r="I791" s="38"/>
      <c r="J791" s="39" t="s">
        <v>28</v>
      </c>
      <c r="K791" s="40">
        <v>7</v>
      </c>
      <c r="L791" s="56">
        <v>39.979999999999997</v>
      </c>
      <c r="M791" s="39" t="s">
        <v>23</v>
      </c>
      <c r="N791" s="39" t="s">
        <v>1446</v>
      </c>
      <c r="O791" s="41" t="s">
        <v>1455</v>
      </c>
    </row>
    <row r="792" spans="1:15" ht="14.25" customHeight="1" x14ac:dyDescent="0.3">
      <c r="A792" s="34" t="s">
        <v>1437</v>
      </c>
      <c r="B792" s="38"/>
      <c r="C792" s="38" t="s">
        <v>1456</v>
      </c>
      <c r="D792" s="21" t="s">
        <v>1614</v>
      </c>
      <c r="E792" s="39" t="s">
        <v>4</v>
      </c>
      <c r="F792" s="39" t="s">
        <v>36</v>
      </c>
      <c r="G792" s="39" t="s">
        <v>57</v>
      </c>
      <c r="H792" s="38"/>
      <c r="I792" s="38"/>
      <c r="J792" s="39" t="s">
        <v>28</v>
      </c>
      <c r="K792" s="40">
        <v>7</v>
      </c>
      <c r="L792" s="56">
        <v>39.979999999999997</v>
      </c>
      <c r="M792" s="39" t="s">
        <v>23</v>
      </c>
      <c r="N792" s="39" t="s">
        <v>1446</v>
      </c>
      <c r="O792" s="41" t="s">
        <v>1453</v>
      </c>
    </row>
    <row r="793" spans="1:15" ht="14.25" customHeight="1" x14ac:dyDescent="0.3">
      <c r="A793" s="34" t="s">
        <v>1437</v>
      </c>
      <c r="B793" s="38"/>
      <c r="C793" s="38" t="s">
        <v>1457</v>
      </c>
      <c r="D793" s="21" t="s">
        <v>1615</v>
      </c>
      <c r="E793" s="39" t="s">
        <v>4</v>
      </c>
      <c r="F793" s="39" t="s">
        <v>36</v>
      </c>
      <c r="G793" s="39" t="s">
        <v>57</v>
      </c>
      <c r="H793" s="38"/>
      <c r="I793" s="38"/>
      <c r="J793" s="39" t="s">
        <v>28</v>
      </c>
      <c r="K793" s="40">
        <v>3</v>
      </c>
      <c r="L793" s="56">
        <v>22.7</v>
      </c>
      <c r="M793" s="39" t="s">
        <v>23</v>
      </c>
      <c r="N793" s="39" t="s">
        <v>1458</v>
      </c>
      <c r="O793" s="41" t="s">
        <v>1459</v>
      </c>
    </row>
    <row r="794" spans="1:15" ht="14.25" customHeight="1" x14ac:dyDescent="0.3">
      <c r="A794" s="34" t="s">
        <v>1437</v>
      </c>
      <c r="B794" s="38"/>
      <c r="C794" s="38" t="s">
        <v>1460</v>
      </c>
      <c r="D794" s="21" t="s">
        <v>1616</v>
      </c>
      <c r="E794" s="39" t="s">
        <v>4</v>
      </c>
      <c r="F794" s="39" t="s">
        <v>36</v>
      </c>
      <c r="G794" s="39" t="s">
        <v>57</v>
      </c>
      <c r="H794" s="38"/>
      <c r="I794" s="38"/>
      <c r="J794" s="39" t="s">
        <v>28</v>
      </c>
      <c r="K794" s="40">
        <v>3</v>
      </c>
      <c r="L794" s="56">
        <v>24.8</v>
      </c>
      <c r="M794" s="39" t="s">
        <v>23</v>
      </c>
      <c r="N794" s="39" t="s">
        <v>1458</v>
      </c>
      <c r="O794" s="41" t="s">
        <v>1461</v>
      </c>
    </row>
    <row r="795" spans="1:15" ht="14.25" customHeight="1" x14ac:dyDescent="0.3">
      <c r="A795" s="34" t="s">
        <v>1437</v>
      </c>
      <c r="B795" s="38"/>
      <c r="C795" s="38" t="s">
        <v>1462</v>
      </c>
      <c r="D795" s="21" t="s">
        <v>1617</v>
      </c>
      <c r="E795" s="39" t="s">
        <v>4</v>
      </c>
      <c r="F795" s="39" t="s">
        <v>36</v>
      </c>
      <c r="G795" s="39" t="s">
        <v>57</v>
      </c>
      <c r="H795" s="38"/>
      <c r="I795" s="38"/>
      <c r="J795" s="39" t="s">
        <v>28</v>
      </c>
      <c r="K795" s="40">
        <v>3</v>
      </c>
      <c r="L795" s="56">
        <v>3.56</v>
      </c>
      <c r="M795" s="39" t="s">
        <v>23</v>
      </c>
      <c r="N795" s="39" t="s">
        <v>1463</v>
      </c>
      <c r="O795" s="41" t="s">
        <v>1464</v>
      </c>
    </row>
    <row r="796" spans="1:15" ht="14.25" customHeight="1" x14ac:dyDescent="0.3">
      <c r="A796" s="34" t="s">
        <v>1437</v>
      </c>
      <c r="B796" s="38"/>
      <c r="C796" s="38" t="s">
        <v>1465</v>
      </c>
      <c r="D796" s="21" t="s">
        <v>1618</v>
      </c>
      <c r="E796" s="39" t="s">
        <v>4</v>
      </c>
      <c r="F796" s="39" t="s">
        <v>36</v>
      </c>
      <c r="G796" s="39" t="s">
        <v>57</v>
      </c>
      <c r="H796" s="38"/>
      <c r="I796" s="38"/>
      <c r="J796" s="39" t="s">
        <v>28</v>
      </c>
      <c r="K796" s="40">
        <v>3</v>
      </c>
      <c r="L796" s="56">
        <v>3.56</v>
      </c>
      <c r="M796" s="39" t="s">
        <v>23</v>
      </c>
      <c r="N796" s="39" t="s">
        <v>1463</v>
      </c>
      <c r="O796" s="41" t="s">
        <v>1466</v>
      </c>
    </row>
    <row r="797" spans="1:15" ht="14.25" customHeight="1" x14ac:dyDescent="0.3">
      <c r="A797" s="34" t="s">
        <v>1437</v>
      </c>
      <c r="B797" s="38"/>
      <c r="C797" s="38" t="s">
        <v>1467</v>
      </c>
      <c r="D797" s="21" t="s">
        <v>1619</v>
      </c>
      <c r="E797" s="39" t="s">
        <v>4</v>
      </c>
      <c r="F797" s="39" t="s">
        <v>36</v>
      </c>
      <c r="G797" s="39" t="s">
        <v>57</v>
      </c>
      <c r="H797" s="38"/>
      <c r="I797" s="38"/>
      <c r="J797" s="39" t="s">
        <v>28</v>
      </c>
      <c r="K797" s="40">
        <v>3</v>
      </c>
      <c r="L797" s="56">
        <v>5.65</v>
      </c>
      <c r="M797" s="39" t="s">
        <v>23</v>
      </c>
      <c r="N797" s="39" t="s">
        <v>1463</v>
      </c>
      <c r="O797" s="41" t="s">
        <v>1468</v>
      </c>
    </row>
    <row r="798" spans="1:15" ht="14.25" customHeight="1" x14ac:dyDescent="0.3">
      <c r="A798" s="34" t="s">
        <v>1437</v>
      </c>
      <c r="B798" s="38"/>
      <c r="C798" s="38" t="s">
        <v>1469</v>
      </c>
      <c r="D798" s="21" t="s">
        <v>1620</v>
      </c>
      <c r="E798" s="39" t="s">
        <v>4</v>
      </c>
      <c r="F798" s="39" t="s">
        <v>36</v>
      </c>
      <c r="G798" s="39" t="s">
        <v>57</v>
      </c>
      <c r="H798" s="38"/>
      <c r="I798" s="38"/>
      <c r="J798" s="39" t="s">
        <v>28</v>
      </c>
      <c r="K798" s="40">
        <v>3</v>
      </c>
      <c r="L798" s="56">
        <v>37.799999999999997</v>
      </c>
      <c r="M798" s="39" t="s">
        <v>23</v>
      </c>
      <c r="N798" s="39" t="s">
        <v>1463</v>
      </c>
      <c r="O798" s="41" t="s">
        <v>1470</v>
      </c>
    </row>
    <row r="799" spans="1:15" ht="14.25" customHeight="1" x14ac:dyDescent="0.3">
      <c r="A799" s="34" t="s">
        <v>1437</v>
      </c>
      <c r="B799" s="38"/>
      <c r="C799" s="38" t="s">
        <v>1471</v>
      </c>
      <c r="D799" s="21" t="s">
        <v>1621</v>
      </c>
      <c r="E799" s="39" t="s">
        <v>4</v>
      </c>
      <c r="F799" s="39" t="s">
        <v>36</v>
      </c>
      <c r="G799" s="39" t="s">
        <v>57</v>
      </c>
      <c r="H799" s="38"/>
      <c r="I799" s="38"/>
      <c r="J799" s="39" t="s">
        <v>28</v>
      </c>
      <c r="K799" s="40">
        <v>3</v>
      </c>
      <c r="L799" s="56">
        <v>6.08</v>
      </c>
      <c r="M799" s="39" t="s">
        <v>23</v>
      </c>
      <c r="N799" s="39" t="s">
        <v>1463</v>
      </c>
      <c r="O799" s="41" t="s">
        <v>1472</v>
      </c>
    </row>
    <row r="800" spans="1:15" ht="14.25" customHeight="1" x14ac:dyDescent="0.3">
      <c r="A800" s="34" t="s">
        <v>1437</v>
      </c>
      <c r="B800" s="38"/>
      <c r="C800" s="38" t="s">
        <v>1473</v>
      </c>
      <c r="D800" s="21" t="s">
        <v>1622</v>
      </c>
      <c r="E800" s="39" t="s">
        <v>4</v>
      </c>
      <c r="F800" s="39" t="s">
        <v>36</v>
      </c>
      <c r="G800" s="39" t="s">
        <v>57</v>
      </c>
      <c r="H800" s="38"/>
      <c r="I800" s="38"/>
      <c r="J800" s="39" t="s">
        <v>28</v>
      </c>
      <c r="K800" s="40">
        <v>3</v>
      </c>
      <c r="L800" s="56">
        <v>36.64</v>
      </c>
      <c r="M800" s="39" t="s">
        <v>23</v>
      </c>
      <c r="N800" s="39" t="s">
        <v>1458</v>
      </c>
      <c r="O800" s="41" t="s">
        <v>1474</v>
      </c>
    </row>
    <row r="801" spans="1:15" ht="14.25" customHeight="1" x14ac:dyDescent="0.3">
      <c r="A801" s="34" t="s">
        <v>1437</v>
      </c>
      <c r="B801" s="38"/>
      <c r="C801" s="38" t="s">
        <v>1475</v>
      </c>
      <c r="D801" s="21" t="s">
        <v>1623</v>
      </c>
      <c r="E801" s="39" t="s">
        <v>4</v>
      </c>
      <c r="F801" s="39" t="s">
        <v>36</v>
      </c>
      <c r="G801" s="39" t="s">
        <v>57</v>
      </c>
      <c r="H801" s="38"/>
      <c r="I801" s="38"/>
      <c r="J801" s="39" t="s">
        <v>28</v>
      </c>
      <c r="K801" s="40">
        <v>3</v>
      </c>
      <c r="L801" s="56">
        <v>36.64</v>
      </c>
      <c r="M801" s="39" t="s">
        <v>23</v>
      </c>
      <c r="N801" s="39" t="s">
        <v>1458</v>
      </c>
      <c r="O801" s="41" t="s">
        <v>1476</v>
      </c>
    </row>
    <row r="802" spans="1:15" ht="14.25" customHeight="1" x14ac:dyDescent="0.3">
      <c r="A802" s="34" t="s">
        <v>1437</v>
      </c>
      <c r="B802" s="38"/>
      <c r="C802" s="38" t="s">
        <v>1477</v>
      </c>
      <c r="D802" s="21" t="s">
        <v>1624</v>
      </c>
      <c r="E802" s="39" t="s">
        <v>4</v>
      </c>
      <c r="F802" s="39" t="s">
        <v>36</v>
      </c>
      <c r="G802" s="39" t="s">
        <v>57</v>
      </c>
      <c r="H802" s="38"/>
      <c r="I802" s="38"/>
      <c r="J802" s="39" t="s">
        <v>28</v>
      </c>
      <c r="K802" s="40">
        <v>3</v>
      </c>
      <c r="L802" s="56">
        <v>7.82</v>
      </c>
      <c r="M802" s="39" t="s">
        <v>23</v>
      </c>
      <c r="N802" s="39" t="s">
        <v>1463</v>
      </c>
      <c r="O802" s="41" t="s">
        <v>1478</v>
      </c>
    </row>
    <row r="803" spans="1:15" ht="14.25" customHeight="1" x14ac:dyDescent="0.3">
      <c r="A803" s="34" t="s">
        <v>1437</v>
      </c>
      <c r="B803" s="38"/>
      <c r="C803" s="38" t="s">
        <v>1479</v>
      </c>
      <c r="D803" s="21" t="s">
        <v>1625</v>
      </c>
      <c r="E803" s="39" t="s">
        <v>4</v>
      </c>
      <c r="F803" s="39" t="s">
        <v>36</v>
      </c>
      <c r="G803" s="39" t="s">
        <v>57</v>
      </c>
      <c r="H803" s="38"/>
      <c r="I803" s="38"/>
      <c r="J803" s="39" t="s">
        <v>28</v>
      </c>
      <c r="K803" s="40">
        <v>3</v>
      </c>
      <c r="L803" s="56">
        <v>7.82</v>
      </c>
      <c r="M803" s="39" t="s">
        <v>23</v>
      </c>
      <c r="N803" s="39" t="s">
        <v>1463</v>
      </c>
      <c r="O803" s="41" t="s">
        <v>1480</v>
      </c>
    </row>
    <row r="804" spans="1:15" ht="14.25" customHeight="1" x14ac:dyDescent="0.3">
      <c r="A804" s="34" t="s">
        <v>1437</v>
      </c>
      <c r="B804" s="38"/>
      <c r="C804" s="38" t="s">
        <v>1481</v>
      </c>
      <c r="D804" s="21" t="s">
        <v>1626</v>
      </c>
      <c r="E804" s="39" t="s">
        <v>4</v>
      </c>
      <c r="F804" s="39" t="s">
        <v>36</v>
      </c>
      <c r="G804" s="39" t="s">
        <v>57</v>
      </c>
      <c r="H804" s="38"/>
      <c r="I804" s="38"/>
      <c r="J804" s="39" t="s">
        <v>28</v>
      </c>
      <c r="K804" s="40">
        <v>3</v>
      </c>
      <c r="L804" s="56">
        <v>11.13</v>
      </c>
      <c r="M804" s="39" t="s">
        <v>23</v>
      </c>
      <c r="N804" s="39" t="s">
        <v>1463</v>
      </c>
      <c r="O804" s="41" t="s">
        <v>1482</v>
      </c>
    </row>
    <row r="805" spans="1:15" ht="14.25" customHeight="1" x14ac:dyDescent="0.3">
      <c r="A805" s="34" t="s">
        <v>1437</v>
      </c>
      <c r="B805" s="38"/>
      <c r="C805" s="38" t="s">
        <v>1483</v>
      </c>
      <c r="D805" s="21" t="s">
        <v>1627</v>
      </c>
      <c r="E805" s="39" t="s">
        <v>4</v>
      </c>
      <c r="F805" s="39" t="s">
        <v>36</v>
      </c>
      <c r="G805" s="39" t="s">
        <v>57</v>
      </c>
      <c r="H805" s="38"/>
      <c r="I805" s="38"/>
      <c r="J805" s="39" t="s">
        <v>28</v>
      </c>
      <c r="K805" s="40">
        <v>3</v>
      </c>
      <c r="L805" s="56">
        <v>11.13</v>
      </c>
      <c r="M805" s="39" t="s">
        <v>23</v>
      </c>
      <c r="N805" s="39" t="s">
        <v>1463</v>
      </c>
      <c r="O805" s="41" t="s">
        <v>1484</v>
      </c>
    </row>
    <row r="806" spans="1:15" ht="14.25" customHeight="1" x14ac:dyDescent="0.3">
      <c r="A806" s="34" t="s">
        <v>1437</v>
      </c>
      <c r="B806" s="38"/>
      <c r="C806" s="38" t="s">
        <v>1485</v>
      </c>
      <c r="D806" s="21" t="s">
        <v>1628</v>
      </c>
      <c r="E806" s="39" t="s">
        <v>4</v>
      </c>
      <c r="F806" s="39" t="s">
        <v>36</v>
      </c>
      <c r="G806" s="39" t="s">
        <v>57</v>
      </c>
      <c r="H806" s="38"/>
      <c r="I806" s="38"/>
      <c r="J806" s="39" t="s">
        <v>28</v>
      </c>
      <c r="K806" s="40">
        <v>3</v>
      </c>
      <c r="L806" s="56">
        <v>2.88</v>
      </c>
      <c r="M806" s="39" t="s">
        <v>23</v>
      </c>
      <c r="N806" s="39" t="s">
        <v>1463</v>
      </c>
      <c r="O806" s="41" t="s">
        <v>1486</v>
      </c>
    </row>
    <row r="807" spans="1:15" ht="14.25" customHeight="1" x14ac:dyDescent="0.3">
      <c r="A807" s="34" t="s">
        <v>1437</v>
      </c>
      <c r="B807" s="38"/>
      <c r="C807" s="38" t="s">
        <v>1487</v>
      </c>
      <c r="D807" s="21" t="s">
        <v>1629</v>
      </c>
      <c r="E807" s="39" t="s">
        <v>4</v>
      </c>
      <c r="F807" s="39" t="s">
        <v>36</v>
      </c>
      <c r="G807" s="39" t="s">
        <v>57</v>
      </c>
      <c r="H807" s="38"/>
      <c r="I807" s="38"/>
      <c r="J807" s="39" t="s">
        <v>28</v>
      </c>
      <c r="K807" s="40">
        <v>3</v>
      </c>
      <c r="L807" s="56">
        <v>2.88</v>
      </c>
      <c r="M807" s="39" t="s">
        <v>23</v>
      </c>
      <c r="N807" s="39" t="s">
        <v>1463</v>
      </c>
      <c r="O807" s="41" t="s">
        <v>1488</v>
      </c>
    </row>
    <row r="808" spans="1:15" ht="14.25" customHeight="1" x14ac:dyDescent="0.3">
      <c r="A808" s="34" t="s">
        <v>1437</v>
      </c>
      <c r="B808" s="38"/>
      <c r="C808" s="38" t="s">
        <v>1489</v>
      </c>
      <c r="D808" s="21" t="s">
        <v>1630</v>
      </c>
      <c r="E808" s="39" t="s">
        <v>4</v>
      </c>
      <c r="F808" s="39" t="s">
        <v>36</v>
      </c>
      <c r="G808" s="39" t="s">
        <v>57</v>
      </c>
      <c r="H808" s="38"/>
      <c r="I808" s="38"/>
      <c r="J808" s="39" t="s">
        <v>28</v>
      </c>
      <c r="K808" s="40">
        <v>3</v>
      </c>
      <c r="L808" s="56">
        <v>4.13</v>
      </c>
      <c r="M808" s="39" t="s">
        <v>23</v>
      </c>
      <c r="N808" s="39" t="s">
        <v>1463</v>
      </c>
      <c r="O808" s="41" t="s">
        <v>1490</v>
      </c>
    </row>
    <row r="809" spans="1:15" ht="14.25" customHeight="1" x14ac:dyDescent="0.3">
      <c r="A809" s="34" t="s">
        <v>1437</v>
      </c>
      <c r="B809" s="38"/>
      <c r="C809" s="38" t="s">
        <v>1491</v>
      </c>
      <c r="D809" s="21" t="s">
        <v>1631</v>
      </c>
      <c r="E809" s="39" t="s">
        <v>4</v>
      </c>
      <c r="F809" s="39" t="s">
        <v>36</v>
      </c>
      <c r="G809" s="39" t="s">
        <v>57</v>
      </c>
      <c r="H809" s="38"/>
      <c r="I809" s="38"/>
      <c r="J809" s="39" t="s">
        <v>28</v>
      </c>
      <c r="K809" s="40">
        <v>3</v>
      </c>
      <c r="L809" s="56">
        <v>4.09</v>
      </c>
      <c r="M809" s="39" t="s">
        <v>23</v>
      </c>
      <c r="N809" s="39" t="s">
        <v>1463</v>
      </c>
      <c r="O809" s="41" t="s">
        <v>1492</v>
      </c>
    </row>
    <row r="810" spans="1:15" ht="14.25" customHeight="1" x14ac:dyDescent="0.3">
      <c r="A810" s="34" t="s">
        <v>1437</v>
      </c>
      <c r="B810" s="38"/>
      <c r="C810" s="38" t="s">
        <v>1493</v>
      </c>
      <c r="D810" s="21" t="s">
        <v>1632</v>
      </c>
      <c r="E810" s="39" t="s">
        <v>4</v>
      </c>
      <c r="F810" s="39" t="s">
        <v>36</v>
      </c>
      <c r="G810" s="39" t="s">
        <v>57</v>
      </c>
      <c r="H810" s="38"/>
      <c r="I810" s="38"/>
      <c r="J810" s="39" t="s">
        <v>28</v>
      </c>
      <c r="K810" s="40">
        <v>3</v>
      </c>
      <c r="L810" s="56">
        <v>3.51</v>
      </c>
      <c r="M810" s="39" t="s">
        <v>23</v>
      </c>
      <c r="N810" s="39" t="s">
        <v>1463</v>
      </c>
      <c r="O810" s="41" t="s">
        <v>1494</v>
      </c>
    </row>
    <row r="811" spans="1:15" ht="14.25" customHeight="1" x14ac:dyDescent="0.3">
      <c r="A811" s="34" t="s">
        <v>1437</v>
      </c>
      <c r="B811" s="38"/>
      <c r="C811" s="38" t="s">
        <v>1495</v>
      </c>
      <c r="D811" s="21" t="s">
        <v>1633</v>
      </c>
      <c r="E811" s="39" t="s">
        <v>4</v>
      </c>
      <c r="F811" s="39" t="s">
        <v>36</v>
      </c>
      <c r="G811" s="39" t="s">
        <v>57</v>
      </c>
      <c r="H811" s="38"/>
      <c r="I811" s="38"/>
      <c r="J811" s="39" t="s">
        <v>28</v>
      </c>
      <c r="K811" s="40">
        <v>3</v>
      </c>
      <c r="L811" s="56">
        <v>3.51</v>
      </c>
      <c r="M811" s="39" t="s">
        <v>23</v>
      </c>
      <c r="N811" s="39" t="s">
        <v>1463</v>
      </c>
      <c r="O811" s="41" t="s">
        <v>1496</v>
      </c>
    </row>
    <row r="812" spans="1:15" ht="14.25" customHeight="1" x14ac:dyDescent="0.3">
      <c r="A812" s="34" t="s">
        <v>1437</v>
      </c>
      <c r="B812" s="38"/>
      <c r="C812" s="38" t="s">
        <v>1497</v>
      </c>
      <c r="D812" s="21" t="s">
        <v>1634</v>
      </c>
      <c r="E812" s="39" t="s">
        <v>4</v>
      </c>
      <c r="F812" s="39" t="s">
        <v>36</v>
      </c>
      <c r="G812" s="39" t="s">
        <v>57</v>
      </c>
      <c r="H812" s="38"/>
      <c r="I812" s="38"/>
      <c r="J812" s="39" t="s">
        <v>28</v>
      </c>
      <c r="K812" s="40">
        <v>3</v>
      </c>
      <c r="L812" s="56">
        <v>3.56</v>
      </c>
      <c r="M812" s="39" t="s">
        <v>23</v>
      </c>
      <c r="N812" s="39" t="s">
        <v>1463</v>
      </c>
      <c r="O812" s="41" t="s">
        <v>1498</v>
      </c>
    </row>
    <row r="813" spans="1:15" ht="14.25" customHeight="1" x14ac:dyDescent="0.3">
      <c r="A813" s="34" t="s">
        <v>1437</v>
      </c>
      <c r="B813" s="38"/>
      <c r="C813" s="38" t="s">
        <v>1499</v>
      </c>
      <c r="D813" s="21" t="s">
        <v>1635</v>
      </c>
      <c r="E813" s="39" t="s">
        <v>4</v>
      </c>
      <c r="F813" s="39" t="s">
        <v>36</v>
      </c>
      <c r="G813" s="39" t="s">
        <v>57</v>
      </c>
      <c r="H813" s="38"/>
      <c r="I813" s="38"/>
      <c r="J813" s="39" t="s">
        <v>28</v>
      </c>
      <c r="K813" s="40">
        <v>3</v>
      </c>
      <c r="L813" s="56">
        <v>3.56</v>
      </c>
      <c r="M813" s="39" t="s">
        <v>23</v>
      </c>
      <c r="N813" s="39" t="s">
        <v>1463</v>
      </c>
      <c r="O813" s="41" t="s">
        <v>1500</v>
      </c>
    </row>
    <row r="814" spans="1:15" ht="14.25" customHeight="1" x14ac:dyDescent="0.3">
      <c r="A814" s="34" t="s">
        <v>1437</v>
      </c>
      <c r="B814" s="38"/>
      <c r="C814" s="38" t="s">
        <v>1501</v>
      </c>
      <c r="D814" s="21" t="s">
        <v>1636</v>
      </c>
      <c r="E814" s="39" t="s">
        <v>4</v>
      </c>
      <c r="F814" s="39" t="s">
        <v>36</v>
      </c>
      <c r="G814" s="39" t="s">
        <v>57</v>
      </c>
      <c r="H814" s="38"/>
      <c r="I814" s="38"/>
      <c r="J814" s="39" t="s">
        <v>28</v>
      </c>
      <c r="K814" s="40">
        <v>1</v>
      </c>
      <c r="L814" s="56">
        <v>11.5</v>
      </c>
      <c r="M814" s="39" t="s">
        <v>29</v>
      </c>
      <c r="N814" s="39" t="s">
        <v>1441</v>
      </c>
      <c r="O814" s="41" t="s">
        <v>1502</v>
      </c>
    </row>
    <row r="815" spans="1:15" ht="14.25" customHeight="1" x14ac:dyDescent="0.3">
      <c r="A815" s="34" t="s">
        <v>1437</v>
      </c>
      <c r="B815" s="38"/>
      <c r="C815" s="38" t="s">
        <v>1503</v>
      </c>
      <c r="D815" s="21" t="s">
        <v>1637</v>
      </c>
      <c r="E815" s="39" t="s">
        <v>4</v>
      </c>
      <c r="F815" s="39" t="s">
        <v>36</v>
      </c>
      <c r="G815" s="39" t="s">
        <v>57</v>
      </c>
      <c r="H815" s="38"/>
      <c r="I815" s="38"/>
      <c r="J815" s="39" t="s">
        <v>28</v>
      </c>
      <c r="K815" s="40">
        <v>1</v>
      </c>
      <c r="L815" s="56">
        <v>45</v>
      </c>
      <c r="M815" s="39" t="s">
        <v>29</v>
      </c>
      <c r="N815" s="39" t="s">
        <v>1441</v>
      </c>
      <c r="O815" s="41" t="s">
        <v>1504</v>
      </c>
    </row>
    <row r="816" spans="1:15" ht="14.25" customHeight="1" x14ac:dyDescent="0.3">
      <c r="A816" s="34" t="s">
        <v>1437</v>
      </c>
      <c r="B816" s="38"/>
      <c r="C816" s="38" t="s">
        <v>1505</v>
      </c>
      <c r="D816" s="21" t="s">
        <v>1638</v>
      </c>
      <c r="E816" s="39" t="s">
        <v>4</v>
      </c>
      <c r="F816" s="39" t="s">
        <v>36</v>
      </c>
      <c r="G816" s="39" t="s">
        <v>57</v>
      </c>
      <c r="H816" s="38"/>
      <c r="I816" s="38"/>
      <c r="J816" s="39" t="s">
        <v>28</v>
      </c>
      <c r="K816" s="40">
        <v>1</v>
      </c>
      <c r="L816" s="56">
        <v>2.5</v>
      </c>
      <c r="M816" s="39" t="s">
        <v>29</v>
      </c>
      <c r="N816" s="39" t="s">
        <v>1441</v>
      </c>
      <c r="O816" s="41" t="s">
        <v>1506</v>
      </c>
    </row>
    <row r="817" spans="1:15" ht="14.25" customHeight="1" x14ac:dyDescent="0.3">
      <c r="A817" s="34" t="s">
        <v>1437</v>
      </c>
      <c r="B817" s="38"/>
      <c r="C817" s="38" t="s">
        <v>1507</v>
      </c>
      <c r="D817" s="21" t="s">
        <v>1639</v>
      </c>
      <c r="E817" s="39" t="s">
        <v>4</v>
      </c>
      <c r="F817" s="39" t="s">
        <v>36</v>
      </c>
      <c r="G817" s="39" t="s">
        <v>57</v>
      </c>
      <c r="H817" s="38"/>
      <c r="I817" s="38"/>
      <c r="J817" s="39" t="s">
        <v>28</v>
      </c>
      <c r="K817" s="40">
        <v>1</v>
      </c>
      <c r="L817" s="56">
        <v>2.5</v>
      </c>
      <c r="M817" s="39" t="s">
        <v>29</v>
      </c>
      <c r="N817" s="39" t="s">
        <v>1441</v>
      </c>
      <c r="O817" s="41" t="s">
        <v>1508</v>
      </c>
    </row>
    <row r="818" spans="1:15" ht="14.25" customHeight="1" x14ac:dyDescent="0.3">
      <c r="A818" s="34" t="s">
        <v>1437</v>
      </c>
      <c r="B818" s="38"/>
      <c r="C818" s="38" t="s">
        <v>1509</v>
      </c>
      <c r="D818" s="21" t="s">
        <v>1640</v>
      </c>
      <c r="E818" s="39" t="s">
        <v>4</v>
      </c>
      <c r="F818" s="39" t="s">
        <v>36</v>
      </c>
      <c r="G818" s="39" t="s">
        <v>57</v>
      </c>
      <c r="H818" s="38"/>
      <c r="I818" s="38"/>
      <c r="J818" s="39" t="s">
        <v>28</v>
      </c>
      <c r="K818" s="40">
        <v>1</v>
      </c>
      <c r="L818" s="56">
        <v>37</v>
      </c>
      <c r="M818" s="39" t="s">
        <v>29</v>
      </c>
      <c r="N818" s="39" t="s">
        <v>1441</v>
      </c>
      <c r="O818" s="41" t="s">
        <v>1510</v>
      </c>
    </row>
    <row r="819" spans="1:15" ht="14.25" customHeight="1" x14ac:dyDescent="0.3">
      <c r="A819" s="34" t="s">
        <v>1437</v>
      </c>
      <c r="B819" s="38"/>
      <c r="C819" s="38" t="s">
        <v>1511</v>
      </c>
      <c r="D819" s="21" t="s">
        <v>1641</v>
      </c>
      <c r="E819" s="39" t="s">
        <v>4</v>
      </c>
      <c r="F819" s="39" t="s">
        <v>36</v>
      </c>
      <c r="G819" s="39" t="s">
        <v>57</v>
      </c>
      <c r="H819" s="38"/>
      <c r="I819" s="38"/>
      <c r="J819" s="39" t="s">
        <v>28</v>
      </c>
      <c r="K819" s="40">
        <v>1</v>
      </c>
      <c r="L819" s="56">
        <v>38</v>
      </c>
      <c r="M819" s="39" t="s">
        <v>29</v>
      </c>
      <c r="N819" s="39" t="s">
        <v>1441</v>
      </c>
      <c r="O819" s="41" t="s">
        <v>1512</v>
      </c>
    </row>
    <row r="820" spans="1:15" ht="14.25" customHeight="1" x14ac:dyDescent="0.3">
      <c r="A820" s="34" t="s">
        <v>1437</v>
      </c>
      <c r="B820" s="38"/>
      <c r="C820" s="38" t="s">
        <v>1513</v>
      </c>
      <c r="D820" s="21" t="s">
        <v>1642</v>
      </c>
      <c r="E820" s="39" t="s">
        <v>4</v>
      </c>
      <c r="F820" s="39" t="s">
        <v>36</v>
      </c>
      <c r="G820" s="39" t="s">
        <v>57</v>
      </c>
      <c r="H820" s="38"/>
      <c r="I820" s="38"/>
      <c r="J820" s="39" t="s">
        <v>28</v>
      </c>
      <c r="K820" s="40">
        <v>1</v>
      </c>
      <c r="L820" s="56">
        <v>6.5</v>
      </c>
      <c r="M820" s="39" t="s">
        <v>29</v>
      </c>
      <c r="N820" s="39" t="s">
        <v>1441</v>
      </c>
      <c r="O820" s="41" t="s">
        <v>1514</v>
      </c>
    </row>
    <row r="821" spans="1:15" ht="14.25" customHeight="1" x14ac:dyDescent="0.3">
      <c r="A821" s="34" t="s">
        <v>1437</v>
      </c>
      <c r="B821" s="38"/>
      <c r="C821" s="38" t="s">
        <v>1515</v>
      </c>
      <c r="D821" s="21" t="s">
        <v>1643</v>
      </c>
      <c r="E821" s="39" t="s">
        <v>4</v>
      </c>
      <c r="F821" s="39" t="s">
        <v>36</v>
      </c>
      <c r="G821" s="39" t="s">
        <v>57</v>
      </c>
      <c r="H821" s="38"/>
      <c r="I821" s="38"/>
      <c r="J821" s="39" t="s">
        <v>28</v>
      </c>
      <c r="K821" s="40">
        <v>1</v>
      </c>
      <c r="L821" s="56">
        <v>35</v>
      </c>
      <c r="M821" s="39" t="s">
        <v>29</v>
      </c>
      <c r="N821" s="39" t="s">
        <v>1441</v>
      </c>
      <c r="O821" s="41" t="s">
        <v>1516</v>
      </c>
    </row>
    <row r="822" spans="1:15" ht="14.25" customHeight="1" x14ac:dyDescent="0.3">
      <c r="A822" s="34" t="s">
        <v>1437</v>
      </c>
      <c r="B822" s="38"/>
      <c r="C822" s="38" t="s">
        <v>1517</v>
      </c>
      <c r="D822" s="21" t="s">
        <v>1644</v>
      </c>
      <c r="E822" s="39" t="s">
        <v>4</v>
      </c>
      <c r="F822" s="39" t="s">
        <v>36</v>
      </c>
      <c r="G822" s="39" t="s">
        <v>57</v>
      </c>
      <c r="H822" s="38"/>
      <c r="I822" s="38"/>
      <c r="J822" s="39" t="s">
        <v>28</v>
      </c>
      <c r="K822" s="40">
        <v>1</v>
      </c>
      <c r="L822" s="56">
        <v>22</v>
      </c>
      <c r="M822" s="39" t="s">
        <v>29</v>
      </c>
      <c r="N822" s="39" t="s">
        <v>1441</v>
      </c>
      <c r="O822" s="41" t="s">
        <v>1518</v>
      </c>
    </row>
    <row r="823" spans="1:15" ht="14.25" customHeight="1" x14ac:dyDescent="0.3">
      <c r="A823" s="34" t="s">
        <v>1437</v>
      </c>
      <c r="B823" s="38"/>
      <c r="C823" s="38" t="s">
        <v>1519</v>
      </c>
      <c r="D823" s="21" t="s">
        <v>1645</v>
      </c>
      <c r="E823" s="39" t="s">
        <v>4</v>
      </c>
      <c r="F823" s="39" t="s">
        <v>36</v>
      </c>
      <c r="G823" s="39" t="s">
        <v>57</v>
      </c>
      <c r="H823" s="38"/>
      <c r="I823" s="38"/>
      <c r="J823" s="39" t="s">
        <v>28</v>
      </c>
      <c r="K823" s="40">
        <v>1</v>
      </c>
      <c r="L823" s="56">
        <v>40</v>
      </c>
      <c r="M823" s="39" t="s">
        <v>29</v>
      </c>
      <c r="N823" s="39" t="s">
        <v>1520</v>
      </c>
      <c r="O823" s="41" t="s">
        <v>1521</v>
      </c>
    </row>
    <row r="824" spans="1:15" ht="14.25" customHeight="1" x14ac:dyDescent="0.3">
      <c r="A824" s="34" t="s">
        <v>1437</v>
      </c>
      <c r="B824" s="38"/>
      <c r="C824" s="38" t="s">
        <v>1522</v>
      </c>
      <c r="D824" s="21" t="s">
        <v>1646</v>
      </c>
      <c r="E824" s="39" t="s">
        <v>4</v>
      </c>
      <c r="F824" s="39" t="s">
        <v>36</v>
      </c>
      <c r="G824" s="39" t="s">
        <v>57</v>
      </c>
      <c r="H824" s="38"/>
      <c r="I824" s="38"/>
      <c r="J824" s="39" t="s">
        <v>28</v>
      </c>
      <c r="K824" s="40">
        <v>1</v>
      </c>
      <c r="L824" s="56">
        <v>40</v>
      </c>
      <c r="M824" s="39" t="s">
        <v>29</v>
      </c>
      <c r="N824" s="39" t="s">
        <v>1520</v>
      </c>
      <c r="O824" s="41" t="s">
        <v>1523</v>
      </c>
    </row>
    <row r="825" spans="1:15" ht="14.25" customHeight="1" x14ac:dyDescent="0.3">
      <c r="A825" s="34" t="s">
        <v>1437</v>
      </c>
      <c r="B825" s="38"/>
      <c r="C825" s="38" t="s">
        <v>1524</v>
      </c>
      <c r="D825" s="21" t="s">
        <v>1647</v>
      </c>
      <c r="E825" s="39" t="s">
        <v>4</v>
      </c>
      <c r="F825" s="39" t="s">
        <v>36</v>
      </c>
      <c r="G825" s="39" t="s">
        <v>57</v>
      </c>
      <c r="H825" s="38"/>
      <c r="I825" s="38"/>
      <c r="J825" s="39" t="s">
        <v>28</v>
      </c>
      <c r="K825" s="40">
        <v>1</v>
      </c>
      <c r="L825" s="56">
        <v>43</v>
      </c>
      <c r="M825" s="39" t="s">
        <v>29</v>
      </c>
      <c r="N825" s="39" t="s">
        <v>1520</v>
      </c>
      <c r="O825" s="41" t="s">
        <v>1525</v>
      </c>
    </row>
    <row r="826" spans="1:15" ht="14.25" customHeight="1" x14ac:dyDescent="0.3">
      <c r="A826" s="34" t="s">
        <v>1437</v>
      </c>
      <c r="B826" s="38"/>
      <c r="C826" s="38" t="s">
        <v>1526</v>
      </c>
      <c r="D826" s="21" t="s">
        <v>1648</v>
      </c>
      <c r="E826" s="39" t="s">
        <v>4</v>
      </c>
      <c r="F826" s="39" t="s">
        <v>36</v>
      </c>
      <c r="G826" s="39" t="s">
        <v>57</v>
      </c>
      <c r="H826" s="38"/>
      <c r="I826" s="38"/>
      <c r="J826" s="39" t="s">
        <v>28</v>
      </c>
      <c r="K826" s="40">
        <v>1</v>
      </c>
      <c r="L826" s="56">
        <v>40</v>
      </c>
      <c r="M826" s="39" t="s">
        <v>29</v>
      </c>
      <c r="N826" s="39" t="s">
        <v>1520</v>
      </c>
      <c r="O826" s="41" t="s">
        <v>1527</v>
      </c>
    </row>
    <row r="827" spans="1:15" ht="14.25" customHeight="1" x14ac:dyDescent="0.3">
      <c r="A827" s="34" t="s">
        <v>1437</v>
      </c>
      <c r="B827" s="38"/>
      <c r="C827" s="38" t="s">
        <v>1528</v>
      </c>
      <c r="D827" s="21" t="s">
        <v>1649</v>
      </c>
      <c r="E827" s="39" t="s">
        <v>4</v>
      </c>
      <c r="F827" s="39" t="s">
        <v>36</v>
      </c>
      <c r="G827" s="39" t="s">
        <v>57</v>
      </c>
      <c r="H827" s="38"/>
      <c r="I827" s="38"/>
      <c r="J827" s="39" t="s">
        <v>28</v>
      </c>
      <c r="K827" s="40">
        <v>1</v>
      </c>
      <c r="L827" s="56">
        <v>12</v>
      </c>
      <c r="M827" s="39" t="s">
        <v>29</v>
      </c>
      <c r="N827" s="39" t="s">
        <v>1441</v>
      </c>
      <c r="O827" s="41" t="s">
        <v>1529</v>
      </c>
    </row>
    <row r="828" spans="1:15" ht="14.25" customHeight="1" x14ac:dyDescent="0.3">
      <c r="A828" s="34" t="s">
        <v>1437</v>
      </c>
      <c r="B828" s="38"/>
      <c r="C828" s="38" t="s">
        <v>1530</v>
      </c>
      <c r="D828" s="21" t="s">
        <v>1650</v>
      </c>
      <c r="E828" s="39" t="s">
        <v>4</v>
      </c>
      <c r="F828" s="39" t="s">
        <v>36</v>
      </c>
      <c r="G828" s="39" t="s">
        <v>57</v>
      </c>
      <c r="H828" s="38"/>
      <c r="I828" s="38"/>
      <c r="J828" s="39" t="s">
        <v>28</v>
      </c>
      <c r="K828" s="40">
        <v>1</v>
      </c>
      <c r="L828" s="56">
        <v>14</v>
      </c>
      <c r="M828" s="39" t="s">
        <v>29</v>
      </c>
      <c r="N828" s="39" t="s">
        <v>1441</v>
      </c>
      <c r="O828" s="41" t="s">
        <v>1531</v>
      </c>
    </row>
    <row r="829" spans="1:15" ht="14.25" customHeight="1" x14ac:dyDescent="0.3">
      <c r="A829" s="34" t="s">
        <v>1437</v>
      </c>
      <c r="B829" s="38"/>
      <c r="C829" s="38" t="s">
        <v>1532</v>
      </c>
      <c r="D829" s="21" t="s">
        <v>1651</v>
      </c>
      <c r="E829" s="39" t="s">
        <v>4</v>
      </c>
      <c r="F829" s="39" t="s">
        <v>36</v>
      </c>
      <c r="G829" s="39" t="s">
        <v>57</v>
      </c>
      <c r="H829" s="38"/>
      <c r="I829" s="38"/>
      <c r="J829" s="39" t="s">
        <v>28</v>
      </c>
      <c r="K829" s="40">
        <v>1</v>
      </c>
      <c r="L829" s="56">
        <v>7</v>
      </c>
      <c r="M829" s="39" t="s">
        <v>29</v>
      </c>
      <c r="N829" s="39" t="s">
        <v>1441</v>
      </c>
      <c r="O829" s="41" t="s">
        <v>1533</v>
      </c>
    </row>
    <row r="830" spans="1:15" ht="14.25" customHeight="1" x14ac:dyDescent="0.3">
      <c r="A830" s="34" t="s">
        <v>1437</v>
      </c>
      <c r="B830" s="38"/>
      <c r="C830" s="38" t="s">
        <v>1534</v>
      </c>
      <c r="D830" s="21" t="s">
        <v>1652</v>
      </c>
      <c r="E830" s="39" t="s">
        <v>4</v>
      </c>
      <c r="F830" s="39" t="s">
        <v>36</v>
      </c>
      <c r="G830" s="39" t="s">
        <v>57</v>
      </c>
      <c r="H830" s="38"/>
      <c r="I830" s="38"/>
      <c r="J830" s="39" t="s">
        <v>449</v>
      </c>
      <c r="K830" s="40">
        <v>2</v>
      </c>
      <c r="L830" s="56"/>
      <c r="M830" s="39" t="s">
        <v>29</v>
      </c>
      <c r="N830" s="39" t="s">
        <v>1439</v>
      </c>
      <c r="O830" s="41" t="s">
        <v>1535</v>
      </c>
    </row>
    <row r="831" spans="1:15" ht="14.25" customHeight="1" x14ac:dyDescent="0.3">
      <c r="A831" s="34" t="s">
        <v>1437</v>
      </c>
      <c r="B831" s="38"/>
      <c r="C831" s="38" t="s">
        <v>1536</v>
      </c>
      <c r="D831" s="21" t="s">
        <v>1653</v>
      </c>
      <c r="E831" s="39" t="s">
        <v>4</v>
      </c>
      <c r="F831" s="39" t="s">
        <v>36</v>
      </c>
      <c r="G831" s="39" t="s">
        <v>57</v>
      </c>
      <c r="H831" s="38"/>
      <c r="I831" s="38"/>
      <c r="J831" s="39" t="s">
        <v>449</v>
      </c>
      <c r="K831" s="40">
        <v>2</v>
      </c>
      <c r="L831" s="56"/>
      <c r="M831" s="39" t="s">
        <v>29</v>
      </c>
      <c r="N831" s="39" t="s">
        <v>1439</v>
      </c>
      <c r="O831" s="41" t="s">
        <v>1537</v>
      </c>
    </row>
    <row r="832" spans="1:15" ht="14.25" customHeight="1" x14ac:dyDescent="0.3">
      <c r="A832" s="34" t="s">
        <v>1437</v>
      </c>
      <c r="B832" s="38"/>
      <c r="C832" s="38" t="s">
        <v>1538</v>
      </c>
      <c r="D832" s="21" t="s">
        <v>1654</v>
      </c>
      <c r="E832" s="39" t="s">
        <v>4</v>
      </c>
      <c r="F832" s="39" t="s">
        <v>36</v>
      </c>
      <c r="G832" s="39" t="s">
        <v>57</v>
      </c>
      <c r="H832" s="38"/>
      <c r="I832" s="38"/>
      <c r="J832" s="39" t="s">
        <v>449</v>
      </c>
      <c r="K832" s="40">
        <v>2</v>
      </c>
      <c r="L832" s="56"/>
      <c r="M832" s="39" t="s">
        <v>29</v>
      </c>
      <c r="N832" s="39" t="s">
        <v>1439</v>
      </c>
      <c r="O832" s="41" t="s">
        <v>1539</v>
      </c>
    </row>
    <row r="833" spans="1:15" ht="14.25" customHeight="1" x14ac:dyDescent="0.3">
      <c r="A833" s="34" t="s">
        <v>1437</v>
      </c>
      <c r="B833" s="38"/>
      <c r="C833" s="38" t="s">
        <v>1540</v>
      </c>
      <c r="D833" s="21" t="s">
        <v>1655</v>
      </c>
      <c r="E833" s="39" t="s">
        <v>4</v>
      </c>
      <c r="F833" s="39" t="s">
        <v>36</v>
      </c>
      <c r="G833" s="39" t="s">
        <v>57</v>
      </c>
      <c r="H833" s="38"/>
      <c r="I833" s="38"/>
      <c r="J833" s="39" t="s">
        <v>449</v>
      </c>
      <c r="K833" s="40">
        <v>2</v>
      </c>
      <c r="L833" s="56"/>
      <c r="M833" s="39" t="s">
        <v>29</v>
      </c>
      <c r="N833" s="39" t="s">
        <v>1439</v>
      </c>
      <c r="O833" s="41" t="s">
        <v>1541</v>
      </c>
    </row>
    <row r="834" spans="1:15" ht="14.25" customHeight="1" x14ac:dyDescent="0.3">
      <c r="A834" s="34" t="s">
        <v>1437</v>
      </c>
      <c r="B834" s="38"/>
      <c r="C834" s="38" t="s">
        <v>1542</v>
      </c>
      <c r="D834" s="21" t="s">
        <v>1656</v>
      </c>
      <c r="E834" s="39" t="s">
        <v>4</v>
      </c>
      <c r="F834" s="39" t="s">
        <v>36</v>
      </c>
      <c r="G834" s="39" t="s">
        <v>57</v>
      </c>
      <c r="H834" s="38"/>
      <c r="I834" s="38"/>
      <c r="J834" s="39" t="s">
        <v>449</v>
      </c>
      <c r="K834" s="40">
        <v>2</v>
      </c>
      <c r="L834" s="56"/>
      <c r="M834" s="39" t="s">
        <v>29</v>
      </c>
      <c r="N834" s="39" t="s">
        <v>1439</v>
      </c>
      <c r="O834" s="41" t="s">
        <v>1543</v>
      </c>
    </row>
    <row r="835" spans="1:15" ht="14.25" customHeight="1" x14ac:dyDescent="0.3">
      <c r="A835" s="34" t="s">
        <v>1437</v>
      </c>
      <c r="B835" s="38"/>
      <c r="C835" s="38" t="s">
        <v>1544</v>
      </c>
      <c r="D835" s="21" t="s">
        <v>1657</v>
      </c>
      <c r="E835" s="39" t="s">
        <v>4</v>
      </c>
      <c r="F835" s="39" t="s">
        <v>36</v>
      </c>
      <c r="G835" s="39" t="s">
        <v>57</v>
      </c>
      <c r="H835" s="38"/>
      <c r="I835" s="38"/>
      <c r="J835" s="39" t="s">
        <v>449</v>
      </c>
      <c r="K835" s="40">
        <v>1</v>
      </c>
      <c r="L835" s="56">
        <v>54</v>
      </c>
      <c r="M835" s="39" t="s">
        <v>29</v>
      </c>
      <c r="N835" s="39" t="s">
        <v>1441</v>
      </c>
      <c r="O835" s="41" t="s">
        <v>1545</v>
      </c>
    </row>
    <row r="836" spans="1:15" ht="14.25" customHeight="1" x14ac:dyDescent="0.3">
      <c r="A836" s="34" t="s">
        <v>1437</v>
      </c>
      <c r="B836" s="38"/>
      <c r="C836" s="38" t="s">
        <v>1546</v>
      </c>
      <c r="D836" s="21" t="s">
        <v>1658</v>
      </c>
      <c r="E836" s="39" t="s">
        <v>4</v>
      </c>
      <c r="F836" s="39" t="s">
        <v>36</v>
      </c>
      <c r="G836" s="39" t="s">
        <v>57</v>
      </c>
      <c r="H836" s="38"/>
      <c r="I836" s="38"/>
      <c r="J836" s="39" t="s">
        <v>449</v>
      </c>
      <c r="K836" s="40">
        <v>1</v>
      </c>
      <c r="L836" s="56">
        <v>66</v>
      </c>
      <c r="M836" s="39" t="s">
        <v>29</v>
      </c>
      <c r="N836" s="39" t="s">
        <v>1441</v>
      </c>
      <c r="O836" s="41" t="s">
        <v>1547</v>
      </c>
    </row>
    <row r="837" spans="1:15" ht="14.25" customHeight="1" x14ac:dyDescent="0.3">
      <c r="D837" s="7"/>
      <c r="E837" s="7"/>
      <c r="F837" s="7"/>
      <c r="G837" s="7"/>
      <c r="J837" s="7"/>
      <c r="M837" s="7"/>
      <c r="N837" s="7"/>
    </row>
    <row r="838" spans="1:15" ht="14.25" customHeight="1" x14ac:dyDescent="0.3">
      <c r="D838" s="7"/>
      <c r="E838" s="7"/>
      <c r="F838" s="7"/>
      <c r="G838" s="7"/>
      <c r="J838" s="7"/>
      <c r="M838" s="7"/>
      <c r="N838" s="7"/>
    </row>
    <row r="839" spans="1:15" ht="14.25" customHeight="1" x14ac:dyDescent="0.3">
      <c r="D839" s="7"/>
      <c r="E839" s="7"/>
      <c r="F839" s="7"/>
      <c r="G839" s="7"/>
      <c r="J839" s="7"/>
      <c r="M839" s="7"/>
      <c r="N839" s="7"/>
    </row>
    <row r="840" spans="1:15" ht="14.25" customHeight="1" x14ac:dyDescent="0.3">
      <c r="D840" s="7"/>
      <c r="E840" s="7"/>
      <c r="F840" s="7"/>
      <c r="G840" s="7"/>
      <c r="J840" s="7"/>
      <c r="M840" s="7"/>
      <c r="N840" s="7"/>
    </row>
    <row r="841" spans="1:15" ht="14.25" customHeight="1" x14ac:dyDescent="0.3">
      <c r="D841" s="7"/>
      <c r="E841" s="7"/>
      <c r="F841" s="7"/>
      <c r="G841" s="7"/>
      <c r="J841" s="7"/>
      <c r="M841" s="7"/>
      <c r="N841" s="7"/>
    </row>
    <row r="842" spans="1:15" ht="14.25" customHeight="1" x14ac:dyDescent="0.3">
      <c r="D842" s="7"/>
      <c r="E842" s="7"/>
      <c r="F842" s="7"/>
      <c r="G842" s="7"/>
      <c r="J842" s="7"/>
      <c r="M842" s="7"/>
      <c r="N842" s="7"/>
    </row>
    <row r="843" spans="1:15" ht="14.25" customHeight="1" x14ac:dyDescent="0.3">
      <c r="D843" s="7"/>
      <c r="E843" s="7"/>
      <c r="F843" s="7"/>
      <c r="G843" s="7"/>
      <c r="J843" s="7"/>
      <c r="M843" s="7"/>
      <c r="N843" s="7"/>
    </row>
    <row r="844" spans="1:15" ht="14.25" customHeight="1" x14ac:dyDescent="0.3">
      <c r="D844" s="7"/>
      <c r="E844" s="7"/>
      <c r="F844" s="7"/>
      <c r="G844" s="7"/>
      <c r="J844" s="7"/>
      <c r="M844" s="7"/>
      <c r="N844" s="7"/>
    </row>
    <row r="845" spans="1:15" ht="14.25" customHeight="1" x14ac:dyDescent="0.3">
      <c r="D845" s="7"/>
      <c r="E845" s="7"/>
      <c r="F845" s="7"/>
      <c r="G845" s="7"/>
      <c r="J845" s="7"/>
      <c r="M845" s="7"/>
      <c r="N845" s="7"/>
    </row>
    <row r="846" spans="1:15" ht="14.25" customHeight="1" x14ac:dyDescent="0.3">
      <c r="D846" s="7"/>
      <c r="E846" s="7"/>
      <c r="F846" s="7"/>
      <c r="G846" s="7"/>
      <c r="J846" s="7"/>
      <c r="M846" s="7"/>
      <c r="N846" s="7"/>
    </row>
    <row r="847" spans="1:15" ht="14.25" customHeight="1" x14ac:dyDescent="0.3">
      <c r="D847" s="7"/>
      <c r="E847" s="7"/>
      <c r="F847" s="7"/>
      <c r="G847" s="7"/>
      <c r="J847" s="7"/>
      <c r="M847" s="7"/>
      <c r="N847" s="7"/>
    </row>
    <row r="848" spans="1:15" ht="14.25" customHeight="1" x14ac:dyDescent="0.3">
      <c r="D848" s="7"/>
      <c r="E848" s="7"/>
      <c r="F848" s="7"/>
      <c r="G848" s="7"/>
      <c r="J848" s="7"/>
      <c r="M848" s="7"/>
      <c r="N848" s="7"/>
    </row>
    <row r="849" spans="4:14" ht="14.25" customHeight="1" x14ac:dyDescent="0.3">
      <c r="D849" s="7"/>
      <c r="E849" s="7"/>
      <c r="F849" s="7"/>
      <c r="G849" s="7"/>
      <c r="J849" s="7"/>
      <c r="M849" s="7"/>
      <c r="N849" s="7"/>
    </row>
    <row r="850" spans="4:14" ht="14.25" customHeight="1" x14ac:dyDescent="0.3">
      <c r="D850" s="7"/>
      <c r="E850" s="7"/>
      <c r="F850" s="7"/>
      <c r="G850" s="7"/>
      <c r="J850" s="7"/>
      <c r="M850" s="7"/>
      <c r="N850" s="7"/>
    </row>
    <row r="851" spans="4:14" ht="14.25" customHeight="1" x14ac:dyDescent="0.3">
      <c r="D851" s="7"/>
      <c r="E851" s="7"/>
      <c r="F851" s="7"/>
      <c r="G851" s="7"/>
      <c r="J851" s="7"/>
      <c r="M851" s="7"/>
      <c r="N851" s="7"/>
    </row>
    <row r="852" spans="4:14" ht="14.25" customHeight="1" x14ac:dyDescent="0.3">
      <c r="D852" s="7"/>
      <c r="E852" s="7"/>
      <c r="F852" s="7"/>
      <c r="G852" s="7"/>
      <c r="J852" s="7"/>
      <c r="M852" s="7"/>
      <c r="N852" s="7"/>
    </row>
    <row r="853" spans="4:14" ht="14.25" customHeight="1" x14ac:dyDescent="0.3">
      <c r="D853" s="7"/>
      <c r="E853" s="7"/>
      <c r="F853" s="7"/>
      <c r="G853" s="7"/>
      <c r="J853" s="7"/>
      <c r="M853" s="7"/>
      <c r="N853" s="7"/>
    </row>
    <row r="854" spans="4:14" ht="14.25" customHeight="1" x14ac:dyDescent="0.3">
      <c r="D854" s="7"/>
      <c r="E854" s="7"/>
      <c r="F854" s="7"/>
      <c r="G854" s="7"/>
      <c r="J854" s="7"/>
      <c r="M854" s="7"/>
      <c r="N854" s="7"/>
    </row>
    <row r="855" spans="4:14" ht="14.25" customHeight="1" x14ac:dyDescent="0.3">
      <c r="D855" s="7"/>
      <c r="E855" s="7"/>
      <c r="F855" s="7"/>
      <c r="G855" s="7"/>
      <c r="J855" s="7"/>
      <c r="M855" s="7"/>
      <c r="N855" s="7"/>
    </row>
    <row r="856" spans="4:14" ht="14.25" customHeight="1" x14ac:dyDescent="0.3">
      <c r="D856" s="7"/>
      <c r="E856" s="7"/>
      <c r="F856" s="7"/>
      <c r="G856" s="7"/>
      <c r="J856" s="7"/>
      <c r="M856" s="7"/>
      <c r="N856" s="7"/>
    </row>
    <row r="857" spans="4:14" ht="14.25" customHeight="1" x14ac:dyDescent="0.3">
      <c r="D857" s="7"/>
      <c r="E857" s="7"/>
      <c r="F857" s="7"/>
      <c r="G857" s="7"/>
      <c r="J857" s="7"/>
      <c r="M857" s="7"/>
      <c r="N857" s="7"/>
    </row>
    <row r="858" spans="4:14" ht="14.25" customHeight="1" x14ac:dyDescent="0.3">
      <c r="D858" s="7"/>
      <c r="E858" s="7"/>
      <c r="F858" s="7"/>
      <c r="G858" s="7"/>
      <c r="J858" s="7"/>
      <c r="M858" s="7"/>
      <c r="N858" s="7"/>
    </row>
    <row r="859" spans="4:14" ht="14.25" customHeight="1" x14ac:dyDescent="0.3">
      <c r="D859" s="7"/>
      <c r="E859" s="7"/>
      <c r="F859" s="7"/>
      <c r="G859" s="7"/>
      <c r="J859" s="7"/>
      <c r="M859" s="7"/>
      <c r="N859" s="7"/>
    </row>
    <row r="860" spans="4:14" ht="14.25" customHeight="1" x14ac:dyDescent="0.3">
      <c r="D860" s="7"/>
      <c r="E860" s="7"/>
      <c r="F860" s="7"/>
      <c r="G860" s="7"/>
      <c r="J860" s="7"/>
      <c r="M860" s="7"/>
      <c r="N860" s="7"/>
    </row>
    <row r="861" spans="4:14" ht="14.25" customHeight="1" x14ac:dyDescent="0.3">
      <c r="D861" s="7"/>
      <c r="E861" s="7"/>
      <c r="F861" s="7"/>
      <c r="G861" s="7"/>
      <c r="J861" s="7"/>
      <c r="M861" s="7"/>
      <c r="N861" s="7"/>
    </row>
    <row r="862" spans="4:14" ht="14.25" customHeight="1" x14ac:dyDescent="0.3">
      <c r="D862" s="7"/>
      <c r="E862" s="7"/>
      <c r="F862" s="7"/>
      <c r="G862" s="7"/>
      <c r="J862" s="7"/>
      <c r="M862" s="7"/>
      <c r="N862" s="7"/>
    </row>
    <row r="863" spans="4:14" ht="14.25" customHeight="1" x14ac:dyDescent="0.3">
      <c r="D863" s="7"/>
      <c r="E863" s="7"/>
      <c r="F863" s="7"/>
      <c r="G863" s="7"/>
      <c r="J863" s="7"/>
      <c r="M863" s="7"/>
      <c r="N863" s="7"/>
    </row>
    <row r="864" spans="4:14" ht="14.25" customHeight="1" x14ac:dyDescent="0.3">
      <c r="D864" s="7"/>
      <c r="E864" s="7"/>
      <c r="F864" s="7"/>
      <c r="G864" s="7"/>
      <c r="J864" s="7"/>
      <c r="M864" s="7"/>
      <c r="N864" s="7"/>
    </row>
    <row r="865" spans="4:14" ht="14.25" customHeight="1" x14ac:dyDescent="0.3">
      <c r="D865" s="7"/>
      <c r="E865" s="7"/>
      <c r="F865" s="7"/>
      <c r="G865" s="7"/>
      <c r="J865" s="7"/>
      <c r="M865" s="7"/>
      <c r="N865" s="7"/>
    </row>
    <row r="866" spans="4:14" ht="14.25" customHeight="1" x14ac:dyDescent="0.3">
      <c r="D866" s="7"/>
      <c r="E866" s="7"/>
      <c r="F866" s="7"/>
      <c r="G866" s="7"/>
      <c r="J866" s="7"/>
      <c r="M866" s="7"/>
      <c r="N866" s="7"/>
    </row>
    <row r="867" spans="4:14" ht="14.25" customHeight="1" x14ac:dyDescent="0.3">
      <c r="D867" s="7"/>
      <c r="E867" s="7"/>
      <c r="F867" s="7"/>
      <c r="G867" s="7"/>
      <c r="J867" s="7"/>
      <c r="M867" s="7"/>
      <c r="N867" s="7"/>
    </row>
    <row r="868" spans="4:14" ht="14.25" customHeight="1" x14ac:dyDescent="0.3">
      <c r="D868" s="7"/>
      <c r="E868" s="7"/>
      <c r="F868" s="7"/>
      <c r="G868" s="7"/>
      <c r="J868" s="7"/>
      <c r="M868" s="7"/>
      <c r="N868" s="7"/>
    </row>
    <row r="869" spans="4:14" ht="14.25" customHeight="1" x14ac:dyDescent="0.3">
      <c r="D869" s="7"/>
      <c r="E869" s="7"/>
      <c r="F869" s="7"/>
      <c r="G869" s="7"/>
      <c r="J869" s="7"/>
      <c r="M869" s="7"/>
      <c r="N869" s="7"/>
    </row>
    <row r="870" spans="4:14" ht="14.25" customHeight="1" x14ac:dyDescent="0.3">
      <c r="D870" s="7"/>
      <c r="E870" s="7"/>
      <c r="F870" s="7"/>
      <c r="G870" s="7"/>
      <c r="J870" s="7"/>
      <c r="M870" s="7"/>
      <c r="N870" s="7"/>
    </row>
    <row r="871" spans="4:14" ht="14.25" customHeight="1" x14ac:dyDescent="0.3">
      <c r="D871" s="7"/>
      <c r="E871" s="7"/>
      <c r="F871" s="7"/>
      <c r="G871" s="7"/>
      <c r="J871" s="7"/>
      <c r="M871" s="7"/>
      <c r="N871" s="7"/>
    </row>
    <row r="872" spans="4:14" ht="14.25" customHeight="1" x14ac:dyDescent="0.3">
      <c r="D872" s="7"/>
      <c r="E872" s="7"/>
      <c r="F872" s="7"/>
      <c r="G872" s="7"/>
      <c r="J872" s="7"/>
      <c r="M872" s="7"/>
      <c r="N872" s="7"/>
    </row>
    <row r="873" spans="4:14" ht="14.25" customHeight="1" x14ac:dyDescent="0.3">
      <c r="D873" s="7"/>
      <c r="E873" s="7"/>
      <c r="F873" s="7"/>
      <c r="G873" s="7"/>
      <c r="J873" s="7"/>
      <c r="M873" s="7"/>
      <c r="N873" s="7"/>
    </row>
    <row r="874" spans="4:14" ht="14.25" customHeight="1" x14ac:dyDescent="0.3">
      <c r="D874" s="7"/>
      <c r="E874" s="7"/>
      <c r="F874" s="7"/>
      <c r="G874" s="7"/>
      <c r="J874" s="7"/>
      <c r="M874" s="7"/>
      <c r="N874" s="7"/>
    </row>
    <row r="875" spans="4:14" ht="14.25" customHeight="1" x14ac:dyDescent="0.3">
      <c r="D875" s="7"/>
      <c r="E875" s="7"/>
      <c r="F875" s="7"/>
      <c r="G875" s="7"/>
      <c r="J875" s="7"/>
      <c r="M875" s="7"/>
      <c r="N875" s="7"/>
    </row>
    <row r="876" spans="4:14" ht="14.25" customHeight="1" x14ac:dyDescent="0.3">
      <c r="D876" s="7"/>
      <c r="E876" s="7"/>
      <c r="F876" s="7"/>
      <c r="G876" s="7"/>
      <c r="J876" s="7"/>
      <c r="M876" s="7"/>
      <c r="N876" s="7"/>
    </row>
    <row r="877" spans="4:14" ht="14.25" customHeight="1" x14ac:dyDescent="0.3">
      <c r="D877" s="7"/>
      <c r="E877" s="7"/>
      <c r="F877" s="7"/>
      <c r="G877" s="7"/>
      <c r="J877" s="7"/>
      <c r="M877" s="7"/>
      <c r="N877" s="7"/>
    </row>
    <row r="878" spans="4:14" ht="14.25" customHeight="1" x14ac:dyDescent="0.3">
      <c r="D878" s="7"/>
      <c r="E878" s="7"/>
      <c r="F878" s="7"/>
      <c r="G878" s="7"/>
      <c r="J878" s="7"/>
      <c r="M878" s="7"/>
      <c r="N878" s="7"/>
    </row>
    <row r="879" spans="4:14" ht="14.25" customHeight="1" x14ac:dyDescent="0.3">
      <c r="D879" s="7"/>
      <c r="E879" s="7"/>
      <c r="F879" s="7"/>
      <c r="G879" s="7"/>
      <c r="J879" s="7"/>
      <c r="M879" s="7"/>
      <c r="N879" s="7"/>
    </row>
    <row r="880" spans="4:14" ht="14.25" customHeight="1" x14ac:dyDescent="0.3">
      <c r="D880" s="7"/>
      <c r="E880" s="7"/>
      <c r="F880" s="7"/>
      <c r="G880" s="7"/>
      <c r="J880" s="7"/>
      <c r="M880" s="7"/>
      <c r="N880" s="7"/>
    </row>
    <row r="881" spans="4:14" ht="14.25" customHeight="1" x14ac:dyDescent="0.3">
      <c r="D881" s="7"/>
      <c r="E881" s="7"/>
      <c r="F881" s="7"/>
      <c r="G881" s="7"/>
      <c r="J881" s="7"/>
      <c r="M881" s="7"/>
      <c r="N881" s="7"/>
    </row>
    <row r="882" spans="4:14" ht="14.25" customHeight="1" x14ac:dyDescent="0.3">
      <c r="D882" s="7"/>
      <c r="E882" s="7"/>
      <c r="F882" s="7"/>
      <c r="G882" s="7"/>
      <c r="J882" s="7"/>
      <c r="M882" s="7"/>
      <c r="N882" s="7"/>
    </row>
    <row r="883" spans="4:14" ht="14.25" customHeight="1" x14ac:dyDescent="0.3">
      <c r="D883" s="7"/>
      <c r="E883" s="7"/>
      <c r="F883" s="7"/>
      <c r="G883" s="7"/>
      <c r="J883" s="7"/>
      <c r="M883" s="7"/>
      <c r="N883" s="7"/>
    </row>
    <row r="884" spans="4:14" ht="14.25" customHeight="1" x14ac:dyDescent="0.3">
      <c r="D884" s="7"/>
      <c r="E884" s="7"/>
      <c r="F884" s="7"/>
      <c r="G884" s="7"/>
      <c r="J884" s="7"/>
      <c r="M884" s="7"/>
      <c r="N884" s="7"/>
    </row>
    <row r="885" spans="4:14" ht="14.25" customHeight="1" x14ac:dyDescent="0.3">
      <c r="D885" s="7"/>
      <c r="E885" s="7"/>
      <c r="F885" s="7"/>
      <c r="G885" s="7"/>
      <c r="J885" s="7"/>
      <c r="M885" s="7"/>
      <c r="N885" s="7"/>
    </row>
    <row r="886" spans="4:14" ht="14.25" customHeight="1" x14ac:dyDescent="0.3">
      <c r="D886" s="7"/>
      <c r="E886" s="7"/>
      <c r="F886" s="7"/>
      <c r="G886" s="7"/>
      <c r="J886" s="7"/>
      <c r="M886" s="7"/>
      <c r="N886" s="7"/>
    </row>
    <row r="887" spans="4:14" ht="14.25" customHeight="1" x14ac:dyDescent="0.3">
      <c r="D887" s="7"/>
      <c r="E887" s="7"/>
      <c r="F887" s="7"/>
      <c r="G887" s="7"/>
      <c r="J887" s="7"/>
      <c r="M887" s="7"/>
      <c r="N887" s="7"/>
    </row>
    <row r="888" spans="4:14" ht="14.25" customHeight="1" x14ac:dyDescent="0.3">
      <c r="D888" s="7"/>
      <c r="E888" s="7"/>
      <c r="F888" s="7"/>
      <c r="G888" s="7"/>
      <c r="J888" s="7"/>
      <c r="M888" s="7"/>
      <c r="N888" s="7"/>
    </row>
    <row r="889" spans="4:14" ht="14.25" customHeight="1" x14ac:dyDescent="0.3">
      <c r="D889" s="7"/>
      <c r="E889" s="7"/>
      <c r="F889" s="7"/>
      <c r="G889" s="7"/>
      <c r="J889" s="7"/>
      <c r="M889" s="7"/>
      <c r="N889" s="7"/>
    </row>
    <row r="890" spans="4:14" ht="14.25" customHeight="1" x14ac:dyDescent="0.3">
      <c r="D890" s="7"/>
      <c r="E890" s="7"/>
      <c r="F890" s="7"/>
      <c r="G890" s="7"/>
      <c r="J890" s="7"/>
      <c r="M890" s="7"/>
      <c r="N890" s="7"/>
    </row>
    <row r="891" spans="4:14" ht="14.25" customHeight="1" x14ac:dyDescent="0.3">
      <c r="D891" s="7"/>
      <c r="E891" s="7"/>
      <c r="F891" s="7"/>
      <c r="G891" s="7"/>
      <c r="J891" s="7"/>
      <c r="M891" s="7"/>
      <c r="N891" s="7"/>
    </row>
    <row r="892" spans="4:14" ht="14.25" customHeight="1" x14ac:dyDescent="0.3">
      <c r="D892" s="7"/>
      <c r="E892" s="7"/>
      <c r="F892" s="7"/>
      <c r="G892" s="7"/>
      <c r="J892" s="7"/>
      <c r="M892" s="7"/>
      <c r="N892" s="7"/>
    </row>
    <row r="893" spans="4:14" ht="14.25" customHeight="1" x14ac:dyDescent="0.3">
      <c r="D893" s="7"/>
      <c r="E893" s="7"/>
      <c r="F893" s="7"/>
      <c r="G893" s="7"/>
      <c r="J893" s="7"/>
      <c r="M893" s="7"/>
      <c r="N893" s="7"/>
    </row>
    <row r="894" spans="4:14" ht="14.25" customHeight="1" x14ac:dyDescent="0.3">
      <c r="D894" s="7"/>
      <c r="E894" s="7"/>
      <c r="F894" s="7"/>
      <c r="G894" s="7"/>
      <c r="J894" s="7"/>
      <c r="M894" s="7"/>
      <c r="N894" s="7"/>
    </row>
    <row r="895" spans="4:14" ht="14.25" customHeight="1" x14ac:dyDescent="0.3">
      <c r="D895" s="7"/>
      <c r="E895" s="7"/>
      <c r="F895" s="7"/>
      <c r="G895" s="7"/>
      <c r="J895" s="7"/>
      <c r="M895" s="7"/>
      <c r="N895" s="7"/>
    </row>
    <row r="896" spans="4:14" ht="14.25" customHeight="1" x14ac:dyDescent="0.3">
      <c r="D896" s="7"/>
      <c r="E896" s="7"/>
      <c r="F896" s="7"/>
      <c r="G896" s="7"/>
      <c r="J896" s="7"/>
      <c r="M896" s="7"/>
      <c r="N896" s="7"/>
    </row>
    <row r="897" spans="4:14" ht="14.25" customHeight="1" x14ac:dyDescent="0.3">
      <c r="D897" s="7"/>
      <c r="E897" s="7"/>
      <c r="F897" s="7"/>
      <c r="G897" s="7"/>
      <c r="J897" s="7"/>
      <c r="M897" s="7"/>
      <c r="N897" s="7"/>
    </row>
    <row r="898" spans="4:14" ht="14.25" customHeight="1" x14ac:dyDescent="0.3">
      <c r="D898" s="7"/>
      <c r="E898" s="7"/>
      <c r="F898" s="7"/>
      <c r="G898" s="7"/>
      <c r="J898" s="7"/>
      <c r="M898" s="7"/>
      <c r="N898" s="7"/>
    </row>
    <row r="899" spans="4:14" ht="14.25" customHeight="1" x14ac:dyDescent="0.3">
      <c r="D899" s="7"/>
      <c r="E899" s="7"/>
      <c r="F899" s="7"/>
      <c r="G899" s="7"/>
      <c r="J899" s="7"/>
      <c r="M899" s="7"/>
      <c r="N899" s="7"/>
    </row>
    <row r="900" spans="4:14" ht="14.25" customHeight="1" x14ac:dyDescent="0.3">
      <c r="D900" s="7"/>
      <c r="E900" s="7"/>
      <c r="F900" s="7"/>
      <c r="G900" s="7"/>
      <c r="J900" s="7"/>
      <c r="M900" s="7"/>
      <c r="N900" s="7"/>
    </row>
    <row r="901" spans="4:14" ht="14.25" customHeight="1" x14ac:dyDescent="0.3">
      <c r="D901" s="7"/>
      <c r="E901" s="7"/>
      <c r="F901" s="7"/>
      <c r="G901" s="7"/>
      <c r="J901" s="7"/>
      <c r="M901" s="7"/>
      <c r="N901" s="7"/>
    </row>
    <row r="902" spans="4:14" ht="14.25" customHeight="1" x14ac:dyDescent="0.3">
      <c r="D902" s="7"/>
      <c r="E902" s="7"/>
      <c r="F902" s="7"/>
      <c r="G902" s="7"/>
      <c r="J902" s="7"/>
      <c r="M902" s="7"/>
      <c r="N902" s="7"/>
    </row>
    <row r="903" spans="4:14" ht="14.25" customHeight="1" x14ac:dyDescent="0.3">
      <c r="D903" s="7"/>
      <c r="E903" s="7"/>
      <c r="F903" s="7"/>
      <c r="G903" s="7"/>
      <c r="J903" s="7"/>
      <c r="M903" s="7"/>
      <c r="N903" s="7"/>
    </row>
    <row r="904" spans="4:14" ht="14.25" customHeight="1" x14ac:dyDescent="0.3">
      <c r="D904" s="7"/>
      <c r="E904" s="7"/>
      <c r="F904" s="7"/>
      <c r="G904" s="7"/>
      <c r="J904" s="7"/>
      <c r="M904" s="7"/>
      <c r="N904" s="7"/>
    </row>
    <row r="905" spans="4:14" ht="14.25" customHeight="1" x14ac:dyDescent="0.3">
      <c r="D905" s="7"/>
      <c r="E905" s="7"/>
      <c r="F905" s="7"/>
      <c r="G905" s="7"/>
      <c r="J905" s="7"/>
      <c r="M905" s="7"/>
      <c r="N905" s="7"/>
    </row>
    <row r="906" spans="4:14" ht="14.25" customHeight="1" x14ac:dyDescent="0.3">
      <c r="D906" s="7"/>
      <c r="E906" s="7"/>
      <c r="F906" s="7"/>
      <c r="G906" s="7"/>
      <c r="J906" s="7"/>
      <c r="M906" s="7"/>
      <c r="N906" s="7"/>
    </row>
    <row r="907" spans="4:14" ht="14.25" customHeight="1" x14ac:dyDescent="0.3">
      <c r="D907" s="7"/>
      <c r="E907" s="7"/>
      <c r="F907" s="7"/>
      <c r="G907" s="7"/>
      <c r="J907" s="7"/>
      <c r="M907" s="7"/>
      <c r="N907" s="7"/>
    </row>
    <row r="908" spans="4:14" ht="14.25" customHeight="1" x14ac:dyDescent="0.3">
      <c r="D908" s="7"/>
      <c r="E908" s="7"/>
      <c r="F908" s="7"/>
      <c r="G908" s="7"/>
      <c r="J908" s="7"/>
      <c r="M908" s="7"/>
      <c r="N908" s="7"/>
    </row>
    <row r="909" spans="4:14" ht="14.25" customHeight="1" x14ac:dyDescent="0.3">
      <c r="D909" s="7"/>
      <c r="E909" s="7"/>
      <c r="F909" s="7"/>
      <c r="G909" s="7"/>
      <c r="J909" s="7"/>
      <c r="M909" s="7"/>
      <c r="N909" s="7"/>
    </row>
    <row r="910" spans="4:14" ht="14.25" customHeight="1" x14ac:dyDescent="0.3">
      <c r="D910" s="7"/>
      <c r="E910" s="7"/>
      <c r="F910" s="7"/>
      <c r="G910" s="7"/>
      <c r="J910" s="7"/>
      <c r="M910" s="7"/>
      <c r="N910" s="7"/>
    </row>
    <row r="911" spans="4:14" ht="14.25" customHeight="1" x14ac:dyDescent="0.3">
      <c r="D911" s="7"/>
      <c r="E911" s="7"/>
      <c r="F911" s="7"/>
      <c r="G911" s="7"/>
      <c r="J911" s="7"/>
      <c r="M911" s="7"/>
      <c r="N911" s="7"/>
    </row>
    <row r="912" spans="4:14" ht="14.25" customHeight="1" x14ac:dyDescent="0.3">
      <c r="D912" s="7"/>
      <c r="E912" s="7"/>
      <c r="F912" s="7"/>
      <c r="G912" s="7"/>
      <c r="J912" s="7"/>
      <c r="M912" s="7"/>
      <c r="N912" s="7"/>
    </row>
    <row r="913" spans="4:14" ht="14.25" customHeight="1" x14ac:dyDescent="0.3">
      <c r="D913" s="7"/>
      <c r="E913" s="7"/>
      <c r="F913" s="7"/>
      <c r="G913" s="7"/>
      <c r="J913" s="7"/>
      <c r="M913" s="7"/>
      <c r="N913" s="7"/>
    </row>
    <row r="914" spans="4:14" ht="14.25" customHeight="1" x14ac:dyDescent="0.3">
      <c r="D914" s="7"/>
      <c r="E914" s="7"/>
      <c r="F914" s="7"/>
      <c r="G914" s="7"/>
      <c r="J914" s="7"/>
      <c r="M914" s="7"/>
      <c r="N914" s="7"/>
    </row>
    <row r="915" spans="4:14" ht="14.25" customHeight="1" x14ac:dyDescent="0.3">
      <c r="D915" s="7"/>
      <c r="E915" s="7"/>
      <c r="F915" s="7"/>
      <c r="G915" s="7"/>
      <c r="J915" s="7"/>
      <c r="M915" s="7"/>
      <c r="N915" s="7"/>
    </row>
    <row r="916" spans="4:14" ht="14.25" customHeight="1" x14ac:dyDescent="0.3">
      <c r="D916" s="7"/>
      <c r="E916" s="7"/>
      <c r="F916" s="7"/>
      <c r="G916" s="7"/>
      <c r="J916" s="7"/>
      <c r="M916" s="7"/>
      <c r="N916" s="7"/>
    </row>
    <row r="917" spans="4:14" ht="14.25" customHeight="1" x14ac:dyDescent="0.3">
      <c r="D917" s="7"/>
      <c r="E917" s="7"/>
      <c r="F917" s="7"/>
      <c r="G917" s="7"/>
      <c r="J917" s="7"/>
      <c r="M917" s="7"/>
      <c r="N917" s="7"/>
    </row>
    <row r="918" spans="4:14" ht="14.25" customHeight="1" x14ac:dyDescent="0.3">
      <c r="D918" s="7"/>
      <c r="E918" s="7"/>
      <c r="F918" s="7"/>
      <c r="G918" s="7"/>
      <c r="J918" s="7"/>
      <c r="M918" s="7"/>
      <c r="N918" s="7"/>
    </row>
    <row r="919" spans="4:14" ht="14.25" customHeight="1" x14ac:dyDescent="0.3">
      <c r="D919" s="7"/>
      <c r="E919" s="7"/>
      <c r="F919" s="7"/>
      <c r="G919" s="7"/>
      <c r="J919" s="7"/>
      <c r="M919" s="7"/>
      <c r="N919" s="7"/>
    </row>
    <row r="920" spans="4:14" ht="14.25" customHeight="1" x14ac:dyDescent="0.3">
      <c r="D920" s="7"/>
      <c r="E920" s="7"/>
      <c r="F920" s="7"/>
      <c r="G920" s="7"/>
      <c r="J920" s="7"/>
      <c r="M920" s="7"/>
      <c r="N920" s="7"/>
    </row>
    <row r="921" spans="4:14" ht="14.25" customHeight="1" x14ac:dyDescent="0.3">
      <c r="D921" s="7"/>
      <c r="E921" s="7"/>
      <c r="F921" s="7"/>
      <c r="G921" s="7"/>
      <c r="J921" s="7"/>
      <c r="M921" s="7"/>
      <c r="N921" s="7"/>
    </row>
    <row r="922" spans="4:14" ht="14.25" customHeight="1" x14ac:dyDescent="0.3">
      <c r="D922" s="7"/>
      <c r="E922" s="7"/>
      <c r="F922" s="7"/>
      <c r="G922" s="7"/>
      <c r="J922" s="7"/>
      <c r="M922" s="7"/>
      <c r="N922" s="7"/>
    </row>
    <row r="923" spans="4:14" ht="14.25" customHeight="1" x14ac:dyDescent="0.3">
      <c r="D923" s="7"/>
      <c r="E923" s="7"/>
      <c r="F923" s="7"/>
      <c r="G923" s="7"/>
      <c r="J923" s="7"/>
      <c r="M923" s="7"/>
      <c r="N923" s="7"/>
    </row>
    <row r="924" spans="4:14" ht="14.25" customHeight="1" x14ac:dyDescent="0.3">
      <c r="D924" s="7"/>
      <c r="E924" s="7"/>
      <c r="F924" s="7"/>
      <c r="G924" s="7"/>
      <c r="J924" s="7"/>
      <c r="M924" s="7"/>
      <c r="N924" s="7"/>
    </row>
    <row r="925" spans="4:14" ht="14.25" customHeight="1" x14ac:dyDescent="0.3">
      <c r="D925" s="7"/>
      <c r="E925" s="7"/>
      <c r="F925" s="7"/>
      <c r="G925" s="7"/>
      <c r="J925" s="7"/>
      <c r="M925" s="7"/>
      <c r="N925" s="7"/>
    </row>
    <row r="926" spans="4:14" ht="14.25" customHeight="1" x14ac:dyDescent="0.3">
      <c r="D926" s="7"/>
      <c r="E926" s="7"/>
      <c r="F926" s="7"/>
      <c r="G926" s="7"/>
      <c r="J926" s="7"/>
      <c r="M926" s="7"/>
      <c r="N926" s="7"/>
    </row>
    <row r="927" spans="4:14" ht="14.25" customHeight="1" x14ac:dyDescent="0.3">
      <c r="D927" s="7"/>
      <c r="E927" s="7"/>
      <c r="F927" s="7"/>
      <c r="G927" s="7"/>
      <c r="J927" s="7"/>
      <c r="M927" s="7"/>
      <c r="N927" s="7"/>
    </row>
    <row r="928" spans="4:14" ht="14.25" customHeight="1" x14ac:dyDescent="0.3">
      <c r="D928" s="7"/>
      <c r="E928" s="7"/>
      <c r="F928" s="7"/>
      <c r="G928" s="7"/>
      <c r="J928" s="7"/>
      <c r="M928" s="7"/>
      <c r="N928" s="7"/>
    </row>
    <row r="929" spans="4:14" ht="14.25" customHeight="1" x14ac:dyDescent="0.3">
      <c r="D929" s="7"/>
      <c r="E929" s="7"/>
      <c r="F929" s="7"/>
      <c r="G929" s="7"/>
      <c r="J929" s="7"/>
      <c r="M929" s="7"/>
      <c r="N929" s="7"/>
    </row>
    <row r="930" spans="4:14" ht="14.25" customHeight="1" x14ac:dyDescent="0.3">
      <c r="D930" s="7"/>
      <c r="E930" s="7"/>
      <c r="F930" s="7"/>
      <c r="G930" s="7"/>
      <c r="J930" s="7"/>
      <c r="M930" s="7"/>
      <c r="N930" s="7"/>
    </row>
    <row r="931" spans="4:14" ht="14.25" customHeight="1" x14ac:dyDescent="0.3">
      <c r="D931" s="7"/>
      <c r="E931" s="7"/>
      <c r="F931" s="7"/>
      <c r="G931" s="7"/>
      <c r="J931" s="7"/>
      <c r="M931" s="7"/>
      <c r="N931" s="7"/>
    </row>
    <row r="932" spans="4:14" ht="14.25" customHeight="1" x14ac:dyDescent="0.3">
      <c r="D932" s="7"/>
      <c r="E932" s="7"/>
      <c r="F932" s="7"/>
      <c r="G932" s="7"/>
      <c r="J932" s="7"/>
      <c r="M932" s="7"/>
      <c r="N932" s="7"/>
    </row>
    <row r="933" spans="4:14" ht="14.25" customHeight="1" x14ac:dyDescent="0.3">
      <c r="D933" s="7"/>
      <c r="E933" s="7"/>
      <c r="F933" s="7"/>
      <c r="G933" s="7"/>
      <c r="J933" s="7"/>
      <c r="M933" s="7"/>
      <c r="N933" s="7"/>
    </row>
    <row r="934" spans="4:14" ht="14.25" customHeight="1" x14ac:dyDescent="0.3">
      <c r="D934" s="7"/>
      <c r="E934" s="7"/>
      <c r="F934" s="7"/>
      <c r="G934" s="7"/>
      <c r="J934" s="7"/>
      <c r="M934" s="7"/>
      <c r="N934" s="7"/>
    </row>
    <row r="935" spans="4:14" ht="14.25" customHeight="1" x14ac:dyDescent="0.3">
      <c r="D935" s="7"/>
      <c r="E935" s="7"/>
      <c r="F935" s="7"/>
      <c r="G935" s="7"/>
      <c r="J935" s="7"/>
      <c r="M935" s="7"/>
      <c r="N935" s="7"/>
    </row>
    <row r="936" spans="4:14" ht="14.25" customHeight="1" x14ac:dyDescent="0.3">
      <c r="D936" s="7"/>
      <c r="E936" s="7"/>
      <c r="F936" s="7"/>
      <c r="G936" s="7"/>
      <c r="J936" s="7"/>
      <c r="M936" s="7"/>
      <c r="N936" s="7"/>
    </row>
    <row r="937" spans="4:14" ht="14.25" customHeight="1" x14ac:dyDescent="0.3">
      <c r="D937" s="7"/>
      <c r="E937" s="7"/>
      <c r="F937" s="7"/>
      <c r="G937" s="7"/>
      <c r="J937" s="7"/>
      <c r="M937" s="7"/>
      <c r="N937" s="7"/>
    </row>
    <row r="938" spans="4:14" ht="14.25" customHeight="1" x14ac:dyDescent="0.3">
      <c r="D938" s="7"/>
      <c r="E938" s="7"/>
      <c r="F938" s="7"/>
      <c r="G938" s="7"/>
      <c r="J938" s="7"/>
      <c r="M938" s="7"/>
      <c r="N938" s="7"/>
    </row>
    <row r="939" spans="4:14" ht="14.25" customHeight="1" x14ac:dyDescent="0.3">
      <c r="D939" s="7"/>
      <c r="E939" s="7"/>
      <c r="F939" s="7"/>
      <c r="G939" s="7"/>
      <c r="J939" s="7"/>
      <c r="M939" s="7"/>
      <c r="N939" s="7"/>
    </row>
    <row r="940" spans="4:14" ht="14.25" customHeight="1" x14ac:dyDescent="0.3">
      <c r="D940" s="7"/>
      <c r="E940" s="7"/>
      <c r="F940" s="7"/>
      <c r="G940" s="7"/>
      <c r="J940" s="7"/>
      <c r="M940" s="7"/>
      <c r="N940" s="7"/>
    </row>
  </sheetData>
  <autoFilter ref="A2:O725" xr:uid="{00000000-0001-0000-0000-000000000000}"/>
  <phoneticPr fontId="13" type="noConversion"/>
  <conditionalFormatting sqref="O837:O1048576 O536:O626 O522:O532 O514:O519 O1:O507 O628:O725">
    <cfRule type="duplicateValues" dxfId="9" priority="17"/>
  </conditionalFormatting>
  <conditionalFormatting sqref="O774">
    <cfRule type="duplicateValues" dxfId="8" priority="9"/>
  </conditionalFormatting>
  <conditionalFormatting sqref="O775">
    <cfRule type="duplicateValues" dxfId="7" priority="8"/>
  </conditionalFormatting>
  <conditionalFormatting sqref="O776">
    <cfRule type="duplicateValues" dxfId="6" priority="7"/>
  </conditionalFormatting>
  <conditionalFormatting sqref="O777">
    <cfRule type="duplicateValues" dxfId="5" priority="6"/>
  </conditionalFormatting>
  <conditionalFormatting sqref="O778">
    <cfRule type="duplicateValues" dxfId="4" priority="5"/>
  </conditionalFormatting>
  <conditionalFormatting sqref="O779">
    <cfRule type="duplicateValues" dxfId="3" priority="4"/>
  </conditionalFormatting>
  <conditionalFormatting sqref="O780">
    <cfRule type="duplicateValues" dxfId="2" priority="3"/>
  </conditionalFormatting>
  <conditionalFormatting sqref="O781">
    <cfRule type="duplicateValues" dxfId="1" priority="2"/>
  </conditionalFormatting>
  <conditionalFormatting sqref="O782">
    <cfRule type="duplicateValues" dxfId="0" priority="1"/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xr:uid="{00000000-0002-0000-0000-000003000000}">
          <x14:formula1>
            <xm:f>Area!$B$3:$B$7</xm:f>
          </x14:formula1>
          <xm:sqref>E3:E725 E837:E940</xm:sqref>
        </x14:dataValidation>
        <x14:dataValidation type="list" allowBlank="1" showErrorMessage="1" xr:uid="{00000000-0002-0000-0000-000005000000}">
          <x14:formula1>
            <xm:f>Categoria!$B$3:$B$8</xm:f>
          </x14:formula1>
          <xm:sqref>F3:F725 F837:F940</xm:sqref>
        </x14:dataValidation>
        <x14:dataValidation type="list" allowBlank="1" showErrorMessage="1" xr:uid="{00000000-0002-0000-0000-000000000000}">
          <x14:formula1>
            <xm:f>'Und Med'!$B$4:$B$20</xm:f>
          </x14:formula1>
          <xm:sqref>J3:J725 J837:J940</xm:sqref>
        </x14:dataValidation>
        <x14:dataValidation type="list" allowBlank="1" showErrorMessage="1" xr:uid="{00000000-0002-0000-0000-000001000000}">
          <x14:formula1>
            <xm:f>Moneda!$A$4:$A$5</xm:f>
          </x14:formula1>
          <xm:sqref>M837:M940 M3:M725</xm:sqref>
        </x14:dataValidation>
        <x14:dataValidation type="list" allowBlank="1" showErrorMessage="1" xr:uid="{00000000-0002-0000-0000-000002000000}">
          <x14:formula1>
            <xm:f>Planta!$A$3</xm:f>
          </x14:formula1>
          <xm:sqref>D3:D940</xm:sqref>
        </x14:dataValidation>
        <x14:dataValidation type="list" allowBlank="1" showErrorMessage="1" xr:uid="{00000000-0002-0000-0000-000006000000}">
          <x14:formula1>
            <xm:f>Clasificación!$B$4:$B$91</xm:f>
          </x14:formula1>
          <xm:sqref>G3:G725 G837:G940</xm:sqref>
        </x14:dataValidation>
        <x14:dataValidation type="list" allowBlank="1" showErrorMessage="1" xr:uid="{00000000-0002-0000-0000-000004000000}">
          <x14:formula1>
            <xm:f>Fabricante!$A$4:$A$48</xm:f>
          </x14:formula1>
          <xm:sqref>O6 N837:N940 N3:N725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10" sqref="C10"/>
    </sheetView>
  </sheetViews>
  <sheetFormatPr baseColWidth="10" defaultColWidth="12.6640625" defaultRowHeight="15" customHeight="1" x14ac:dyDescent="0.3"/>
  <cols>
    <col min="1" max="1" width="9.21875" customWidth="1"/>
    <col min="2" max="2" width="26.5546875" customWidth="1"/>
    <col min="3" max="26" width="8.88671875" customWidth="1"/>
  </cols>
  <sheetData>
    <row r="1" spans="1:2" ht="14.25" customHeight="1" x14ac:dyDescent="0.3">
      <c r="A1" s="9" t="s">
        <v>388</v>
      </c>
    </row>
    <row r="2" spans="1:2" ht="14.25" customHeight="1" x14ac:dyDescent="0.3">
      <c r="A2" s="9" t="s">
        <v>389</v>
      </c>
      <c r="B2" s="9" t="s">
        <v>390</v>
      </c>
    </row>
    <row r="3" spans="1:2" ht="14.25" customHeight="1" x14ac:dyDescent="0.3">
      <c r="A3" s="9" t="s">
        <v>20</v>
      </c>
      <c r="B3" s="10" t="s">
        <v>1660</v>
      </c>
    </row>
    <row r="4" spans="1:2" ht="14.25" customHeight="1" x14ac:dyDescent="0.3">
      <c r="A4" s="10" t="s">
        <v>63</v>
      </c>
      <c r="B4" s="10" t="s">
        <v>1659</v>
      </c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2.6640625" defaultRowHeight="15" customHeight="1" x14ac:dyDescent="0.3"/>
  <cols>
    <col min="1" max="1" width="8.88671875" customWidth="1"/>
    <col min="2" max="2" width="16.21875" customWidth="1"/>
    <col min="3" max="26" width="8.88671875" customWidth="1"/>
  </cols>
  <sheetData>
    <row r="1" spans="1:2" ht="14.25" customHeight="1" x14ac:dyDescent="0.3">
      <c r="A1" s="9" t="s">
        <v>391</v>
      </c>
    </row>
    <row r="2" spans="1:2" ht="14.25" customHeight="1" x14ac:dyDescent="0.3">
      <c r="A2" s="9" t="s">
        <v>389</v>
      </c>
      <c r="B2" s="9" t="s">
        <v>390</v>
      </c>
    </row>
    <row r="3" spans="1:2" ht="14.25" customHeight="1" x14ac:dyDescent="0.3">
      <c r="A3" s="9" t="s">
        <v>392</v>
      </c>
      <c r="B3" s="9" t="s">
        <v>21</v>
      </c>
    </row>
    <row r="4" spans="1:2" ht="14.25" customHeight="1" x14ac:dyDescent="0.3">
      <c r="A4" s="9" t="s">
        <v>393</v>
      </c>
      <c r="B4" s="9" t="s">
        <v>394</v>
      </c>
    </row>
    <row r="5" spans="1:2" ht="14.25" customHeight="1" x14ac:dyDescent="0.3">
      <c r="A5" s="9" t="s">
        <v>395</v>
      </c>
      <c r="B5" s="9" t="s">
        <v>4</v>
      </c>
    </row>
    <row r="6" spans="1:2" ht="14.25" customHeight="1" x14ac:dyDescent="0.3">
      <c r="A6" s="9" t="s">
        <v>396</v>
      </c>
      <c r="B6" s="9" t="s">
        <v>51</v>
      </c>
    </row>
    <row r="7" spans="1:2" ht="14.25" customHeight="1" x14ac:dyDescent="0.3">
      <c r="A7" s="9" t="s">
        <v>397</v>
      </c>
      <c r="B7" s="9" t="s">
        <v>398</v>
      </c>
    </row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2.6640625" defaultRowHeight="15" customHeight="1" x14ac:dyDescent="0.3"/>
  <cols>
    <col min="1" max="1" width="8.88671875" customWidth="1"/>
    <col min="2" max="2" width="16.21875" customWidth="1"/>
    <col min="3" max="26" width="8.88671875" customWidth="1"/>
  </cols>
  <sheetData>
    <row r="1" spans="1:3" ht="14.25" customHeight="1" x14ac:dyDescent="0.3">
      <c r="A1" s="9" t="s">
        <v>399</v>
      </c>
    </row>
    <row r="2" spans="1:3" ht="14.25" customHeight="1" x14ac:dyDescent="0.3">
      <c r="A2" s="9" t="s">
        <v>389</v>
      </c>
      <c r="B2" s="9" t="s">
        <v>390</v>
      </c>
    </row>
    <row r="3" spans="1:3" ht="14.25" customHeight="1" x14ac:dyDescent="0.3">
      <c r="A3" s="9" t="s">
        <v>400</v>
      </c>
      <c r="B3" s="9" t="s">
        <v>36</v>
      </c>
    </row>
    <row r="4" spans="1:3" ht="14.25" customHeight="1" x14ac:dyDescent="0.3">
      <c r="A4" s="9" t="s">
        <v>401</v>
      </c>
      <c r="B4" s="9" t="s">
        <v>26</v>
      </c>
    </row>
    <row r="5" spans="1:3" ht="14.25" customHeight="1" x14ac:dyDescent="0.3">
      <c r="A5" s="9" t="s">
        <v>402</v>
      </c>
      <c r="B5" s="9" t="s">
        <v>22</v>
      </c>
    </row>
    <row r="6" spans="1:3" ht="14.25" customHeight="1" x14ac:dyDescent="0.3">
      <c r="A6" s="9" t="s">
        <v>403</v>
      </c>
      <c r="B6" s="9" t="s">
        <v>404</v>
      </c>
      <c r="C6" s="9" t="s">
        <v>405</v>
      </c>
    </row>
    <row r="7" spans="1:3" ht="14.25" customHeight="1" x14ac:dyDescent="0.3">
      <c r="A7" s="9" t="s">
        <v>406</v>
      </c>
      <c r="B7" s="9" t="s">
        <v>407</v>
      </c>
      <c r="C7" s="9" t="s">
        <v>408</v>
      </c>
    </row>
    <row r="8" spans="1:3" ht="14.25" customHeight="1" x14ac:dyDescent="0.3">
      <c r="A8" s="9" t="s">
        <v>409</v>
      </c>
      <c r="B8" s="9" t="s">
        <v>40</v>
      </c>
    </row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64"/>
  <sheetViews>
    <sheetView workbookViewId="0">
      <selection activeCell="A75" sqref="A75"/>
    </sheetView>
  </sheetViews>
  <sheetFormatPr baseColWidth="10" defaultColWidth="12.6640625" defaultRowHeight="15" customHeight="1" x14ac:dyDescent="0.3"/>
  <cols>
    <col min="1" max="1" width="8.88671875" customWidth="1"/>
    <col min="2" max="2" width="16.21875" customWidth="1"/>
    <col min="3" max="26" width="8.88671875" customWidth="1"/>
  </cols>
  <sheetData>
    <row r="1" spans="1:4" ht="14.25" customHeight="1" x14ac:dyDescent="0.3">
      <c r="A1" s="9" t="s">
        <v>410</v>
      </c>
    </row>
    <row r="2" spans="1:4" ht="14.25" customHeight="1" x14ac:dyDescent="0.3">
      <c r="A2" s="9" t="s">
        <v>389</v>
      </c>
      <c r="B2" s="9" t="s">
        <v>390</v>
      </c>
    </row>
    <row r="3" spans="1:4" ht="14.25" customHeight="1" x14ac:dyDescent="0.3">
      <c r="A3" s="10" t="s">
        <v>439</v>
      </c>
      <c r="B3" s="10" t="s">
        <v>45</v>
      </c>
    </row>
    <row r="4" spans="1:4" ht="14.25" customHeight="1" x14ac:dyDescent="0.3">
      <c r="A4" s="9" t="s">
        <v>437</v>
      </c>
      <c r="B4" s="9" t="s">
        <v>438</v>
      </c>
    </row>
    <row r="5" spans="1:4" ht="14.25" customHeight="1" x14ac:dyDescent="0.3">
      <c r="A5" s="16" t="s">
        <v>494</v>
      </c>
      <c r="B5" s="16" t="s">
        <v>495</v>
      </c>
    </row>
    <row r="6" spans="1:4" ht="14.25" customHeight="1" x14ac:dyDescent="0.3">
      <c r="A6" s="16" t="s">
        <v>507</v>
      </c>
      <c r="B6" s="16" t="s">
        <v>506</v>
      </c>
    </row>
    <row r="7" spans="1:4" s="24" customFormat="1" ht="14.25" customHeight="1" x14ac:dyDescent="0.3">
      <c r="A7" s="47" t="s">
        <v>1665</v>
      </c>
      <c r="B7" s="45" t="s">
        <v>524</v>
      </c>
      <c r="D7" s="45" t="s">
        <v>550</v>
      </c>
    </row>
    <row r="8" spans="1:4" s="24" customFormat="1" ht="14.25" customHeight="1" x14ac:dyDescent="0.3">
      <c r="A8" s="47" t="s">
        <v>1666</v>
      </c>
      <c r="B8" s="45" t="s">
        <v>614</v>
      </c>
      <c r="D8" s="45" t="s">
        <v>615</v>
      </c>
    </row>
    <row r="9" spans="1:4" s="24" customFormat="1" ht="14.25" customHeight="1" x14ac:dyDescent="0.3">
      <c r="A9" s="47" t="s">
        <v>1667</v>
      </c>
      <c r="B9" s="45" t="s">
        <v>533</v>
      </c>
      <c r="D9" s="45" t="s">
        <v>549</v>
      </c>
    </row>
    <row r="10" spans="1:4" s="24" customFormat="1" ht="14.25" customHeight="1" x14ac:dyDescent="0.3">
      <c r="A10" s="47" t="s">
        <v>1668</v>
      </c>
      <c r="B10" s="45" t="s">
        <v>547</v>
      </c>
      <c r="D10" s="45" t="s">
        <v>548</v>
      </c>
    </row>
    <row r="11" spans="1:4" ht="14.25" customHeight="1" x14ac:dyDescent="0.3">
      <c r="A11" s="9" t="s">
        <v>420</v>
      </c>
      <c r="B11" s="16" t="s">
        <v>563</v>
      </c>
    </row>
    <row r="12" spans="1:4" s="24" customFormat="1" ht="14.25" customHeight="1" x14ac:dyDescent="0.3">
      <c r="A12" s="47" t="s">
        <v>1669</v>
      </c>
      <c r="B12" s="45" t="s">
        <v>561</v>
      </c>
      <c r="D12" s="45" t="s">
        <v>562</v>
      </c>
    </row>
    <row r="13" spans="1:4" ht="14.25" customHeight="1" x14ac:dyDescent="0.3">
      <c r="A13" s="16" t="s">
        <v>571</v>
      </c>
      <c r="B13" s="16" t="s">
        <v>572</v>
      </c>
    </row>
    <row r="14" spans="1:4" ht="14.25" customHeight="1" x14ac:dyDescent="0.3">
      <c r="A14" s="9" t="s">
        <v>416</v>
      </c>
      <c r="B14" s="9" t="s">
        <v>62</v>
      </c>
    </row>
    <row r="15" spans="1:4" ht="14.25" customHeight="1" x14ac:dyDescent="0.3">
      <c r="A15" s="10" t="s">
        <v>416</v>
      </c>
      <c r="B15" s="10" t="s">
        <v>62</v>
      </c>
    </row>
    <row r="16" spans="1:4" ht="14.25" customHeight="1" x14ac:dyDescent="0.3">
      <c r="A16" s="16" t="s">
        <v>610</v>
      </c>
      <c r="B16" s="16" t="s">
        <v>611</v>
      </c>
    </row>
    <row r="17" spans="1:4" ht="14.25" customHeight="1" x14ac:dyDescent="0.3">
      <c r="A17" s="16" t="s">
        <v>625</v>
      </c>
      <c r="B17" s="16" t="s">
        <v>626</v>
      </c>
    </row>
    <row r="18" spans="1:4" ht="14.25" customHeight="1" x14ac:dyDescent="0.3">
      <c r="A18" s="16" t="s">
        <v>629</v>
      </c>
      <c r="B18" s="16" t="s">
        <v>628</v>
      </c>
    </row>
    <row r="19" spans="1:4" s="24" customFormat="1" ht="14.25" customHeight="1" x14ac:dyDescent="0.3">
      <c r="A19" s="47" t="s">
        <v>1670</v>
      </c>
      <c r="B19" s="45" t="s">
        <v>631</v>
      </c>
      <c r="D19" s="45" t="s">
        <v>632</v>
      </c>
    </row>
    <row r="20" spans="1:4" ht="14.25" customHeight="1" x14ac:dyDescent="0.3">
      <c r="A20" s="16" t="s">
        <v>639</v>
      </c>
      <c r="B20" s="16" t="s">
        <v>640</v>
      </c>
    </row>
    <row r="21" spans="1:4" ht="14.25" customHeight="1" x14ac:dyDescent="0.3">
      <c r="A21" s="9" t="s">
        <v>414</v>
      </c>
      <c r="B21" s="9" t="s">
        <v>34</v>
      </c>
    </row>
    <row r="22" spans="1:4" s="24" customFormat="1" ht="14.25" customHeight="1" x14ac:dyDescent="0.3">
      <c r="A22" s="47" t="s">
        <v>1671</v>
      </c>
      <c r="B22" s="45" t="s">
        <v>701</v>
      </c>
      <c r="D22" s="45" t="s">
        <v>702</v>
      </c>
    </row>
    <row r="23" spans="1:4" s="24" customFormat="1" ht="14.25" customHeight="1" x14ac:dyDescent="0.3">
      <c r="A23" s="47" t="s">
        <v>1672</v>
      </c>
      <c r="B23" s="45" t="s">
        <v>705</v>
      </c>
      <c r="D23" s="45" t="s">
        <v>706</v>
      </c>
    </row>
    <row r="24" spans="1:4" s="24" customFormat="1" ht="14.25" customHeight="1" x14ac:dyDescent="0.3">
      <c r="A24" s="47" t="s">
        <v>1673</v>
      </c>
      <c r="B24" s="45" t="s">
        <v>710</v>
      </c>
      <c r="D24" s="45" t="s">
        <v>711</v>
      </c>
    </row>
    <row r="25" spans="1:4" s="24" customFormat="1" ht="14.25" customHeight="1" x14ac:dyDescent="0.3">
      <c r="A25" s="47" t="s">
        <v>1674</v>
      </c>
      <c r="B25" s="45" t="s">
        <v>732</v>
      </c>
      <c r="D25" s="45" t="s">
        <v>733</v>
      </c>
    </row>
    <row r="26" spans="1:4" s="24" customFormat="1" ht="14.25" customHeight="1" x14ac:dyDescent="0.3">
      <c r="A26" s="47" t="s">
        <v>1675</v>
      </c>
      <c r="B26" s="45" t="s">
        <v>713</v>
      </c>
      <c r="D26" s="45" t="s">
        <v>712</v>
      </c>
    </row>
    <row r="27" spans="1:4" s="24" customFormat="1" ht="14.25" customHeight="1" x14ac:dyDescent="0.3">
      <c r="A27" s="47" t="s">
        <v>1676</v>
      </c>
      <c r="B27" s="45" t="s">
        <v>726</v>
      </c>
      <c r="D27" s="45" t="s">
        <v>727</v>
      </c>
    </row>
    <row r="28" spans="1:4" s="24" customFormat="1" ht="14.25" customHeight="1" x14ac:dyDescent="0.3">
      <c r="A28" s="47" t="s">
        <v>1677</v>
      </c>
      <c r="B28" s="45" t="s">
        <v>729</v>
      </c>
      <c r="D28" s="45" t="s">
        <v>728</v>
      </c>
    </row>
    <row r="29" spans="1:4" ht="14.25" customHeight="1" x14ac:dyDescent="0.3">
      <c r="A29" s="16" t="s">
        <v>700</v>
      </c>
      <c r="B29" s="16" t="s">
        <v>699</v>
      </c>
    </row>
    <row r="30" spans="1:4" ht="14.25" customHeight="1" x14ac:dyDescent="0.3">
      <c r="A30" s="16" t="s">
        <v>738</v>
      </c>
      <c r="B30" s="16" t="s">
        <v>739</v>
      </c>
    </row>
    <row r="31" spans="1:4" ht="14.25" customHeight="1" x14ac:dyDescent="0.3">
      <c r="A31" s="16" t="s">
        <v>743</v>
      </c>
      <c r="B31" s="16" t="s">
        <v>742</v>
      </c>
    </row>
    <row r="32" spans="1:4" ht="14.25" customHeight="1" x14ac:dyDescent="0.3">
      <c r="A32" s="16" t="s">
        <v>747</v>
      </c>
      <c r="B32" s="16" t="s">
        <v>746</v>
      </c>
    </row>
    <row r="33" spans="1:4" ht="14.25" customHeight="1" x14ac:dyDescent="0.3">
      <c r="A33" s="9" t="s">
        <v>422</v>
      </c>
      <c r="B33" s="9" t="s">
        <v>423</v>
      </c>
    </row>
    <row r="34" spans="1:4" s="24" customFormat="1" ht="14.25" customHeight="1" x14ac:dyDescent="0.3">
      <c r="A34" s="47" t="s">
        <v>1678</v>
      </c>
      <c r="B34" s="45" t="s">
        <v>752</v>
      </c>
      <c r="D34" s="45" t="s">
        <v>753</v>
      </c>
    </row>
    <row r="35" spans="1:4" ht="14.25" customHeight="1" x14ac:dyDescent="0.3">
      <c r="A35" s="16" t="s">
        <v>756</v>
      </c>
      <c r="B35" s="16" t="s">
        <v>755</v>
      </c>
    </row>
    <row r="36" spans="1:4" ht="14.25" customHeight="1" x14ac:dyDescent="0.3">
      <c r="A36" s="16" t="s">
        <v>759</v>
      </c>
      <c r="B36" s="16" t="s">
        <v>760</v>
      </c>
    </row>
    <row r="37" spans="1:4" ht="14.25" customHeight="1" x14ac:dyDescent="0.3">
      <c r="A37" s="16" t="s">
        <v>764</v>
      </c>
      <c r="B37" s="16" t="s">
        <v>765</v>
      </c>
    </row>
    <row r="38" spans="1:4" ht="14.25" customHeight="1" x14ac:dyDescent="0.3">
      <c r="A38" s="9" t="s">
        <v>432</v>
      </c>
      <c r="B38" s="9" t="s">
        <v>433</v>
      </c>
    </row>
    <row r="39" spans="1:4" ht="14.25" customHeight="1" x14ac:dyDescent="0.3">
      <c r="A39" s="10" t="s">
        <v>432</v>
      </c>
      <c r="B39" s="10" t="s">
        <v>433</v>
      </c>
    </row>
    <row r="40" spans="1:4" ht="14.25" customHeight="1" x14ac:dyDescent="0.3">
      <c r="A40" s="16" t="s">
        <v>774</v>
      </c>
      <c r="B40" s="16" t="s">
        <v>769</v>
      </c>
    </row>
    <row r="41" spans="1:4" ht="14.25" customHeight="1" x14ac:dyDescent="0.3">
      <c r="A41" s="16" t="s">
        <v>773</v>
      </c>
      <c r="B41" s="16" t="s">
        <v>772</v>
      </c>
    </row>
    <row r="42" spans="1:4" ht="14.25" customHeight="1" x14ac:dyDescent="0.3">
      <c r="A42" s="9" t="s">
        <v>426</v>
      </c>
      <c r="B42" s="9" t="s">
        <v>37</v>
      </c>
    </row>
    <row r="43" spans="1:4" ht="14.25" customHeight="1" x14ac:dyDescent="0.3">
      <c r="A43" s="16" t="s">
        <v>806</v>
      </c>
      <c r="B43" s="16" t="s">
        <v>805</v>
      </c>
    </row>
    <row r="44" spans="1:4" s="24" customFormat="1" ht="14.25" customHeight="1" x14ac:dyDescent="0.3">
      <c r="A44" s="47" t="s">
        <v>428</v>
      </c>
      <c r="B44" s="45" t="s">
        <v>811</v>
      </c>
      <c r="D44" s="45" t="s">
        <v>812</v>
      </c>
    </row>
    <row r="45" spans="1:4" ht="14.25" customHeight="1" x14ac:dyDescent="0.3">
      <c r="A45" s="16" t="s">
        <v>816</v>
      </c>
      <c r="B45" s="16" t="s">
        <v>817</v>
      </c>
    </row>
    <row r="46" spans="1:4" ht="14.25" customHeight="1" x14ac:dyDescent="0.3">
      <c r="A46" s="16" t="s">
        <v>820</v>
      </c>
      <c r="B46" s="16" t="s">
        <v>819</v>
      </c>
    </row>
    <row r="47" spans="1:4" ht="14.25" customHeight="1" x14ac:dyDescent="0.3">
      <c r="A47" s="16" t="s">
        <v>821</v>
      </c>
      <c r="B47" s="16" t="s">
        <v>822</v>
      </c>
    </row>
    <row r="48" spans="1:4" ht="14.25" customHeight="1" x14ac:dyDescent="0.3">
      <c r="A48" s="9" t="s">
        <v>411</v>
      </c>
      <c r="B48" s="9" t="s">
        <v>27</v>
      </c>
    </row>
    <row r="49" spans="1:4" ht="14.25" customHeight="1" x14ac:dyDescent="0.3">
      <c r="A49" s="10" t="s">
        <v>413</v>
      </c>
      <c r="B49" s="10" t="s">
        <v>1662</v>
      </c>
    </row>
    <row r="50" spans="1:4" ht="14.25" customHeight="1" x14ac:dyDescent="0.3">
      <c r="A50" s="16" t="s">
        <v>942</v>
      </c>
      <c r="B50" s="16" t="s">
        <v>941</v>
      </c>
    </row>
    <row r="51" spans="1:4" s="24" customFormat="1" ht="14.25" customHeight="1" x14ac:dyDescent="0.3">
      <c r="A51" s="47" t="s">
        <v>1679</v>
      </c>
      <c r="B51" s="45" t="s">
        <v>971</v>
      </c>
      <c r="D51" s="45" t="s">
        <v>970</v>
      </c>
    </row>
    <row r="52" spans="1:4" ht="14.25" customHeight="1" x14ac:dyDescent="0.3">
      <c r="A52" s="16" t="s">
        <v>976</v>
      </c>
      <c r="B52" s="16" t="s">
        <v>975</v>
      </c>
    </row>
    <row r="53" spans="1:4" ht="14.25" customHeight="1" x14ac:dyDescent="0.3">
      <c r="A53" s="9" t="s">
        <v>419</v>
      </c>
      <c r="B53" s="16" t="s">
        <v>984</v>
      </c>
    </row>
    <row r="54" spans="1:4" ht="14.25" customHeight="1" x14ac:dyDescent="0.3">
      <c r="A54" s="16" t="s">
        <v>999</v>
      </c>
      <c r="B54" s="16" t="s">
        <v>998</v>
      </c>
    </row>
    <row r="55" spans="1:4" s="24" customFormat="1" ht="14.25" customHeight="1" x14ac:dyDescent="0.3">
      <c r="A55" s="47" t="s">
        <v>1680</v>
      </c>
      <c r="B55" s="45" t="s">
        <v>1003</v>
      </c>
      <c r="D55" s="45" t="s">
        <v>1004</v>
      </c>
    </row>
    <row r="56" spans="1:4" s="24" customFormat="1" ht="14.25" customHeight="1" x14ac:dyDescent="0.3">
      <c r="A56" s="47" t="s">
        <v>1681</v>
      </c>
      <c r="B56" s="45" t="s">
        <v>1010</v>
      </c>
      <c r="D56" s="45" t="s">
        <v>1009</v>
      </c>
    </row>
    <row r="57" spans="1:4" ht="14.25" customHeight="1" x14ac:dyDescent="0.3">
      <c r="A57" s="16" t="s">
        <v>1016</v>
      </c>
      <c r="B57" s="16" t="s">
        <v>1015</v>
      </c>
    </row>
    <row r="58" spans="1:4" ht="14.25" customHeight="1" x14ac:dyDescent="0.3">
      <c r="A58" s="16" t="s">
        <v>1024</v>
      </c>
      <c r="B58" s="16" t="s">
        <v>1023</v>
      </c>
    </row>
    <row r="59" spans="1:4" ht="14.25" customHeight="1" x14ac:dyDescent="0.3">
      <c r="A59" s="16" t="s">
        <v>1282</v>
      </c>
      <c r="B59" s="16" t="s">
        <v>1281</v>
      </c>
    </row>
    <row r="60" spans="1:4" ht="14.25" customHeight="1" x14ac:dyDescent="0.3">
      <c r="A60" s="16" t="s">
        <v>1027</v>
      </c>
      <c r="B60" s="16" t="s">
        <v>1026</v>
      </c>
    </row>
    <row r="61" spans="1:4" ht="14.25" customHeight="1" x14ac:dyDescent="0.3">
      <c r="A61" s="16" t="s">
        <v>785</v>
      </c>
      <c r="B61" s="16" t="s">
        <v>784</v>
      </c>
    </row>
    <row r="62" spans="1:4" ht="14.25" customHeight="1" x14ac:dyDescent="0.3">
      <c r="A62" s="16" t="s">
        <v>1039</v>
      </c>
      <c r="B62" s="16" t="s">
        <v>1038</v>
      </c>
    </row>
    <row r="63" spans="1:4" ht="14.25" customHeight="1" x14ac:dyDescent="0.3">
      <c r="A63" s="16" t="s">
        <v>1042</v>
      </c>
      <c r="B63" s="16" t="s">
        <v>1046</v>
      </c>
    </row>
    <row r="64" spans="1:4" ht="14.25" customHeight="1" x14ac:dyDescent="0.3">
      <c r="A64" s="16" t="s">
        <v>1049</v>
      </c>
      <c r="B64" s="16" t="s">
        <v>1048</v>
      </c>
    </row>
    <row r="65" spans="1:4" ht="14.25" customHeight="1" x14ac:dyDescent="0.3">
      <c r="A65" s="16" t="s">
        <v>1079</v>
      </c>
      <c r="B65" s="16" t="s">
        <v>1078</v>
      </c>
    </row>
    <row r="66" spans="1:4" ht="14.25" customHeight="1" x14ac:dyDescent="0.3">
      <c r="A66" s="16" t="s">
        <v>1074</v>
      </c>
      <c r="B66" s="16" t="s">
        <v>1073</v>
      </c>
    </row>
    <row r="67" spans="1:4" ht="14.25" customHeight="1" x14ac:dyDescent="0.3">
      <c r="A67" s="10" t="s">
        <v>412</v>
      </c>
      <c r="B67" s="10" t="s">
        <v>1661</v>
      </c>
    </row>
    <row r="68" spans="1:4" ht="14.25" customHeight="1" x14ac:dyDescent="0.3">
      <c r="A68" s="16" t="s">
        <v>1109</v>
      </c>
      <c r="B68" s="16" t="s">
        <v>1108</v>
      </c>
    </row>
    <row r="69" spans="1:4" ht="14.25" customHeight="1" x14ac:dyDescent="0.3">
      <c r="A69" s="9" t="s">
        <v>436</v>
      </c>
      <c r="B69" s="9" t="s">
        <v>43</v>
      </c>
    </row>
    <row r="70" spans="1:4" ht="14.25" customHeight="1" x14ac:dyDescent="0.3">
      <c r="A70" s="10" t="s">
        <v>1664</v>
      </c>
      <c r="B70" s="16" t="s">
        <v>1135</v>
      </c>
    </row>
    <row r="71" spans="1:4" ht="14.25" customHeight="1" x14ac:dyDescent="0.3">
      <c r="A71" s="16" t="s">
        <v>1157</v>
      </c>
      <c r="B71" s="16" t="s">
        <v>1156</v>
      </c>
    </row>
    <row r="72" spans="1:4" ht="14.25" customHeight="1" x14ac:dyDescent="0.3">
      <c r="A72" s="16" t="s">
        <v>1162</v>
      </c>
      <c r="B72" s="16" t="s">
        <v>1161</v>
      </c>
    </row>
    <row r="73" spans="1:4" ht="14.25" customHeight="1" x14ac:dyDescent="0.3">
      <c r="A73" s="10" t="s">
        <v>415</v>
      </c>
      <c r="B73" s="10" t="s">
        <v>1663</v>
      </c>
    </row>
    <row r="74" spans="1:4" ht="14.25" customHeight="1" x14ac:dyDescent="0.3">
      <c r="A74" s="16" t="s">
        <v>1173</v>
      </c>
      <c r="B74" s="16" t="s">
        <v>1172</v>
      </c>
    </row>
    <row r="75" spans="1:4" s="24" customFormat="1" ht="14.25" customHeight="1" x14ac:dyDescent="0.3">
      <c r="A75" s="46" t="s">
        <v>424</v>
      </c>
      <c r="B75" s="46" t="s">
        <v>425</v>
      </c>
      <c r="D75" s="46" t="s">
        <v>424</v>
      </c>
    </row>
    <row r="76" spans="1:4" s="24" customFormat="1" ht="14.25" customHeight="1" x14ac:dyDescent="0.3">
      <c r="A76" s="45" t="s">
        <v>424</v>
      </c>
      <c r="B76" s="45" t="s">
        <v>782</v>
      </c>
      <c r="D76" s="45" t="s">
        <v>424</v>
      </c>
    </row>
    <row r="77" spans="1:4" s="24" customFormat="1" ht="14.25" customHeight="1" x14ac:dyDescent="0.3">
      <c r="A77" s="47" t="s">
        <v>424</v>
      </c>
      <c r="B77" s="47" t="s">
        <v>425</v>
      </c>
      <c r="D77" s="47" t="s">
        <v>424</v>
      </c>
    </row>
    <row r="78" spans="1:4" s="24" customFormat="1" ht="14.25" customHeight="1" x14ac:dyDescent="0.3">
      <c r="A78" s="45" t="s">
        <v>1193</v>
      </c>
      <c r="B78" s="45" t="s">
        <v>1192</v>
      </c>
      <c r="D78" s="45" t="s">
        <v>1193</v>
      </c>
    </row>
    <row r="79" spans="1:4" ht="14.25" customHeight="1" x14ac:dyDescent="0.3">
      <c r="A79" s="16" t="s">
        <v>1190</v>
      </c>
      <c r="B79" s="16" t="s">
        <v>1191</v>
      </c>
    </row>
    <row r="80" spans="1:4" ht="14.25" customHeight="1" x14ac:dyDescent="0.3">
      <c r="A80" s="9" t="s">
        <v>429</v>
      </c>
      <c r="B80" s="9" t="s">
        <v>57</v>
      </c>
    </row>
    <row r="81" spans="1:2" ht="14.25" customHeight="1" x14ac:dyDescent="0.3">
      <c r="A81" s="9" t="s">
        <v>430</v>
      </c>
      <c r="B81" s="9" t="s">
        <v>431</v>
      </c>
    </row>
    <row r="82" spans="1:2" ht="14.25" customHeight="1" x14ac:dyDescent="0.3">
      <c r="A82" s="9" t="s">
        <v>427</v>
      </c>
      <c r="B82" s="9" t="s">
        <v>41</v>
      </c>
    </row>
    <row r="83" spans="1:2" ht="14.25" customHeight="1" x14ac:dyDescent="0.3">
      <c r="A83" s="16" t="s">
        <v>1105</v>
      </c>
      <c r="B83" s="16" t="s">
        <v>1104</v>
      </c>
    </row>
    <row r="84" spans="1:2" ht="14.25" customHeight="1" x14ac:dyDescent="0.3">
      <c r="A84" s="16" t="s">
        <v>1216</v>
      </c>
      <c r="B84" s="16" t="s">
        <v>1215</v>
      </c>
    </row>
    <row r="85" spans="1:2" ht="14.25" customHeight="1" x14ac:dyDescent="0.3">
      <c r="A85" s="9" t="s">
        <v>417</v>
      </c>
      <c r="B85" s="9" t="s">
        <v>418</v>
      </c>
    </row>
    <row r="86" spans="1:2" ht="14.25" customHeight="1" x14ac:dyDescent="0.3">
      <c r="A86" s="16" t="s">
        <v>421</v>
      </c>
      <c r="B86" s="16" t="s">
        <v>1219</v>
      </c>
    </row>
    <row r="87" spans="1:2" ht="14.25" customHeight="1" x14ac:dyDescent="0.3">
      <c r="A87" s="9" t="s">
        <v>434</v>
      </c>
      <c r="B87" s="9" t="s">
        <v>435</v>
      </c>
    </row>
    <row r="88" spans="1:2" ht="14.25" customHeight="1" x14ac:dyDescent="0.3">
      <c r="A88" s="16" t="s">
        <v>1227</v>
      </c>
      <c r="B88" s="16" t="s">
        <v>1226</v>
      </c>
    </row>
    <row r="89" spans="1:2" ht="14.25" customHeight="1" x14ac:dyDescent="0.3">
      <c r="A89" s="16"/>
      <c r="B89" s="16"/>
    </row>
    <row r="90" spans="1:2" ht="14.25" customHeight="1" x14ac:dyDescent="0.3">
      <c r="A90" s="16"/>
      <c r="B90" s="16"/>
    </row>
    <row r="91" spans="1:2" ht="14.25" customHeight="1" x14ac:dyDescent="0.3">
      <c r="A91" s="16"/>
      <c r="B91" s="16"/>
    </row>
    <row r="92" spans="1:2" ht="14.25" customHeight="1" x14ac:dyDescent="0.3"/>
    <row r="93" spans="1:2" ht="14.25" customHeight="1" x14ac:dyDescent="0.3"/>
    <row r="94" spans="1:2" ht="14.25" customHeight="1" x14ac:dyDescent="0.3"/>
    <row r="95" spans="1:2" ht="14.25" customHeight="1" x14ac:dyDescent="0.3"/>
    <row r="96" spans="1: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</sheetData>
  <sortState xmlns:xlrd2="http://schemas.microsoft.com/office/spreadsheetml/2017/richdata2" ref="A1:B1064">
    <sortCondition ref="A1:A1064"/>
  </sortState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baseColWidth="10" defaultColWidth="12.6640625" defaultRowHeight="15" customHeight="1" x14ac:dyDescent="0.3"/>
  <cols>
    <col min="1" max="1" width="6.33203125" customWidth="1"/>
    <col min="2" max="2" width="8" customWidth="1"/>
    <col min="3" max="26" width="8.88671875" customWidth="1"/>
  </cols>
  <sheetData>
    <row r="1" spans="1:4" ht="14.25" customHeight="1" x14ac:dyDescent="0.3">
      <c r="A1" s="10" t="s">
        <v>399</v>
      </c>
      <c r="B1" s="10"/>
      <c r="C1" s="10"/>
      <c r="D1" s="10"/>
    </row>
    <row r="2" spans="1:4" ht="14.25" customHeight="1" x14ac:dyDescent="0.3">
      <c r="A2" s="10"/>
      <c r="B2" s="10"/>
      <c r="C2" s="10"/>
      <c r="D2" s="10"/>
    </row>
    <row r="3" spans="1:4" ht="14.25" customHeight="1" x14ac:dyDescent="0.3">
      <c r="A3" s="10" t="s">
        <v>389</v>
      </c>
      <c r="B3" s="10" t="s">
        <v>390</v>
      </c>
      <c r="C3" s="10"/>
      <c r="D3" s="10"/>
    </row>
    <row r="4" spans="1:4" ht="14.25" customHeight="1" x14ac:dyDescent="0.3">
      <c r="A4" s="10" t="s">
        <v>440</v>
      </c>
      <c r="B4" s="10" t="s">
        <v>441</v>
      </c>
      <c r="C4" s="10"/>
      <c r="D4" s="10"/>
    </row>
    <row r="5" spans="1:4" ht="14.25" customHeight="1" x14ac:dyDescent="0.3">
      <c r="A5" s="10" t="s">
        <v>442</v>
      </c>
      <c r="B5" s="10" t="s">
        <v>443</v>
      </c>
      <c r="C5" s="10"/>
      <c r="D5" s="10"/>
    </row>
    <row r="6" spans="1:4" ht="14.25" customHeight="1" x14ac:dyDescent="0.3">
      <c r="A6" s="10" t="s">
        <v>444</v>
      </c>
      <c r="B6" s="10" t="s">
        <v>445</v>
      </c>
      <c r="C6" s="10"/>
      <c r="D6" s="10"/>
    </row>
    <row r="7" spans="1:4" ht="14.25" customHeight="1" x14ac:dyDescent="0.3">
      <c r="A7" s="10" t="s">
        <v>446</v>
      </c>
      <c r="B7" s="10" t="s">
        <v>447</v>
      </c>
      <c r="C7" s="10"/>
      <c r="D7" s="10"/>
    </row>
    <row r="8" spans="1:4" ht="14.25" customHeight="1" x14ac:dyDescent="0.3">
      <c r="A8" s="10" t="s">
        <v>448</v>
      </c>
      <c r="B8" s="10" t="s">
        <v>449</v>
      </c>
      <c r="C8" s="10"/>
      <c r="D8" s="10"/>
    </row>
    <row r="9" spans="1:4" ht="14.25" customHeight="1" x14ac:dyDescent="0.3">
      <c r="A9" s="10" t="s">
        <v>450</v>
      </c>
      <c r="B9" s="10" t="s">
        <v>451</v>
      </c>
      <c r="C9" s="10"/>
      <c r="D9" s="10"/>
    </row>
    <row r="10" spans="1:4" ht="14.25" customHeight="1" x14ac:dyDescent="0.3">
      <c r="A10" s="10" t="s">
        <v>452</v>
      </c>
      <c r="B10" s="10" t="s">
        <v>453</v>
      </c>
      <c r="C10" s="10"/>
      <c r="D10" s="10"/>
    </row>
    <row r="11" spans="1:4" ht="14.25" customHeight="1" x14ac:dyDescent="0.3">
      <c r="A11" s="10" t="s">
        <v>454</v>
      </c>
      <c r="B11" s="10" t="s">
        <v>455</v>
      </c>
      <c r="C11" s="10"/>
      <c r="D11" s="10"/>
    </row>
    <row r="12" spans="1:4" ht="14.25" customHeight="1" x14ac:dyDescent="0.3">
      <c r="A12" s="10" t="s">
        <v>456</v>
      </c>
      <c r="B12" s="10" t="s">
        <v>457</v>
      </c>
      <c r="C12" s="10"/>
      <c r="D12" s="10"/>
    </row>
    <row r="13" spans="1:4" ht="14.25" customHeight="1" x14ac:dyDescent="0.3">
      <c r="A13" s="10" t="s">
        <v>458</v>
      </c>
      <c r="B13" s="10" t="s">
        <v>459</v>
      </c>
      <c r="C13" s="10"/>
      <c r="D13" s="10"/>
    </row>
    <row r="14" spans="1:4" ht="14.25" customHeight="1" x14ac:dyDescent="0.3">
      <c r="A14" s="10" t="s">
        <v>460</v>
      </c>
      <c r="B14" s="10" t="s">
        <v>461</v>
      </c>
      <c r="C14" s="10"/>
      <c r="D14" s="10"/>
    </row>
    <row r="15" spans="1:4" ht="14.25" customHeight="1" x14ac:dyDescent="0.3">
      <c r="A15" s="10" t="s">
        <v>462</v>
      </c>
      <c r="B15" s="10" t="s">
        <v>28</v>
      </c>
      <c r="C15" s="10"/>
      <c r="D15" s="10"/>
    </row>
    <row r="16" spans="1:4" ht="14.25" customHeight="1" x14ac:dyDescent="0.3">
      <c r="A16" s="10" t="s">
        <v>463</v>
      </c>
      <c r="B16" s="10" t="s">
        <v>464</v>
      </c>
      <c r="C16" s="10"/>
      <c r="D16" s="10"/>
    </row>
    <row r="17" spans="1:4" ht="14.25" customHeight="1" x14ac:dyDescent="0.3">
      <c r="A17" s="11" t="s">
        <v>465</v>
      </c>
      <c r="B17" s="11" t="s">
        <v>465</v>
      </c>
      <c r="C17" s="10"/>
      <c r="D17" s="10"/>
    </row>
    <row r="18" spans="1:4" ht="14.25" customHeight="1" x14ac:dyDescent="0.3">
      <c r="A18" s="11" t="s">
        <v>466</v>
      </c>
      <c r="B18" s="11" t="s">
        <v>466</v>
      </c>
      <c r="C18" s="10"/>
      <c r="D18" s="10"/>
    </row>
    <row r="19" spans="1:4" ht="14.25" customHeight="1" x14ac:dyDescent="0.3">
      <c r="A19" s="11" t="s">
        <v>52</v>
      </c>
      <c r="B19" s="11" t="s">
        <v>52</v>
      </c>
      <c r="C19" s="10"/>
      <c r="D19" s="10"/>
    </row>
    <row r="20" spans="1:4" ht="14.25" customHeight="1" x14ac:dyDescent="0.3">
      <c r="A20" s="11" t="s">
        <v>467</v>
      </c>
      <c r="B20" s="11" t="s">
        <v>468</v>
      </c>
      <c r="C20" s="10"/>
      <c r="D20" s="10"/>
    </row>
    <row r="21" spans="1:4" ht="14.25" customHeight="1" x14ac:dyDescent="0.3">
      <c r="A21" s="11" t="s">
        <v>469</v>
      </c>
      <c r="B21" s="11" t="s">
        <v>470</v>
      </c>
      <c r="C21" s="10"/>
      <c r="D21" s="10"/>
    </row>
    <row r="22" spans="1:4" ht="14.25" customHeight="1" x14ac:dyDescent="0.3">
      <c r="A22" s="11" t="s">
        <v>471</v>
      </c>
      <c r="B22" s="11" t="s">
        <v>472</v>
      </c>
      <c r="C22" s="10"/>
      <c r="D22" s="10"/>
    </row>
    <row r="23" spans="1:4" ht="14.25" customHeight="1" x14ac:dyDescent="0.3">
      <c r="A23" s="10"/>
      <c r="B23" s="10"/>
    </row>
    <row r="24" spans="1:4" ht="14.25" customHeight="1" x14ac:dyDescent="0.3">
      <c r="A24" s="10"/>
      <c r="B24" s="10"/>
    </row>
    <row r="25" spans="1:4" ht="14.25" customHeight="1" x14ac:dyDescent="0.3">
      <c r="A25" s="10"/>
      <c r="B25" s="10"/>
    </row>
    <row r="26" spans="1:4" ht="14.25" customHeight="1" x14ac:dyDescent="0.3">
      <c r="A26" s="10"/>
      <c r="B26" s="10"/>
    </row>
    <row r="27" spans="1:4" ht="14.25" customHeight="1" x14ac:dyDescent="0.3">
      <c r="A27" s="10"/>
      <c r="B27" s="10"/>
    </row>
    <row r="28" spans="1:4" ht="14.25" customHeight="1" x14ac:dyDescent="0.3">
      <c r="A28" s="10"/>
      <c r="B28" s="10"/>
    </row>
    <row r="29" spans="1:4" ht="14.25" customHeight="1" x14ac:dyDescent="0.3">
      <c r="A29" s="10"/>
      <c r="B29" s="10"/>
    </row>
    <row r="30" spans="1:4" ht="14.25" customHeight="1" x14ac:dyDescent="0.3">
      <c r="A30" s="10"/>
      <c r="B30" s="10"/>
    </row>
    <row r="31" spans="1:4" ht="14.25" customHeight="1" x14ac:dyDescent="0.3">
      <c r="A31" s="10"/>
      <c r="B31" s="10"/>
    </row>
    <row r="32" spans="1:4" ht="14.25" customHeight="1" x14ac:dyDescent="0.3">
      <c r="A32" s="10"/>
      <c r="B32" s="10"/>
    </row>
    <row r="33" spans="1:2" ht="14.25" customHeight="1" x14ac:dyDescent="0.3">
      <c r="A33" s="10"/>
      <c r="B33" s="10"/>
    </row>
    <row r="34" spans="1:2" ht="14.25" customHeight="1" x14ac:dyDescent="0.3">
      <c r="A34" s="10"/>
      <c r="B34" s="10"/>
    </row>
    <row r="35" spans="1:2" ht="14.25" customHeight="1" x14ac:dyDescent="0.3">
      <c r="A35" s="10"/>
      <c r="B35" s="10"/>
    </row>
    <row r="36" spans="1:2" ht="14.25" customHeight="1" x14ac:dyDescent="0.3">
      <c r="A36" s="10"/>
      <c r="B36" s="10"/>
    </row>
    <row r="37" spans="1:2" ht="14.25" customHeight="1" x14ac:dyDescent="0.3">
      <c r="A37" s="10"/>
      <c r="B37" s="10"/>
    </row>
    <row r="38" spans="1:2" ht="14.25" customHeight="1" x14ac:dyDescent="0.3">
      <c r="A38" s="10"/>
      <c r="B38" s="10"/>
    </row>
    <row r="39" spans="1:2" ht="14.25" customHeight="1" x14ac:dyDescent="0.3">
      <c r="A39" s="10"/>
      <c r="B39" s="10"/>
    </row>
    <row r="40" spans="1:2" ht="14.25" customHeight="1" x14ac:dyDescent="0.3">
      <c r="A40" s="10"/>
      <c r="B40" s="10"/>
    </row>
    <row r="41" spans="1:2" ht="14.25" customHeight="1" x14ac:dyDescent="0.3">
      <c r="A41" s="10"/>
      <c r="B41" s="10"/>
    </row>
    <row r="42" spans="1:2" ht="14.25" customHeight="1" x14ac:dyDescent="0.3">
      <c r="A42" s="10"/>
      <c r="B42" s="10"/>
    </row>
    <row r="43" spans="1:2" ht="14.25" customHeight="1" x14ac:dyDescent="0.3">
      <c r="A43" s="10"/>
      <c r="B43" s="10"/>
    </row>
    <row r="44" spans="1:2" ht="14.25" customHeight="1" x14ac:dyDescent="0.3">
      <c r="A44" s="10"/>
      <c r="B44" s="10"/>
    </row>
    <row r="45" spans="1:2" ht="14.25" customHeight="1" x14ac:dyDescent="0.3">
      <c r="A45" s="10"/>
      <c r="B45" s="10"/>
    </row>
    <row r="46" spans="1:2" ht="14.25" customHeight="1" x14ac:dyDescent="0.3">
      <c r="A46" s="10"/>
      <c r="B46" s="10"/>
    </row>
    <row r="47" spans="1:2" ht="14.25" customHeight="1" x14ac:dyDescent="0.3">
      <c r="A47" s="10"/>
      <c r="B47" s="10"/>
    </row>
    <row r="48" spans="1:2" ht="14.25" customHeight="1" x14ac:dyDescent="0.3">
      <c r="A48" s="10"/>
      <c r="B48" s="10"/>
    </row>
    <row r="49" spans="1:2" ht="14.25" customHeight="1" x14ac:dyDescent="0.3">
      <c r="A49" s="10"/>
      <c r="B49" s="10"/>
    </row>
    <row r="50" spans="1:2" ht="14.25" customHeight="1" x14ac:dyDescent="0.3">
      <c r="A50" s="10"/>
      <c r="B50" s="10"/>
    </row>
    <row r="51" spans="1:2" ht="14.25" customHeight="1" x14ac:dyDescent="0.3">
      <c r="A51" s="10"/>
      <c r="B51" s="10"/>
    </row>
    <row r="52" spans="1:2" ht="14.25" customHeight="1" x14ac:dyDescent="0.3">
      <c r="A52" s="10"/>
      <c r="B52" s="10"/>
    </row>
    <row r="53" spans="1:2" ht="14.25" customHeight="1" x14ac:dyDescent="0.3">
      <c r="A53" s="10"/>
      <c r="B53" s="10"/>
    </row>
    <row r="54" spans="1:2" ht="14.25" customHeight="1" x14ac:dyDescent="0.3">
      <c r="A54" s="10"/>
      <c r="B54" s="10"/>
    </row>
    <row r="55" spans="1:2" ht="14.25" customHeight="1" x14ac:dyDescent="0.3">
      <c r="A55" s="10"/>
      <c r="B55" s="10"/>
    </row>
    <row r="56" spans="1:2" ht="14.25" customHeight="1" x14ac:dyDescent="0.3">
      <c r="A56" s="10"/>
      <c r="B56" s="10"/>
    </row>
    <row r="57" spans="1:2" ht="14.25" customHeight="1" x14ac:dyDescent="0.3">
      <c r="A57" s="10"/>
      <c r="B57" s="10"/>
    </row>
    <row r="58" spans="1:2" ht="14.25" customHeight="1" x14ac:dyDescent="0.3">
      <c r="A58" s="10"/>
      <c r="B58" s="10"/>
    </row>
    <row r="59" spans="1:2" ht="14.25" customHeight="1" x14ac:dyDescent="0.3">
      <c r="A59" s="10"/>
      <c r="B59" s="10"/>
    </row>
    <row r="60" spans="1:2" ht="14.25" customHeight="1" x14ac:dyDescent="0.3">
      <c r="A60" s="10"/>
      <c r="B60" s="10"/>
    </row>
    <row r="61" spans="1:2" ht="14.25" customHeight="1" x14ac:dyDescent="0.3">
      <c r="A61" s="10"/>
      <c r="B61" s="10"/>
    </row>
    <row r="62" spans="1:2" ht="14.25" customHeight="1" x14ac:dyDescent="0.3">
      <c r="A62" s="10"/>
      <c r="B62" s="10"/>
    </row>
    <row r="63" spans="1:2" ht="14.25" customHeight="1" x14ac:dyDescent="0.3">
      <c r="A63" s="10"/>
      <c r="B63" s="10"/>
    </row>
    <row r="64" spans="1:2" ht="14.25" customHeight="1" x14ac:dyDescent="0.3">
      <c r="A64" s="10"/>
      <c r="B64" s="10"/>
    </row>
    <row r="65" spans="1:2" ht="14.25" customHeight="1" x14ac:dyDescent="0.3">
      <c r="A65" s="10"/>
      <c r="B65" s="10"/>
    </row>
    <row r="66" spans="1:2" ht="14.25" customHeight="1" x14ac:dyDescent="0.3">
      <c r="A66" s="10"/>
      <c r="B66" s="10"/>
    </row>
    <row r="67" spans="1:2" ht="14.25" customHeight="1" x14ac:dyDescent="0.3">
      <c r="A67" s="10"/>
      <c r="B67" s="10"/>
    </row>
    <row r="68" spans="1:2" ht="14.25" customHeight="1" x14ac:dyDescent="0.3">
      <c r="A68" s="10"/>
      <c r="B68" s="10"/>
    </row>
    <row r="69" spans="1:2" ht="14.25" customHeight="1" x14ac:dyDescent="0.3">
      <c r="A69" s="10"/>
      <c r="B69" s="10"/>
    </row>
    <row r="70" spans="1:2" ht="14.25" customHeight="1" x14ac:dyDescent="0.3">
      <c r="A70" s="10"/>
      <c r="B70" s="10"/>
    </row>
    <row r="71" spans="1:2" ht="14.25" customHeight="1" x14ac:dyDescent="0.3">
      <c r="A71" s="10"/>
      <c r="B71" s="10"/>
    </row>
    <row r="72" spans="1:2" ht="14.25" customHeight="1" x14ac:dyDescent="0.3">
      <c r="A72" s="10"/>
      <c r="B72" s="10"/>
    </row>
    <row r="73" spans="1:2" ht="14.25" customHeight="1" x14ac:dyDescent="0.3">
      <c r="A73" s="10"/>
      <c r="B73" s="10"/>
    </row>
    <row r="74" spans="1:2" ht="14.25" customHeight="1" x14ac:dyDescent="0.3">
      <c r="A74" s="10"/>
      <c r="B74" s="10"/>
    </row>
    <row r="75" spans="1:2" ht="14.25" customHeight="1" x14ac:dyDescent="0.3">
      <c r="A75" s="10"/>
      <c r="B75" s="10"/>
    </row>
    <row r="76" spans="1:2" ht="14.25" customHeight="1" x14ac:dyDescent="0.3">
      <c r="A76" s="10"/>
      <c r="B76" s="10"/>
    </row>
    <row r="77" spans="1:2" ht="14.25" customHeight="1" x14ac:dyDescent="0.3">
      <c r="A77" s="10"/>
      <c r="B77" s="10"/>
    </row>
    <row r="78" spans="1:2" ht="14.25" customHeight="1" x14ac:dyDescent="0.3">
      <c r="A78" s="10"/>
      <c r="B78" s="10"/>
    </row>
    <row r="79" spans="1:2" ht="14.25" customHeight="1" x14ac:dyDescent="0.3">
      <c r="A79" s="10"/>
      <c r="B79" s="10"/>
    </row>
    <row r="80" spans="1:2" ht="14.25" customHeight="1" x14ac:dyDescent="0.3">
      <c r="A80" s="10"/>
      <c r="B80" s="10"/>
    </row>
    <row r="81" spans="1:2" ht="14.25" customHeight="1" x14ac:dyDescent="0.3">
      <c r="A81" s="10"/>
      <c r="B81" s="10"/>
    </row>
    <row r="82" spans="1:2" ht="14.25" customHeight="1" x14ac:dyDescent="0.3">
      <c r="A82" s="10"/>
      <c r="B82" s="10"/>
    </row>
    <row r="83" spans="1:2" ht="14.25" customHeight="1" x14ac:dyDescent="0.3">
      <c r="A83" s="10"/>
      <c r="B83" s="10"/>
    </row>
    <row r="84" spans="1:2" ht="14.25" customHeight="1" x14ac:dyDescent="0.3">
      <c r="A84" s="10"/>
      <c r="B84" s="10"/>
    </row>
    <row r="85" spans="1:2" ht="14.25" customHeight="1" x14ac:dyDescent="0.3">
      <c r="A85" s="10"/>
      <c r="B85" s="10"/>
    </row>
    <row r="86" spans="1:2" ht="14.25" customHeight="1" x14ac:dyDescent="0.3">
      <c r="A86" s="10"/>
      <c r="B86" s="10"/>
    </row>
    <row r="87" spans="1:2" ht="14.25" customHeight="1" x14ac:dyDescent="0.3">
      <c r="A87" s="10"/>
      <c r="B87" s="10"/>
    </row>
    <row r="88" spans="1:2" ht="14.25" customHeight="1" x14ac:dyDescent="0.3">
      <c r="A88" s="10"/>
      <c r="B88" s="10"/>
    </row>
    <row r="89" spans="1:2" ht="14.25" customHeight="1" x14ac:dyDescent="0.3">
      <c r="A89" s="10"/>
      <c r="B89" s="10"/>
    </row>
    <row r="90" spans="1:2" ht="14.25" customHeight="1" x14ac:dyDescent="0.3">
      <c r="A90" s="10"/>
      <c r="B90" s="10"/>
    </row>
    <row r="91" spans="1:2" ht="14.25" customHeight="1" x14ac:dyDescent="0.3">
      <c r="A91" s="10"/>
      <c r="B91" s="10"/>
    </row>
    <row r="92" spans="1:2" ht="14.25" customHeight="1" x14ac:dyDescent="0.3">
      <c r="A92" s="10"/>
      <c r="B92" s="10"/>
    </row>
    <row r="93" spans="1:2" ht="14.25" customHeight="1" x14ac:dyDescent="0.3">
      <c r="A93" s="10"/>
      <c r="B93" s="10"/>
    </row>
    <row r="94" spans="1:2" ht="14.25" customHeight="1" x14ac:dyDescent="0.3">
      <c r="A94" s="10"/>
      <c r="B94" s="10"/>
    </row>
    <row r="95" spans="1:2" ht="14.25" customHeight="1" x14ac:dyDescent="0.3">
      <c r="A95" s="10"/>
      <c r="B95" s="10"/>
    </row>
    <row r="96" spans="1:2" ht="14.25" customHeight="1" x14ac:dyDescent="0.3">
      <c r="A96" s="10"/>
      <c r="B96" s="10"/>
    </row>
    <row r="97" spans="1:2" ht="14.25" customHeight="1" x14ac:dyDescent="0.3">
      <c r="A97" s="10"/>
      <c r="B97" s="10"/>
    </row>
    <row r="98" spans="1:2" ht="14.25" customHeight="1" x14ac:dyDescent="0.3">
      <c r="A98" s="10"/>
      <c r="B98" s="10"/>
    </row>
    <row r="99" spans="1:2" ht="14.25" customHeight="1" x14ac:dyDescent="0.3">
      <c r="A99" s="10"/>
      <c r="B99" s="10"/>
    </row>
    <row r="100" spans="1:2" ht="14.25" customHeight="1" x14ac:dyDescent="0.3">
      <c r="A100" s="10"/>
      <c r="B100" s="10"/>
    </row>
    <row r="101" spans="1:2" ht="14.25" customHeight="1" x14ac:dyDescent="0.3">
      <c r="A101" s="10"/>
      <c r="B101" s="10"/>
    </row>
    <row r="102" spans="1:2" ht="14.25" customHeight="1" x14ac:dyDescent="0.3">
      <c r="A102" s="10"/>
      <c r="B102" s="10"/>
    </row>
    <row r="103" spans="1:2" ht="14.25" customHeight="1" x14ac:dyDescent="0.3">
      <c r="A103" s="10"/>
      <c r="B103" s="10"/>
    </row>
    <row r="104" spans="1:2" ht="14.25" customHeight="1" x14ac:dyDescent="0.3">
      <c r="A104" s="10"/>
      <c r="B104" s="10"/>
    </row>
    <row r="105" spans="1:2" ht="14.25" customHeight="1" x14ac:dyDescent="0.3">
      <c r="A105" s="10"/>
      <c r="B105" s="10"/>
    </row>
    <row r="106" spans="1:2" ht="14.25" customHeight="1" x14ac:dyDescent="0.3">
      <c r="A106" s="10"/>
      <c r="B106" s="10"/>
    </row>
    <row r="107" spans="1:2" ht="14.25" customHeight="1" x14ac:dyDescent="0.3">
      <c r="A107" s="10"/>
      <c r="B107" s="10"/>
    </row>
    <row r="108" spans="1:2" ht="14.25" customHeight="1" x14ac:dyDescent="0.3">
      <c r="A108" s="10"/>
      <c r="B108" s="10"/>
    </row>
    <row r="109" spans="1:2" ht="14.25" customHeight="1" x14ac:dyDescent="0.3">
      <c r="A109" s="10"/>
      <c r="B109" s="10"/>
    </row>
    <row r="110" spans="1:2" ht="14.25" customHeight="1" x14ac:dyDescent="0.3">
      <c r="A110" s="10"/>
      <c r="B110" s="10"/>
    </row>
    <row r="111" spans="1:2" ht="14.25" customHeight="1" x14ac:dyDescent="0.3">
      <c r="A111" s="10"/>
      <c r="B111" s="10"/>
    </row>
    <row r="112" spans="1:2" ht="14.25" customHeight="1" x14ac:dyDescent="0.3">
      <c r="A112" s="10"/>
      <c r="B112" s="10"/>
    </row>
    <row r="113" spans="1:2" ht="14.25" customHeight="1" x14ac:dyDescent="0.3">
      <c r="A113" s="10"/>
      <c r="B113" s="10"/>
    </row>
    <row r="114" spans="1:2" ht="14.25" customHeight="1" x14ac:dyDescent="0.3">
      <c r="A114" s="10"/>
      <c r="B114" s="10"/>
    </row>
    <row r="115" spans="1:2" ht="14.25" customHeight="1" x14ac:dyDescent="0.3">
      <c r="A115" s="10"/>
      <c r="B115" s="10"/>
    </row>
    <row r="116" spans="1:2" ht="14.25" customHeight="1" x14ac:dyDescent="0.3">
      <c r="A116" s="10"/>
      <c r="B116" s="10"/>
    </row>
    <row r="117" spans="1:2" ht="14.25" customHeight="1" x14ac:dyDescent="0.3">
      <c r="A117" s="10"/>
      <c r="B117" s="10"/>
    </row>
    <row r="118" spans="1:2" ht="14.25" customHeight="1" x14ac:dyDescent="0.3">
      <c r="A118" s="10"/>
      <c r="B118" s="10"/>
    </row>
    <row r="119" spans="1:2" ht="14.25" customHeight="1" x14ac:dyDescent="0.3">
      <c r="A119" s="10"/>
      <c r="B119" s="10"/>
    </row>
    <row r="120" spans="1:2" ht="14.25" customHeight="1" x14ac:dyDescent="0.3">
      <c r="A120" s="10"/>
      <c r="B120" s="10"/>
    </row>
    <row r="121" spans="1:2" ht="14.25" customHeight="1" x14ac:dyDescent="0.3">
      <c r="A121" s="10"/>
      <c r="B121" s="10"/>
    </row>
    <row r="122" spans="1:2" ht="14.25" customHeight="1" x14ac:dyDescent="0.3">
      <c r="A122" s="10"/>
      <c r="B122" s="10"/>
    </row>
    <row r="123" spans="1:2" ht="14.25" customHeight="1" x14ac:dyDescent="0.3">
      <c r="A123" s="10"/>
      <c r="B123" s="10"/>
    </row>
    <row r="124" spans="1:2" ht="14.25" customHeight="1" x14ac:dyDescent="0.3">
      <c r="A124" s="10"/>
      <c r="B124" s="10"/>
    </row>
    <row r="125" spans="1:2" ht="14.25" customHeight="1" x14ac:dyDescent="0.3">
      <c r="A125" s="10"/>
      <c r="B125" s="10"/>
    </row>
    <row r="126" spans="1:2" ht="14.25" customHeight="1" x14ac:dyDescent="0.3">
      <c r="A126" s="10"/>
      <c r="B126" s="10"/>
    </row>
    <row r="127" spans="1:2" ht="14.25" customHeight="1" x14ac:dyDescent="0.3">
      <c r="A127" s="10"/>
      <c r="B127" s="10"/>
    </row>
    <row r="128" spans="1:2" ht="14.25" customHeight="1" x14ac:dyDescent="0.3">
      <c r="A128" s="10"/>
      <c r="B128" s="10"/>
    </row>
    <row r="129" spans="1:2" ht="14.25" customHeight="1" x14ac:dyDescent="0.3">
      <c r="A129" s="10"/>
      <c r="B129" s="10"/>
    </row>
    <row r="130" spans="1:2" ht="14.25" customHeight="1" x14ac:dyDescent="0.3">
      <c r="A130" s="10"/>
      <c r="B130" s="10"/>
    </row>
    <row r="131" spans="1:2" ht="14.25" customHeight="1" x14ac:dyDescent="0.3">
      <c r="A131" s="10"/>
      <c r="B131" s="10"/>
    </row>
    <row r="132" spans="1:2" ht="14.25" customHeight="1" x14ac:dyDescent="0.3">
      <c r="A132" s="10"/>
      <c r="B132" s="10"/>
    </row>
    <row r="133" spans="1:2" ht="14.25" customHeight="1" x14ac:dyDescent="0.3">
      <c r="A133" s="10"/>
      <c r="B133" s="10"/>
    </row>
    <row r="134" spans="1:2" ht="14.25" customHeight="1" x14ac:dyDescent="0.3">
      <c r="A134" s="10"/>
      <c r="B134" s="10"/>
    </row>
    <row r="135" spans="1:2" ht="14.25" customHeight="1" x14ac:dyDescent="0.3">
      <c r="A135" s="10"/>
      <c r="B135" s="10"/>
    </row>
    <row r="136" spans="1:2" ht="14.25" customHeight="1" x14ac:dyDescent="0.3">
      <c r="A136" s="10"/>
      <c r="B136" s="10"/>
    </row>
    <row r="137" spans="1:2" ht="14.25" customHeight="1" x14ac:dyDescent="0.3">
      <c r="A137" s="10"/>
      <c r="B137" s="10"/>
    </row>
    <row r="138" spans="1:2" ht="14.25" customHeight="1" x14ac:dyDescent="0.3">
      <c r="A138" s="10"/>
      <c r="B138" s="10"/>
    </row>
    <row r="139" spans="1:2" ht="14.25" customHeight="1" x14ac:dyDescent="0.3">
      <c r="A139" s="10"/>
      <c r="B139" s="10"/>
    </row>
    <row r="140" spans="1:2" ht="14.25" customHeight="1" x14ac:dyDescent="0.3">
      <c r="A140" s="10"/>
      <c r="B140" s="10"/>
    </row>
    <row r="141" spans="1:2" ht="14.25" customHeight="1" x14ac:dyDescent="0.3">
      <c r="A141" s="10"/>
      <c r="B141" s="10"/>
    </row>
    <row r="142" spans="1:2" ht="14.25" customHeight="1" x14ac:dyDescent="0.3">
      <c r="A142" s="10"/>
      <c r="B142" s="10"/>
    </row>
    <row r="143" spans="1:2" ht="14.25" customHeight="1" x14ac:dyDescent="0.3">
      <c r="A143" s="10"/>
      <c r="B143" s="10"/>
    </row>
    <row r="144" spans="1:2" ht="14.25" customHeight="1" x14ac:dyDescent="0.3">
      <c r="A144" s="10"/>
      <c r="B144" s="10"/>
    </row>
    <row r="145" spans="1:2" ht="14.25" customHeight="1" x14ac:dyDescent="0.3">
      <c r="A145" s="10"/>
      <c r="B145" s="10"/>
    </row>
    <row r="146" spans="1:2" ht="14.25" customHeight="1" x14ac:dyDescent="0.3">
      <c r="A146" s="10"/>
      <c r="B146" s="10"/>
    </row>
    <row r="147" spans="1:2" ht="14.25" customHeight="1" x14ac:dyDescent="0.3">
      <c r="A147" s="10"/>
      <c r="B147" s="10"/>
    </row>
    <row r="148" spans="1:2" ht="14.25" customHeight="1" x14ac:dyDescent="0.3">
      <c r="A148" s="10"/>
      <c r="B148" s="10"/>
    </row>
    <row r="149" spans="1:2" ht="14.25" customHeight="1" x14ac:dyDescent="0.3">
      <c r="A149" s="10"/>
      <c r="B149" s="10"/>
    </row>
    <row r="150" spans="1:2" ht="14.25" customHeight="1" x14ac:dyDescent="0.3">
      <c r="A150" s="10"/>
      <c r="B150" s="10"/>
    </row>
    <row r="151" spans="1:2" ht="14.25" customHeight="1" x14ac:dyDescent="0.3">
      <c r="A151" s="10"/>
      <c r="B151" s="10"/>
    </row>
    <row r="152" spans="1:2" ht="14.25" customHeight="1" x14ac:dyDescent="0.3">
      <c r="A152" s="10"/>
      <c r="B152" s="10"/>
    </row>
    <row r="153" spans="1:2" ht="14.25" customHeight="1" x14ac:dyDescent="0.3">
      <c r="A153" s="10"/>
      <c r="B153" s="10"/>
    </row>
    <row r="154" spans="1:2" ht="14.25" customHeight="1" x14ac:dyDescent="0.3">
      <c r="A154" s="10"/>
      <c r="B154" s="10"/>
    </row>
    <row r="155" spans="1:2" ht="14.25" customHeight="1" x14ac:dyDescent="0.3">
      <c r="A155" s="10"/>
      <c r="B155" s="10"/>
    </row>
    <row r="156" spans="1:2" ht="14.25" customHeight="1" x14ac:dyDescent="0.3">
      <c r="A156" s="10"/>
      <c r="B156" s="10"/>
    </row>
    <row r="157" spans="1:2" ht="14.25" customHeight="1" x14ac:dyDescent="0.3">
      <c r="A157" s="10"/>
      <c r="B157" s="10"/>
    </row>
    <row r="158" spans="1:2" ht="14.25" customHeight="1" x14ac:dyDescent="0.3">
      <c r="A158" s="10"/>
      <c r="B158" s="10"/>
    </row>
    <row r="159" spans="1:2" ht="14.25" customHeight="1" x14ac:dyDescent="0.3">
      <c r="A159" s="10"/>
      <c r="B159" s="10"/>
    </row>
    <row r="160" spans="1:2" ht="14.25" customHeight="1" x14ac:dyDescent="0.3">
      <c r="A160" s="10"/>
      <c r="B160" s="10"/>
    </row>
    <row r="161" spans="1:2" ht="14.25" customHeight="1" x14ac:dyDescent="0.3">
      <c r="A161" s="10"/>
      <c r="B161" s="10"/>
    </row>
    <row r="162" spans="1:2" ht="14.25" customHeight="1" x14ac:dyDescent="0.3">
      <c r="A162" s="10"/>
      <c r="B162" s="10"/>
    </row>
    <row r="163" spans="1:2" ht="14.25" customHeight="1" x14ac:dyDescent="0.3">
      <c r="A163" s="10"/>
      <c r="B163" s="10"/>
    </row>
    <row r="164" spans="1:2" ht="14.25" customHeight="1" x14ac:dyDescent="0.3">
      <c r="A164" s="10"/>
      <c r="B164" s="10"/>
    </row>
    <row r="165" spans="1:2" ht="14.25" customHeight="1" x14ac:dyDescent="0.3">
      <c r="A165" s="10"/>
      <c r="B165" s="10"/>
    </row>
    <row r="166" spans="1:2" ht="14.25" customHeight="1" x14ac:dyDescent="0.3">
      <c r="A166" s="10"/>
      <c r="B166" s="10"/>
    </row>
    <row r="167" spans="1:2" ht="14.25" customHeight="1" x14ac:dyDescent="0.3">
      <c r="A167" s="10"/>
      <c r="B167" s="10"/>
    </row>
    <row r="168" spans="1:2" ht="14.25" customHeight="1" x14ac:dyDescent="0.3">
      <c r="A168" s="10"/>
      <c r="B168" s="10"/>
    </row>
    <row r="169" spans="1:2" ht="14.25" customHeight="1" x14ac:dyDescent="0.3">
      <c r="A169" s="10"/>
      <c r="B169" s="10"/>
    </row>
    <row r="170" spans="1:2" ht="14.25" customHeight="1" x14ac:dyDescent="0.3">
      <c r="A170" s="10"/>
      <c r="B170" s="10"/>
    </row>
    <row r="171" spans="1:2" ht="14.25" customHeight="1" x14ac:dyDescent="0.3">
      <c r="A171" s="10"/>
      <c r="B171" s="10"/>
    </row>
    <row r="172" spans="1:2" ht="14.25" customHeight="1" x14ac:dyDescent="0.3">
      <c r="A172" s="10"/>
      <c r="B172" s="10"/>
    </row>
    <row r="173" spans="1:2" ht="14.25" customHeight="1" x14ac:dyDescent="0.3">
      <c r="A173" s="10"/>
      <c r="B173" s="10"/>
    </row>
    <row r="174" spans="1:2" ht="14.25" customHeight="1" x14ac:dyDescent="0.3">
      <c r="A174" s="10"/>
      <c r="B174" s="10"/>
    </row>
    <row r="175" spans="1:2" ht="14.25" customHeight="1" x14ac:dyDescent="0.3">
      <c r="A175" s="10"/>
      <c r="B175" s="10"/>
    </row>
    <row r="176" spans="1:2" ht="14.25" customHeight="1" x14ac:dyDescent="0.3">
      <c r="A176" s="10"/>
      <c r="B176" s="10"/>
    </row>
    <row r="177" spans="1:2" ht="14.25" customHeight="1" x14ac:dyDescent="0.3">
      <c r="A177" s="10"/>
      <c r="B177" s="10"/>
    </row>
    <row r="178" spans="1:2" ht="14.25" customHeight="1" x14ac:dyDescent="0.3">
      <c r="A178" s="10"/>
      <c r="B178" s="10"/>
    </row>
    <row r="179" spans="1:2" ht="14.25" customHeight="1" x14ac:dyDescent="0.3">
      <c r="A179" s="10"/>
      <c r="B179" s="10"/>
    </row>
    <row r="180" spans="1:2" ht="14.25" customHeight="1" x14ac:dyDescent="0.3">
      <c r="A180" s="10"/>
      <c r="B180" s="10"/>
    </row>
    <row r="181" spans="1:2" ht="14.25" customHeight="1" x14ac:dyDescent="0.3">
      <c r="A181" s="10"/>
      <c r="B181" s="10"/>
    </row>
    <row r="182" spans="1:2" ht="14.25" customHeight="1" x14ac:dyDescent="0.3">
      <c r="A182" s="10"/>
      <c r="B182" s="10"/>
    </row>
    <row r="183" spans="1:2" ht="14.25" customHeight="1" x14ac:dyDescent="0.3">
      <c r="A183" s="10"/>
      <c r="B183" s="10"/>
    </row>
    <row r="184" spans="1:2" ht="14.25" customHeight="1" x14ac:dyDescent="0.3">
      <c r="A184" s="10"/>
      <c r="B184" s="10"/>
    </row>
    <row r="185" spans="1:2" ht="14.25" customHeight="1" x14ac:dyDescent="0.3">
      <c r="A185" s="10"/>
      <c r="B185" s="10"/>
    </row>
    <row r="186" spans="1:2" ht="14.25" customHeight="1" x14ac:dyDescent="0.3">
      <c r="A186" s="10"/>
      <c r="B186" s="10"/>
    </row>
    <row r="187" spans="1:2" ht="14.25" customHeight="1" x14ac:dyDescent="0.3">
      <c r="A187" s="10"/>
      <c r="B187" s="10"/>
    </row>
    <row r="188" spans="1:2" ht="14.25" customHeight="1" x14ac:dyDescent="0.3">
      <c r="A188" s="10"/>
      <c r="B188" s="10"/>
    </row>
    <row r="189" spans="1:2" ht="14.25" customHeight="1" x14ac:dyDescent="0.3">
      <c r="A189" s="10"/>
      <c r="B189" s="10"/>
    </row>
    <row r="190" spans="1:2" ht="14.25" customHeight="1" x14ac:dyDescent="0.3">
      <c r="A190" s="10"/>
      <c r="B190" s="10"/>
    </row>
    <row r="191" spans="1:2" ht="14.25" customHeight="1" x14ac:dyDescent="0.3">
      <c r="A191" s="10"/>
      <c r="B191" s="10"/>
    </row>
    <row r="192" spans="1:2" ht="14.25" customHeight="1" x14ac:dyDescent="0.3">
      <c r="A192" s="10"/>
      <c r="B192" s="10"/>
    </row>
    <row r="193" spans="1:2" ht="14.25" customHeight="1" x14ac:dyDescent="0.3">
      <c r="A193" s="10"/>
      <c r="B193" s="10"/>
    </row>
    <row r="194" spans="1:2" ht="14.25" customHeight="1" x14ac:dyDescent="0.3">
      <c r="A194" s="10"/>
      <c r="B194" s="10"/>
    </row>
    <row r="195" spans="1:2" ht="14.25" customHeight="1" x14ac:dyDescent="0.3">
      <c r="A195" s="10"/>
      <c r="B195" s="10"/>
    </row>
    <row r="196" spans="1:2" ht="14.25" customHeight="1" x14ac:dyDescent="0.3">
      <c r="A196" s="10"/>
      <c r="B196" s="10"/>
    </row>
    <row r="197" spans="1:2" ht="14.25" customHeight="1" x14ac:dyDescent="0.3">
      <c r="A197" s="10"/>
      <c r="B197" s="10"/>
    </row>
    <row r="198" spans="1:2" ht="14.25" customHeight="1" x14ac:dyDescent="0.3">
      <c r="A198" s="10"/>
      <c r="B198" s="10"/>
    </row>
    <row r="199" spans="1:2" ht="14.25" customHeight="1" x14ac:dyDescent="0.3">
      <c r="A199" s="10"/>
      <c r="B199" s="10"/>
    </row>
    <row r="200" spans="1:2" ht="14.25" customHeight="1" x14ac:dyDescent="0.3">
      <c r="A200" s="10"/>
      <c r="B200" s="10"/>
    </row>
    <row r="201" spans="1:2" ht="14.25" customHeight="1" x14ac:dyDescent="0.3">
      <c r="A201" s="10"/>
      <c r="B201" s="10"/>
    </row>
    <row r="202" spans="1:2" ht="14.25" customHeight="1" x14ac:dyDescent="0.3">
      <c r="A202" s="10"/>
      <c r="B202" s="10"/>
    </row>
    <row r="203" spans="1:2" ht="14.25" customHeight="1" x14ac:dyDescent="0.3">
      <c r="A203" s="10"/>
      <c r="B203" s="10"/>
    </row>
    <row r="204" spans="1:2" ht="14.25" customHeight="1" x14ac:dyDescent="0.3">
      <c r="A204" s="10"/>
      <c r="B204" s="10"/>
    </row>
    <row r="205" spans="1:2" ht="14.25" customHeight="1" x14ac:dyDescent="0.3">
      <c r="A205" s="10"/>
      <c r="B205" s="10"/>
    </row>
    <row r="206" spans="1:2" ht="14.25" customHeight="1" x14ac:dyDescent="0.3">
      <c r="A206" s="10"/>
      <c r="B206" s="10"/>
    </row>
    <row r="207" spans="1:2" ht="14.25" customHeight="1" x14ac:dyDescent="0.3">
      <c r="A207" s="10"/>
      <c r="B207" s="10"/>
    </row>
    <row r="208" spans="1:2" ht="14.25" customHeight="1" x14ac:dyDescent="0.3">
      <c r="A208" s="10"/>
      <c r="B208" s="10"/>
    </row>
    <row r="209" spans="1:2" ht="14.25" customHeight="1" x14ac:dyDescent="0.3">
      <c r="A209" s="10"/>
      <c r="B209" s="10"/>
    </row>
    <row r="210" spans="1:2" ht="14.25" customHeight="1" x14ac:dyDescent="0.3">
      <c r="A210" s="10"/>
      <c r="B210" s="10"/>
    </row>
    <row r="211" spans="1:2" ht="14.25" customHeight="1" x14ac:dyDescent="0.3">
      <c r="A211" s="10"/>
      <c r="B211" s="10"/>
    </row>
    <row r="212" spans="1:2" ht="14.25" customHeight="1" x14ac:dyDescent="0.3">
      <c r="A212" s="10"/>
      <c r="B212" s="10"/>
    </row>
    <row r="213" spans="1:2" ht="14.25" customHeight="1" x14ac:dyDescent="0.3">
      <c r="A213" s="10"/>
      <c r="B213" s="10"/>
    </row>
    <row r="214" spans="1:2" ht="14.25" customHeight="1" x14ac:dyDescent="0.3">
      <c r="A214" s="10"/>
      <c r="B214" s="10"/>
    </row>
    <row r="215" spans="1:2" ht="14.25" customHeight="1" x14ac:dyDescent="0.3">
      <c r="A215" s="10"/>
      <c r="B215" s="10"/>
    </row>
    <row r="216" spans="1:2" ht="14.25" customHeight="1" x14ac:dyDescent="0.3">
      <c r="A216" s="10"/>
      <c r="B216" s="10"/>
    </row>
    <row r="217" spans="1:2" ht="14.25" customHeight="1" x14ac:dyDescent="0.3">
      <c r="A217" s="10"/>
      <c r="B217" s="10"/>
    </row>
    <row r="218" spans="1:2" ht="14.25" customHeight="1" x14ac:dyDescent="0.3">
      <c r="A218" s="10"/>
      <c r="B218" s="10"/>
    </row>
    <row r="219" spans="1:2" ht="14.25" customHeight="1" x14ac:dyDescent="0.3">
      <c r="A219" s="10"/>
      <c r="B219" s="10"/>
    </row>
    <row r="220" spans="1:2" ht="14.25" customHeight="1" x14ac:dyDescent="0.3">
      <c r="A220" s="10"/>
      <c r="B220" s="10"/>
    </row>
    <row r="221" spans="1:2" ht="14.25" customHeight="1" x14ac:dyDescent="0.3">
      <c r="A221" s="10"/>
      <c r="B221" s="10"/>
    </row>
    <row r="222" spans="1:2" ht="14.25" customHeight="1" x14ac:dyDescent="0.3">
      <c r="A222" s="10"/>
      <c r="B222" s="10"/>
    </row>
    <row r="223" spans="1:2" ht="14.25" customHeight="1" x14ac:dyDescent="0.3">
      <c r="A223" s="10"/>
      <c r="B223" s="10"/>
    </row>
    <row r="224" spans="1:2" ht="14.25" customHeight="1" x14ac:dyDescent="0.3">
      <c r="A224" s="10"/>
      <c r="B224" s="10"/>
    </row>
    <row r="225" spans="1:2" ht="14.25" customHeight="1" x14ac:dyDescent="0.3">
      <c r="A225" s="10"/>
      <c r="B225" s="10"/>
    </row>
    <row r="226" spans="1:2" ht="14.25" customHeight="1" x14ac:dyDescent="0.3">
      <c r="A226" s="10"/>
      <c r="B226" s="10"/>
    </row>
    <row r="227" spans="1:2" ht="14.25" customHeight="1" x14ac:dyDescent="0.3">
      <c r="A227" s="10"/>
      <c r="B227" s="10"/>
    </row>
    <row r="228" spans="1:2" ht="14.25" customHeight="1" x14ac:dyDescent="0.3">
      <c r="A228" s="10"/>
      <c r="B228" s="10"/>
    </row>
    <row r="229" spans="1:2" ht="14.25" customHeight="1" x14ac:dyDescent="0.3">
      <c r="A229" s="10"/>
      <c r="B229" s="10"/>
    </row>
    <row r="230" spans="1:2" ht="14.25" customHeight="1" x14ac:dyDescent="0.3">
      <c r="A230" s="10"/>
      <c r="B230" s="10"/>
    </row>
    <row r="231" spans="1:2" ht="14.25" customHeight="1" x14ac:dyDescent="0.3">
      <c r="A231" s="10"/>
      <c r="B231" s="10"/>
    </row>
    <row r="232" spans="1:2" ht="14.25" customHeight="1" x14ac:dyDescent="0.3">
      <c r="A232" s="10"/>
      <c r="B232" s="10"/>
    </row>
    <row r="233" spans="1:2" ht="14.25" customHeight="1" x14ac:dyDescent="0.3">
      <c r="A233" s="10"/>
      <c r="B233" s="10"/>
    </row>
    <row r="234" spans="1:2" ht="14.25" customHeight="1" x14ac:dyDescent="0.3">
      <c r="A234" s="10"/>
      <c r="B234" s="10"/>
    </row>
    <row r="235" spans="1:2" ht="14.25" customHeight="1" x14ac:dyDescent="0.3">
      <c r="A235" s="10"/>
      <c r="B235" s="10"/>
    </row>
    <row r="236" spans="1:2" ht="14.25" customHeight="1" x14ac:dyDescent="0.3">
      <c r="A236" s="10"/>
      <c r="B236" s="10"/>
    </row>
    <row r="237" spans="1:2" ht="14.25" customHeight="1" x14ac:dyDescent="0.3">
      <c r="A237" s="10"/>
      <c r="B237" s="10"/>
    </row>
    <row r="238" spans="1:2" ht="14.25" customHeight="1" x14ac:dyDescent="0.3">
      <c r="A238" s="10"/>
      <c r="B238" s="10"/>
    </row>
    <row r="239" spans="1:2" ht="14.25" customHeight="1" x14ac:dyDescent="0.3">
      <c r="A239" s="10"/>
      <c r="B239" s="10"/>
    </row>
    <row r="240" spans="1:2" ht="14.25" customHeight="1" x14ac:dyDescent="0.3">
      <c r="A240" s="10"/>
      <c r="B240" s="10"/>
    </row>
    <row r="241" spans="1:2" ht="14.25" customHeight="1" x14ac:dyDescent="0.3">
      <c r="A241" s="10"/>
      <c r="B241" s="10"/>
    </row>
    <row r="242" spans="1:2" ht="14.25" customHeight="1" x14ac:dyDescent="0.3">
      <c r="A242" s="10"/>
      <c r="B242" s="10"/>
    </row>
    <row r="243" spans="1:2" ht="14.25" customHeight="1" x14ac:dyDescent="0.3">
      <c r="A243" s="10"/>
      <c r="B243" s="10"/>
    </row>
    <row r="244" spans="1:2" ht="14.25" customHeight="1" x14ac:dyDescent="0.3">
      <c r="A244" s="10"/>
      <c r="B244" s="10"/>
    </row>
    <row r="245" spans="1:2" ht="14.25" customHeight="1" x14ac:dyDescent="0.3">
      <c r="A245" s="10"/>
      <c r="B245" s="10"/>
    </row>
    <row r="246" spans="1:2" ht="14.25" customHeight="1" x14ac:dyDescent="0.3">
      <c r="A246" s="10"/>
      <c r="B246" s="10"/>
    </row>
    <row r="247" spans="1:2" ht="14.25" customHeight="1" x14ac:dyDescent="0.3">
      <c r="A247" s="10"/>
      <c r="B247" s="10"/>
    </row>
    <row r="248" spans="1:2" ht="14.25" customHeight="1" x14ac:dyDescent="0.3">
      <c r="A248" s="10"/>
      <c r="B248" s="10"/>
    </row>
    <row r="249" spans="1:2" ht="14.25" customHeight="1" x14ac:dyDescent="0.3">
      <c r="A249" s="10"/>
      <c r="B249" s="10"/>
    </row>
    <row r="250" spans="1:2" ht="14.25" customHeight="1" x14ac:dyDescent="0.3">
      <c r="A250" s="10"/>
      <c r="B250" s="10"/>
    </row>
    <row r="251" spans="1:2" ht="14.25" customHeight="1" x14ac:dyDescent="0.3">
      <c r="A251" s="10"/>
      <c r="B251" s="10"/>
    </row>
    <row r="252" spans="1:2" ht="14.25" customHeight="1" x14ac:dyDescent="0.3">
      <c r="A252" s="10"/>
      <c r="B252" s="10"/>
    </row>
    <row r="253" spans="1:2" ht="14.25" customHeight="1" x14ac:dyDescent="0.3">
      <c r="A253" s="10"/>
      <c r="B253" s="10"/>
    </row>
    <row r="254" spans="1:2" ht="14.25" customHeight="1" x14ac:dyDescent="0.3">
      <c r="A254" s="10"/>
      <c r="B254" s="10"/>
    </row>
    <row r="255" spans="1:2" ht="14.25" customHeight="1" x14ac:dyDescent="0.3">
      <c r="A255" s="10"/>
      <c r="B255" s="10"/>
    </row>
    <row r="256" spans="1:2" ht="14.25" customHeight="1" x14ac:dyDescent="0.3">
      <c r="A256" s="10"/>
      <c r="B256" s="10"/>
    </row>
    <row r="257" spans="1:2" ht="14.25" customHeight="1" x14ac:dyDescent="0.3">
      <c r="A257" s="10"/>
      <c r="B257" s="10"/>
    </row>
    <row r="258" spans="1:2" ht="14.25" customHeight="1" x14ac:dyDescent="0.3">
      <c r="A258" s="10"/>
      <c r="B258" s="10"/>
    </row>
    <row r="259" spans="1:2" ht="14.25" customHeight="1" x14ac:dyDescent="0.3">
      <c r="A259" s="10"/>
      <c r="B259" s="10"/>
    </row>
    <row r="260" spans="1:2" ht="14.25" customHeight="1" x14ac:dyDescent="0.3">
      <c r="A260" s="10"/>
      <c r="B260" s="10"/>
    </row>
    <row r="261" spans="1:2" ht="14.25" customHeight="1" x14ac:dyDescent="0.3">
      <c r="A261" s="10"/>
      <c r="B261" s="10"/>
    </row>
    <row r="262" spans="1:2" ht="14.25" customHeight="1" x14ac:dyDescent="0.3">
      <c r="A262" s="10"/>
      <c r="B262" s="10"/>
    </row>
    <row r="263" spans="1:2" ht="14.25" customHeight="1" x14ac:dyDescent="0.3">
      <c r="A263" s="10"/>
      <c r="B263" s="10"/>
    </row>
    <row r="264" spans="1:2" ht="14.25" customHeight="1" x14ac:dyDescent="0.3">
      <c r="A264" s="10"/>
      <c r="B264" s="10"/>
    </row>
    <row r="265" spans="1:2" ht="14.25" customHeight="1" x14ac:dyDescent="0.3">
      <c r="A265" s="10"/>
      <c r="B265" s="10"/>
    </row>
    <row r="266" spans="1:2" ht="14.25" customHeight="1" x14ac:dyDescent="0.3">
      <c r="A266" s="10"/>
      <c r="B266" s="10"/>
    </row>
    <row r="267" spans="1:2" ht="14.25" customHeight="1" x14ac:dyDescent="0.3">
      <c r="A267" s="10"/>
      <c r="B267" s="10"/>
    </row>
    <row r="268" spans="1:2" ht="14.25" customHeight="1" x14ac:dyDescent="0.3">
      <c r="A268" s="10"/>
      <c r="B268" s="10"/>
    </row>
    <row r="269" spans="1:2" ht="14.25" customHeight="1" x14ac:dyDescent="0.3">
      <c r="A269" s="10"/>
      <c r="B269" s="10"/>
    </row>
    <row r="270" spans="1:2" ht="14.25" customHeight="1" x14ac:dyDescent="0.3">
      <c r="A270" s="10"/>
      <c r="B270" s="10"/>
    </row>
    <row r="271" spans="1:2" ht="14.25" customHeight="1" x14ac:dyDescent="0.3">
      <c r="A271" s="10"/>
      <c r="B271" s="10"/>
    </row>
    <row r="272" spans="1:2" ht="14.25" customHeight="1" x14ac:dyDescent="0.3">
      <c r="A272" s="10"/>
      <c r="B272" s="10"/>
    </row>
    <row r="273" spans="1:2" ht="14.25" customHeight="1" x14ac:dyDescent="0.3">
      <c r="A273" s="10"/>
      <c r="B273" s="10"/>
    </row>
    <row r="274" spans="1:2" ht="14.25" customHeight="1" x14ac:dyDescent="0.3">
      <c r="A274" s="10"/>
      <c r="B274" s="10"/>
    </row>
    <row r="275" spans="1:2" ht="14.25" customHeight="1" x14ac:dyDescent="0.3">
      <c r="A275" s="10"/>
      <c r="B275" s="10"/>
    </row>
    <row r="276" spans="1:2" ht="14.25" customHeight="1" x14ac:dyDescent="0.3">
      <c r="A276" s="10"/>
      <c r="B276" s="10"/>
    </row>
    <row r="277" spans="1:2" ht="14.25" customHeight="1" x14ac:dyDescent="0.3">
      <c r="A277" s="10"/>
      <c r="B277" s="10"/>
    </row>
    <row r="278" spans="1:2" ht="14.25" customHeight="1" x14ac:dyDescent="0.3">
      <c r="A278" s="10"/>
      <c r="B278" s="10"/>
    </row>
    <row r="279" spans="1:2" ht="14.25" customHeight="1" x14ac:dyDescent="0.3">
      <c r="A279" s="10"/>
      <c r="B279" s="10"/>
    </row>
    <row r="280" spans="1:2" ht="14.25" customHeight="1" x14ac:dyDescent="0.3">
      <c r="A280" s="10"/>
      <c r="B280" s="10"/>
    </row>
    <row r="281" spans="1:2" ht="14.25" customHeight="1" x14ac:dyDescent="0.3">
      <c r="A281" s="10"/>
      <c r="B281" s="10"/>
    </row>
    <row r="282" spans="1:2" ht="14.25" customHeight="1" x14ac:dyDescent="0.3">
      <c r="A282" s="10"/>
      <c r="B282" s="10"/>
    </row>
    <row r="283" spans="1:2" ht="14.25" customHeight="1" x14ac:dyDescent="0.3">
      <c r="A283" s="10"/>
      <c r="B283" s="10"/>
    </row>
    <row r="284" spans="1:2" ht="14.25" customHeight="1" x14ac:dyDescent="0.3">
      <c r="A284" s="10"/>
      <c r="B284" s="10"/>
    </row>
    <row r="285" spans="1:2" ht="14.25" customHeight="1" x14ac:dyDescent="0.3">
      <c r="A285" s="10"/>
      <c r="B285" s="10"/>
    </row>
    <row r="286" spans="1:2" ht="14.25" customHeight="1" x14ac:dyDescent="0.3">
      <c r="A286" s="10"/>
      <c r="B286" s="10"/>
    </row>
    <row r="287" spans="1:2" ht="14.25" customHeight="1" x14ac:dyDescent="0.3">
      <c r="A287" s="10"/>
      <c r="B287" s="10"/>
    </row>
    <row r="288" spans="1:2" ht="14.25" customHeight="1" x14ac:dyDescent="0.3">
      <c r="A288" s="10"/>
      <c r="B288" s="10"/>
    </row>
    <row r="289" spans="1:2" ht="14.25" customHeight="1" x14ac:dyDescent="0.3">
      <c r="A289" s="10"/>
      <c r="B289" s="10"/>
    </row>
    <row r="290" spans="1:2" ht="14.25" customHeight="1" x14ac:dyDescent="0.3">
      <c r="A290" s="10"/>
      <c r="B290" s="10"/>
    </row>
    <row r="291" spans="1:2" ht="14.25" customHeight="1" x14ac:dyDescent="0.3">
      <c r="A291" s="10"/>
      <c r="B291" s="10"/>
    </row>
    <row r="292" spans="1:2" ht="14.25" customHeight="1" x14ac:dyDescent="0.3">
      <c r="A292" s="10"/>
      <c r="B292" s="10"/>
    </row>
    <row r="293" spans="1:2" ht="14.25" customHeight="1" x14ac:dyDescent="0.3">
      <c r="A293" s="10"/>
      <c r="B293" s="10"/>
    </row>
    <row r="294" spans="1:2" ht="14.25" customHeight="1" x14ac:dyDescent="0.3">
      <c r="A294" s="10"/>
      <c r="B294" s="10"/>
    </row>
    <row r="295" spans="1:2" ht="14.25" customHeight="1" x14ac:dyDescent="0.3">
      <c r="A295" s="10"/>
      <c r="B295" s="10"/>
    </row>
    <row r="296" spans="1:2" ht="14.25" customHeight="1" x14ac:dyDescent="0.3">
      <c r="A296" s="10"/>
      <c r="B296" s="10"/>
    </row>
    <row r="297" spans="1:2" ht="14.25" customHeight="1" x14ac:dyDescent="0.3">
      <c r="A297" s="10"/>
      <c r="B297" s="10"/>
    </row>
    <row r="298" spans="1:2" ht="14.25" customHeight="1" x14ac:dyDescent="0.3">
      <c r="A298" s="10"/>
      <c r="B298" s="10"/>
    </row>
    <row r="299" spans="1:2" ht="14.25" customHeight="1" x14ac:dyDescent="0.3">
      <c r="A299" s="10"/>
      <c r="B299" s="10"/>
    </row>
    <row r="300" spans="1:2" ht="14.25" customHeight="1" x14ac:dyDescent="0.3">
      <c r="A300" s="10"/>
      <c r="B300" s="10"/>
    </row>
    <row r="301" spans="1:2" ht="14.25" customHeight="1" x14ac:dyDescent="0.3">
      <c r="A301" s="10"/>
      <c r="B301" s="10"/>
    </row>
    <row r="302" spans="1:2" ht="14.25" customHeight="1" x14ac:dyDescent="0.3">
      <c r="A302" s="10"/>
      <c r="B302" s="10"/>
    </row>
    <row r="303" spans="1:2" ht="14.25" customHeight="1" x14ac:dyDescent="0.3">
      <c r="A303" s="10"/>
      <c r="B303" s="10"/>
    </row>
    <row r="304" spans="1:2" ht="14.25" customHeight="1" x14ac:dyDescent="0.3">
      <c r="A304" s="10"/>
      <c r="B304" s="10"/>
    </row>
    <row r="305" spans="1:2" ht="14.25" customHeight="1" x14ac:dyDescent="0.3">
      <c r="A305" s="10"/>
      <c r="B305" s="10"/>
    </row>
    <row r="306" spans="1:2" ht="14.25" customHeight="1" x14ac:dyDescent="0.3">
      <c r="A306" s="10"/>
      <c r="B306" s="10"/>
    </row>
    <row r="307" spans="1:2" ht="14.25" customHeight="1" x14ac:dyDescent="0.3">
      <c r="A307" s="10"/>
      <c r="B307" s="10"/>
    </row>
    <row r="308" spans="1:2" ht="14.25" customHeight="1" x14ac:dyDescent="0.3">
      <c r="A308" s="10"/>
      <c r="B308" s="10"/>
    </row>
    <row r="309" spans="1:2" ht="14.25" customHeight="1" x14ac:dyDescent="0.3">
      <c r="A309" s="10"/>
      <c r="B309" s="10"/>
    </row>
    <row r="310" spans="1:2" ht="14.25" customHeight="1" x14ac:dyDescent="0.3">
      <c r="A310" s="10"/>
      <c r="B310" s="10"/>
    </row>
    <row r="311" spans="1:2" ht="14.25" customHeight="1" x14ac:dyDescent="0.3">
      <c r="A311" s="10"/>
      <c r="B311" s="10"/>
    </row>
    <row r="312" spans="1:2" ht="14.25" customHeight="1" x14ac:dyDescent="0.3">
      <c r="A312" s="10"/>
      <c r="B312" s="10"/>
    </row>
    <row r="313" spans="1:2" ht="14.25" customHeight="1" x14ac:dyDescent="0.3">
      <c r="A313" s="10"/>
      <c r="B313" s="10"/>
    </row>
    <row r="314" spans="1:2" ht="14.25" customHeight="1" x14ac:dyDescent="0.3">
      <c r="A314" s="10"/>
      <c r="B314" s="10"/>
    </row>
    <row r="315" spans="1:2" ht="14.25" customHeight="1" x14ac:dyDescent="0.3">
      <c r="A315" s="10"/>
      <c r="B315" s="10"/>
    </row>
    <row r="316" spans="1:2" ht="14.25" customHeight="1" x14ac:dyDescent="0.3">
      <c r="A316" s="10"/>
      <c r="B316" s="10"/>
    </row>
    <row r="317" spans="1:2" ht="14.25" customHeight="1" x14ac:dyDescent="0.3">
      <c r="A317" s="10"/>
      <c r="B317" s="10"/>
    </row>
    <row r="318" spans="1:2" ht="14.25" customHeight="1" x14ac:dyDescent="0.3">
      <c r="A318" s="10"/>
      <c r="B318" s="10"/>
    </row>
    <row r="319" spans="1:2" ht="14.25" customHeight="1" x14ac:dyDescent="0.3">
      <c r="A319" s="10"/>
      <c r="B319" s="10"/>
    </row>
    <row r="320" spans="1:2" ht="14.25" customHeight="1" x14ac:dyDescent="0.3">
      <c r="A320" s="10"/>
      <c r="B320" s="10"/>
    </row>
    <row r="321" spans="1:2" ht="14.25" customHeight="1" x14ac:dyDescent="0.3">
      <c r="A321" s="10"/>
      <c r="B321" s="10"/>
    </row>
    <row r="322" spans="1:2" ht="14.25" customHeight="1" x14ac:dyDescent="0.3">
      <c r="A322" s="10"/>
      <c r="B322" s="10"/>
    </row>
    <row r="323" spans="1:2" ht="14.25" customHeight="1" x14ac:dyDescent="0.3">
      <c r="A323" s="10"/>
      <c r="B323" s="10"/>
    </row>
    <row r="324" spans="1:2" ht="14.25" customHeight="1" x14ac:dyDescent="0.3">
      <c r="A324" s="10"/>
      <c r="B324" s="10"/>
    </row>
    <row r="325" spans="1:2" ht="14.25" customHeight="1" x14ac:dyDescent="0.3">
      <c r="A325" s="10"/>
      <c r="B325" s="10"/>
    </row>
    <row r="326" spans="1:2" ht="14.25" customHeight="1" x14ac:dyDescent="0.3">
      <c r="A326" s="10"/>
      <c r="B326" s="10"/>
    </row>
    <row r="327" spans="1:2" ht="14.25" customHeight="1" x14ac:dyDescent="0.3">
      <c r="A327" s="10"/>
      <c r="B327" s="10"/>
    </row>
    <row r="328" spans="1:2" ht="14.25" customHeight="1" x14ac:dyDescent="0.3">
      <c r="A328" s="10"/>
      <c r="B328" s="10"/>
    </row>
    <row r="329" spans="1:2" ht="14.25" customHeight="1" x14ac:dyDescent="0.3">
      <c r="A329" s="10"/>
      <c r="B329" s="10"/>
    </row>
    <row r="330" spans="1:2" ht="14.25" customHeight="1" x14ac:dyDescent="0.3">
      <c r="A330" s="10"/>
      <c r="B330" s="10"/>
    </row>
    <row r="331" spans="1:2" ht="14.25" customHeight="1" x14ac:dyDescent="0.3">
      <c r="A331" s="10"/>
      <c r="B331" s="10"/>
    </row>
    <row r="332" spans="1:2" ht="14.25" customHeight="1" x14ac:dyDescent="0.3">
      <c r="A332" s="10"/>
      <c r="B332" s="10"/>
    </row>
    <row r="333" spans="1:2" ht="14.25" customHeight="1" x14ac:dyDescent="0.3">
      <c r="A333" s="10"/>
      <c r="B333" s="10"/>
    </row>
    <row r="334" spans="1:2" ht="14.25" customHeight="1" x14ac:dyDescent="0.3">
      <c r="A334" s="10"/>
      <c r="B334" s="10"/>
    </row>
    <row r="335" spans="1:2" ht="14.25" customHeight="1" x14ac:dyDescent="0.3">
      <c r="A335" s="10"/>
      <c r="B335" s="10"/>
    </row>
    <row r="336" spans="1:2" ht="14.25" customHeight="1" x14ac:dyDescent="0.3">
      <c r="A336" s="10"/>
      <c r="B336" s="10"/>
    </row>
    <row r="337" spans="1:2" ht="14.25" customHeight="1" x14ac:dyDescent="0.3">
      <c r="A337" s="10"/>
      <c r="B337" s="10"/>
    </row>
    <row r="338" spans="1:2" ht="14.25" customHeight="1" x14ac:dyDescent="0.3">
      <c r="A338" s="10"/>
      <c r="B338" s="10"/>
    </row>
    <row r="339" spans="1:2" ht="14.25" customHeight="1" x14ac:dyDescent="0.3">
      <c r="A339" s="10"/>
      <c r="B339" s="10"/>
    </row>
    <row r="340" spans="1:2" ht="14.25" customHeight="1" x14ac:dyDescent="0.3">
      <c r="A340" s="10"/>
      <c r="B340" s="10"/>
    </row>
    <row r="341" spans="1:2" ht="14.25" customHeight="1" x14ac:dyDescent="0.3">
      <c r="A341" s="10"/>
      <c r="B341" s="10"/>
    </row>
    <row r="342" spans="1:2" ht="14.25" customHeight="1" x14ac:dyDescent="0.3">
      <c r="A342" s="10"/>
      <c r="B342" s="10"/>
    </row>
    <row r="343" spans="1:2" ht="14.25" customHeight="1" x14ac:dyDescent="0.3">
      <c r="A343" s="10"/>
      <c r="B343" s="10"/>
    </row>
    <row r="344" spans="1:2" ht="14.25" customHeight="1" x14ac:dyDescent="0.3">
      <c r="A344" s="10"/>
      <c r="B344" s="10"/>
    </row>
    <row r="345" spans="1:2" ht="14.25" customHeight="1" x14ac:dyDescent="0.3">
      <c r="A345" s="10"/>
      <c r="B345" s="10"/>
    </row>
    <row r="346" spans="1:2" ht="14.25" customHeight="1" x14ac:dyDescent="0.3">
      <c r="A346" s="10"/>
      <c r="B346" s="10"/>
    </row>
    <row r="347" spans="1:2" ht="14.25" customHeight="1" x14ac:dyDescent="0.3">
      <c r="A347" s="10"/>
      <c r="B347" s="10"/>
    </row>
    <row r="348" spans="1:2" ht="14.25" customHeight="1" x14ac:dyDescent="0.3">
      <c r="A348" s="10"/>
      <c r="B348" s="10"/>
    </row>
    <row r="349" spans="1:2" ht="14.25" customHeight="1" x14ac:dyDescent="0.3">
      <c r="A349" s="10"/>
      <c r="B349" s="10"/>
    </row>
    <row r="350" spans="1:2" ht="14.25" customHeight="1" x14ac:dyDescent="0.3">
      <c r="A350" s="10"/>
      <c r="B350" s="10"/>
    </row>
    <row r="351" spans="1:2" ht="14.25" customHeight="1" x14ac:dyDescent="0.3">
      <c r="A351" s="10"/>
      <c r="B351" s="10"/>
    </row>
    <row r="352" spans="1:2" ht="14.25" customHeight="1" x14ac:dyDescent="0.3">
      <c r="A352" s="10"/>
      <c r="B352" s="10"/>
    </row>
    <row r="353" spans="1:2" ht="14.25" customHeight="1" x14ac:dyDescent="0.3">
      <c r="A353" s="10"/>
      <c r="B353" s="10"/>
    </row>
    <row r="354" spans="1:2" ht="14.25" customHeight="1" x14ac:dyDescent="0.3">
      <c r="A354" s="10"/>
      <c r="B354" s="10"/>
    </row>
    <row r="355" spans="1:2" ht="14.25" customHeight="1" x14ac:dyDescent="0.3">
      <c r="A355" s="10"/>
      <c r="B355" s="10"/>
    </row>
    <row r="356" spans="1:2" ht="14.25" customHeight="1" x14ac:dyDescent="0.3">
      <c r="A356" s="10"/>
      <c r="B356" s="10"/>
    </row>
    <row r="357" spans="1:2" ht="14.25" customHeight="1" x14ac:dyDescent="0.3">
      <c r="A357" s="10"/>
      <c r="B357" s="10"/>
    </row>
    <row r="358" spans="1:2" ht="14.25" customHeight="1" x14ac:dyDescent="0.3">
      <c r="A358" s="10"/>
      <c r="B358" s="10"/>
    </row>
    <row r="359" spans="1:2" ht="14.25" customHeight="1" x14ac:dyDescent="0.3">
      <c r="A359" s="10"/>
      <c r="B359" s="10"/>
    </row>
    <row r="360" spans="1:2" ht="14.25" customHeight="1" x14ac:dyDescent="0.3">
      <c r="A360" s="10"/>
      <c r="B360" s="10"/>
    </row>
    <row r="361" spans="1:2" ht="14.25" customHeight="1" x14ac:dyDescent="0.3">
      <c r="A361" s="10"/>
      <c r="B361" s="10"/>
    </row>
    <row r="362" spans="1:2" ht="14.25" customHeight="1" x14ac:dyDescent="0.3">
      <c r="A362" s="10"/>
      <c r="B362" s="10"/>
    </row>
    <row r="363" spans="1:2" ht="14.25" customHeight="1" x14ac:dyDescent="0.3">
      <c r="A363" s="10"/>
      <c r="B363" s="10"/>
    </row>
    <row r="364" spans="1:2" ht="14.25" customHeight="1" x14ac:dyDescent="0.3">
      <c r="A364" s="10"/>
      <c r="B364" s="10"/>
    </row>
    <row r="365" spans="1:2" ht="14.25" customHeight="1" x14ac:dyDescent="0.3">
      <c r="A365" s="10"/>
      <c r="B365" s="10"/>
    </row>
    <row r="366" spans="1:2" ht="14.25" customHeight="1" x14ac:dyDescent="0.3">
      <c r="A366" s="10"/>
      <c r="B366" s="10"/>
    </row>
    <row r="367" spans="1:2" ht="14.25" customHeight="1" x14ac:dyDescent="0.3">
      <c r="A367" s="10"/>
      <c r="B367" s="10"/>
    </row>
    <row r="368" spans="1:2" ht="14.25" customHeight="1" x14ac:dyDescent="0.3">
      <c r="A368" s="10"/>
      <c r="B368" s="10"/>
    </row>
    <row r="369" spans="1:2" ht="14.25" customHeight="1" x14ac:dyDescent="0.3">
      <c r="A369" s="10"/>
      <c r="B369" s="10"/>
    </row>
    <row r="370" spans="1:2" ht="14.25" customHeight="1" x14ac:dyDescent="0.3">
      <c r="A370" s="10"/>
      <c r="B370" s="10"/>
    </row>
    <row r="371" spans="1:2" ht="14.25" customHeight="1" x14ac:dyDescent="0.3">
      <c r="A371" s="10"/>
      <c r="B371" s="10"/>
    </row>
    <row r="372" spans="1:2" ht="14.25" customHeight="1" x14ac:dyDescent="0.3">
      <c r="A372" s="10"/>
      <c r="B372" s="10"/>
    </row>
    <row r="373" spans="1:2" ht="14.25" customHeight="1" x14ac:dyDescent="0.3">
      <c r="A373" s="10"/>
      <c r="B373" s="10"/>
    </row>
    <row r="374" spans="1:2" ht="14.25" customHeight="1" x14ac:dyDescent="0.3">
      <c r="A374" s="10"/>
      <c r="B374" s="10"/>
    </row>
    <row r="375" spans="1:2" ht="14.25" customHeight="1" x14ac:dyDescent="0.3">
      <c r="A375" s="10"/>
      <c r="B375" s="10"/>
    </row>
    <row r="376" spans="1:2" ht="14.25" customHeight="1" x14ac:dyDescent="0.3">
      <c r="A376" s="10"/>
      <c r="B376" s="10"/>
    </row>
    <row r="377" spans="1:2" ht="14.25" customHeight="1" x14ac:dyDescent="0.3">
      <c r="A377" s="10"/>
      <c r="B377" s="10"/>
    </row>
    <row r="378" spans="1:2" ht="14.25" customHeight="1" x14ac:dyDescent="0.3">
      <c r="A378" s="10"/>
      <c r="B378" s="10"/>
    </row>
    <row r="379" spans="1:2" ht="14.25" customHeight="1" x14ac:dyDescent="0.3">
      <c r="A379" s="10"/>
      <c r="B379" s="10"/>
    </row>
    <row r="380" spans="1:2" ht="14.25" customHeight="1" x14ac:dyDescent="0.3">
      <c r="A380" s="10"/>
      <c r="B380" s="10"/>
    </row>
    <row r="381" spans="1:2" ht="14.25" customHeight="1" x14ac:dyDescent="0.3">
      <c r="A381" s="10"/>
      <c r="B381" s="10"/>
    </row>
    <row r="382" spans="1:2" ht="14.25" customHeight="1" x14ac:dyDescent="0.3">
      <c r="A382" s="10"/>
      <c r="B382" s="10"/>
    </row>
    <row r="383" spans="1:2" ht="14.25" customHeight="1" x14ac:dyDescent="0.3">
      <c r="A383" s="10"/>
      <c r="B383" s="10"/>
    </row>
    <row r="384" spans="1:2" ht="14.25" customHeight="1" x14ac:dyDescent="0.3">
      <c r="A384" s="10"/>
      <c r="B384" s="10"/>
    </row>
    <row r="385" spans="1:2" ht="14.25" customHeight="1" x14ac:dyDescent="0.3">
      <c r="A385" s="10"/>
      <c r="B385" s="10"/>
    </row>
    <row r="386" spans="1:2" ht="14.25" customHeight="1" x14ac:dyDescent="0.3">
      <c r="A386" s="10"/>
      <c r="B386" s="10"/>
    </row>
    <row r="387" spans="1:2" ht="14.25" customHeight="1" x14ac:dyDescent="0.3">
      <c r="A387" s="10"/>
      <c r="B387" s="10"/>
    </row>
    <row r="388" spans="1:2" ht="14.25" customHeight="1" x14ac:dyDescent="0.3">
      <c r="A388" s="10"/>
      <c r="B388" s="10"/>
    </row>
    <row r="389" spans="1:2" ht="14.25" customHeight="1" x14ac:dyDescent="0.3">
      <c r="A389" s="10"/>
      <c r="B389" s="10"/>
    </row>
    <row r="390" spans="1:2" ht="14.25" customHeight="1" x14ac:dyDescent="0.3">
      <c r="A390" s="10"/>
      <c r="B390" s="10"/>
    </row>
    <row r="391" spans="1:2" ht="14.25" customHeight="1" x14ac:dyDescent="0.3">
      <c r="A391" s="10"/>
      <c r="B391" s="10"/>
    </row>
    <row r="392" spans="1:2" ht="14.25" customHeight="1" x14ac:dyDescent="0.3">
      <c r="A392" s="10"/>
      <c r="B392" s="10"/>
    </row>
    <row r="393" spans="1:2" ht="14.25" customHeight="1" x14ac:dyDescent="0.3">
      <c r="A393" s="10"/>
      <c r="B393" s="10"/>
    </row>
    <row r="394" spans="1:2" ht="14.25" customHeight="1" x14ac:dyDescent="0.3">
      <c r="A394" s="10"/>
      <c r="B394" s="10"/>
    </row>
    <row r="395" spans="1:2" ht="14.25" customHeight="1" x14ac:dyDescent="0.3">
      <c r="A395" s="10"/>
      <c r="B395" s="10"/>
    </row>
    <row r="396" spans="1:2" ht="14.25" customHeight="1" x14ac:dyDescent="0.3">
      <c r="A396" s="10"/>
      <c r="B396" s="10"/>
    </row>
    <row r="397" spans="1:2" ht="14.25" customHeight="1" x14ac:dyDescent="0.3">
      <c r="A397" s="10"/>
      <c r="B397" s="10"/>
    </row>
    <row r="398" spans="1:2" ht="14.25" customHeight="1" x14ac:dyDescent="0.3">
      <c r="A398" s="10"/>
      <c r="B398" s="10"/>
    </row>
    <row r="399" spans="1:2" ht="14.25" customHeight="1" x14ac:dyDescent="0.3">
      <c r="A399" s="10"/>
      <c r="B399" s="10"/>
    </row>
    <row r="400" spans="1:2" ht="14.25" customHeight="1" x14ac:dyDescent="0.3">
      <c r="A400" s="10"/>
      <c r="B400" s="10"/>
    </row>
    <row r="401" spans="1:2" ht="14.25" customHeight="1" x14ac:dyDescent="0.3">
      <c r="A401" s="10"/>
      <c r="B401" s="10"/>
    </row>
    <row r="402" spans="1:2" ht="14.25" customHeight="1" x14ac:dyDescent="0.3">
      <c r="A402" s="10"/>
      <c r="B402" s="10"/>
    </row>
    <row r="403" spans="1:2" ht="14.25" customHeight="1" x14ac:dyDescent="0.3">
      <c r="A403" s="10"/>
      <c r="B403" s="10"/>
    </row>
    <row r="404" spans="1:2" ht="14.25" customHeight="1" x14ac:dyDescent="0.3">
      <c r="A404" s="10"/>
      <c r="B404" s="10"/>
    </row>
    <row r="405" spans="1:2" ht="14.25" customHeight="1" x14ac:dyDescent="0.3">
      <c r="A405" s="10"/>
      <c r="B405" s="10"/>
    </row>
    <row r="406" spans="1:2" ht="14.25" customHeight="1" x14ac:dyDescent="0.3">
      <c r="A406" s="10"/>
      <c r="B406" s="10"/>
    </row>
    <row r="407" spans="1:2" ht="14.25" customHeight="1" x14ac:dyDescent="0.3">
      <c r="A407" s="10"/>
      <c r="B407" s="10"/>
    </row>
    <row r="408" spans="1:2" ht="14.25" customHeight="1" x14ac:dyDescent="0.3">
      <c r="A408" s="10"/>
      <c r="B408" s="10"/>
    </row>
    <row r="409" spans="1:2" ht="14.25" customHeight="1" x14ac:dyDescent="0.3">
      <c r="A409" s="10"/>
      <c r="B409" s="10"/>
    </row>
    <row r="410" spans="1:2" ht="14.25" customHeight="1" x14ac:dyDescent="0.3">
      <c r="A410" s="10"/>
      <c r="B410" s="10"/>
    </row>
    <row r="411" spans="1:2" ht="14.25" customHeight="1" x14ac:dyDescent="0.3">
      <c r="A411" s="10"/>
      <c r="B411" s="10"/>
    </row>
    <row r="412" spans="1:2" ht="14.25" customHeight="1" x14ac:dyDescent="0.3">
      <c r="A412" s="10"/>
      <c r="B412" s="10"/>
    </row>
    <row r="413" spans="1:2" ht="14.25" customHeight="1" x14ac:dyDescent="0.3">
      <c r="A413" s="10"/>
      <c r="B413" s="10"/>
    </row>
    <row r="414" spans="1:2" ht="14.25" customHeight="1" x14ac:dyDescent="0.3">
      <c r="A414" s="10"/>
      <c r="B414" s="10"/>
    </row>
    <row r="415" spans="1:2" ht="14.25" customHeight="1" x14ac:dyDescent="0.3">
      <c r="A415" s="10"/>
      <c r="B415" s="10"/>
    </row>
    <row r="416" spans="1:2" ht="14.25" customHeight="1" x14ac:dyDescent="0.3">
      <c r="A416" s="10"/>
      <c r="B416" s="10"/>
    </row>
    <row r="417" spans="1:2" ht="14.25" customHeight="1" x14ac:dyDescent="0.3">
      <c r="A417" s="10"/>
      <c r="B417" s="10"/>
    </row>
    <row r="418" spans="1:2" ht="14.25" customHeight="1" x14ac:dyDescent="0.3">
      <c r="A418" s="10"/>
      <c r="B418" s="10"/>
    </row>
    <row r="419" spans="1:2" ht="14.25" customHeight="1" x14ac:dyDescent="0.3">
      <c r="A419" s="10"/>
      <c r="B419" s="10"/>
    </row>
    <row r="420" spans="1:2" ht="14.25" customHeight="1" x14ac:dyDescent="0.3">
      <c r="A420" s="10"/>
      <c r="B420" s="10"/>
    </row>
    <row r="421" spans="1:2" ht="14.25" customHeight="1" x14ac:dyDescent="0.3">
      <c r="A421" s="10"/>
      <c r="B421" s="10"/>
    </row>
    <row r="422" spans="1:2" ht="14.25" customHeight="1" x14ac:dyDescent="0.3">
      <c r="A422" s="10"/>
      <c r="B422" s="10"/>
    </row>
    <row r="423" spans="1:2" ht="14.25" customHeight="1" x14ac:dyDescent="0.3">
      <c r="A423" s="10"/>
      <c r="B423" s="10"/>
    </row>
    <row r="424" spans="1:2" ht="14.25" customHeight="1" x14ac:dyDescent="0.3">
      <c r="A424" s="10"/>
      <c r="B424" s="10"/>
    </row>
    <row r="425" spans="1:2" ht="14.25" customHeight="1" x14ac:dyDescent="0.3">
      <c r="A425" s="10"/>
      <c r="B425" s="10"/>
    </row>
    <row r="426" spans="1:2" ht="14.25" customHeight="1" x14ac:dyDescent="0.3">
      <c r="A426" s="10"/>
      <c r="B426" s="10"/>
    </row>
    <row r="427" spans="1:2" ht="14.25" customHeight="1" x14ac:dyDescent="0.3">
      <c r="A427" s="10"/>
      <c r="B427" s="10"/>
    </row>
    <row r="428" spans="1:2" ht="14.25" customHeight="1" x14ac:dyDescent="0.3">
      <c r="A428" s="10"/>
      <c r="B428" s="10"/>
    </row>
    <row r="429" spans="1:2" ht="14.25" customHeight="1" x14ac:dyDescent="0.3">
      <c r="A429" s="10"/>
      <c r="B429" s="10"/>
    </row>
    <row r="430" spans="1:2" ht="14.25" customHeight="1" x14ac:dyDescent="0.3">
      <c r="A430" s="10"/>
      <c r="B430" s="10"/>
    </row>
    <row r="431" spans="1:2" ht="14.25" customHeight="1" x14ac:dyDescent="0.3">
      <c r="A431" s="10"/>
      <c r="B431" s="10"/>
    </row>
    <row r="432" spans="1:2" ht="14.25" customHeight="1" x14ac:dyDescent="0.3">
      <c r="A432" s="10"/>
      <c r="B432" s="10"/>
    </row>
    <row r="433" spans="1:2" ht="14.25" customHeight="1" x14ac:dyDescent="0.3">
      <c r="A433" s="10"/>
      <c r="B433" s="10"/>
    </row>
    <row r="434" spans="1:2" ht="14.25" customHeight="1" x14ac:dyDescent="0.3">
      <c r="A434" s="10"/>
      <c r="B434" s="10"/>
    </row>
    <row r="435" spans="1:2" ht="14.25" customHeight="1" x14ac:dyDescent="0.3">
      <c r="A435" s="10"/>
      <c r="B435" s="10"/>
    </row>
    <row r="436" spans="1:2" ht="14.25" customHeight="1" x14ac:dyDescent="0.3">
      <c r="A436" s="10"/>
      <c r="B436" s="10"/>
    </row>
    <row r="437" spans="1:2" ht="14.25" customHeight="1" x14ac:dyDescent="0.3">
      <c r="A437" s="10"/>
      <c r="B437" s="10"/>
    </row>
    <row r="438" spans="1:2" ht="14.25" customHeight="1" x14ac:dyDescent="0.3">
      <c r="A438" s="10"/>
      <c r="B438" s="10"/>
    </row>
    <row r="439" spans="1:2" ht="14.25" customHeight="1" x14ac:dyDescent="0.3">
      <c r="A439" s="10"/>
      <c r="B439" s="10"/>
    </row>
    <row r="440" spans="1:2" ht="14.25" customHeight="1" x14ac:dyDescent="0.3">
      <c r="A440" s="10"/>
      <c r="B440" s="10"/>
    </row>
    <row r="441" spans="1:2" ht="14.25" customHeight="1" x14ac:dyDescent="0.3">
      <c r="A441" s="10"/>
      <c r="B441" s="10"/>
    </row>
    <row r="442" spans="1:2" ht="14.25" customHeight="1" x14ac:dyDescent="0.3">
      <c r="A442" s="10"/>
      <c r="B442" s="10"/>
    </row>
    <row r="443" spans="1:2" ht="14.25" customHeight="1" x14ac:dyDescent="0.3">
      <c r="A443" s="10"/>
      <c r="B443" s="10"/>
    </row>
    <row r="444" spans="1:2" ht="14.25" customHeight="1" x14ac:dyDescent="0.3">
      <c r="A444" s="10"/>
      <c r="B444" s="10"/>
    </row>
    <row r="445" spans="1:2" ht="14.25" customHeight="1" x14ac:dyDescent="0.3">
      <c r="A445" s="10"/>
      <c r="B445" s="10"/>
    </row>
    <row r="446" spans="1:2" ht="14.25" customHeight="1" x14ac:dyDescent="0.3">
      <c r="A446" s="10"/>
      <c r="B446" s="10"/>
    </row>
    <row r="447" spans="1:2" ht="14.25" customHeight="1" x14ac:dyDescent="0.3">
      <c r="A447" s="10"/>
      <c r="B447" s="10"/>
    </row>
    <row r="448" spans="1:2" ht="14.25" customHeight="1" x14ac:dyDescent="0.3">
      <c r="A448" s="10"/>
      <c r="B448" s="10"/>
    </row>
    <row r="449" spans="1:2" ht="14.25" customHeight="1" x14ac:dyDescent="0.3">
      <c r="A449" s="10"/>
      <c r="B449" s="10"/>
    </row>
    <row r="450" spans="1:2" ht="14.25" customHeight="1" x14ac:dyDescent="0.3">
      <c r="A450" s="10"/>
      <c r="B450" s="10"/>
    </row>
    <row r="451" spans="1:2" ht="14.25" customHeight="1" x14ac:dyDescent="0.3">
      <c r="A451" s="10"/>
      <c r="B451" s="10"/>
    </row>
    <row r="452" spans="1:2" ht="14.25" customHeight="1" x14ac:dyDescent="0.3">
      <c r="A452" s="10"/>
      <c r="B452" s="10"/>
    </row>
    <row r="453" spans="1:2" ht="14.25" customHeight="1" x14ac:dyDescent="0.3">
      <c r="A453" s="10"/>
      <c r="B453" s="10"/>
    </row>
    <row r="454" spans="1:2" ht="14.25" customHeight="1" x14ac:dyDescent="0.3">
      <c r="A454" s="10"/>
      <c r="B454" s="10"/>
    </row>
    <row r="455" spans="1:2" ht="14.25" customHeight="1" x14ac:dyDescent="0.3">
      <c r="A455" s="10"/>
      <c r="B455" s="10"/>
    </row>
    <row r="456" spans="1:2" ht="14.25" customHeight="1" x14ac:dyDescent="0.3">
      <c r="A456" s="10"/>
      <c r="B456" s="10"/>
    </row>
    <row r="457" spans="1:2" ht="14.25" customHeight="1" x14ac:dyDescent="0.3">
      <c r="A457" s="10"/>
      <c r="B457" s="10"/>
    </row>
    <row r="458" spans="1:2" ht="14.25" customHeight="1" x14ac:dyDescent="0.3">
      <c r="A458" s="10"/>
      <c r="B458" s="10"/>
    </row>
    <row r="459" spans="1:2" ht="14.25" customHeight="1" x14ac:dyDescent="0.3">
      <c r="A459" s="10"/>
      <c r="B459" s="10"/>
    </row>
    <row r="460" spans="1:2" ht="14.25" customHeight="1" x14ac:dyDescent="0.3">
      <c r="A460" s="10"/>
      <c r="B460" s="10"/>
    </row>
    <row r="461" spans="1:2" ht="14.25" customHeight="1" x14ac:dyDescent="0.3">
      <c r="A461" s="10"/>
      <c r="B461" s="10"/>
    </row>
    <row r="462" spans="1:2" ht="14.25" customHeight="1" x14ac:dyDescent="0.3">
      <c r="A462" s="10"/>
      <c r="B462" s="10"/>
    </row>
    <row r="463" spans="1:2" ht="14.25" customHeight="1" x14ac:dyDescent="0.3">
      <c r="A463" s="10"/>
      <c r="B463" s="10"/>
    </row>
    <row r="464" spans="1:2" ht="14.25" customHeight="1" x14ac:dyDescent="0.3">
      <c r="A464" s="10"/>
      <c r="B464" s="10"/>
    </row>
    <row r="465" spans="1:2" ht="14.25" customHeight="1" x14ac:dyDescent="0.3">
      <c r="A465" s="10"/>
      <c r="B465" s="10"/>
    </row>
    <row r="466" spans="1:2" ht="14.25" customHeight="1" x14ac:dyDescent="0.3">
      <c r="A466" s="10"/>
      <c r="B466" s="10"/>
    </row>
    <row r="467" spans="1:2" ht="14.25" customHeight="1" x14ac:dyDescent="0.3">
      <c r="A467" s="10"/>
      <c r="B467" s="10"/>
    </row>
    <row r="468" spans="1:2" ht="14.25" customHeight="1" x14ac:dyDescent="0.3">
      <c r="A468" s="10"/>
      <c r="B468" s="10"/>
    </row>
    <row r="469" spans="1:2" ht="14.25" customHeight="1" x14ac:dyDescent="0.3">
      <c r="A469" s="10"/>
      <c r="B469" s="10"/>
    </row>
    <row r="470" spans="1:2" ht="14.25" customHeight="1" x14ac:dyDescent="0.3">
      <c r="A470" s="10"/>
      <c r="B470" s="10"/>
    </row>
    <row r="471" spans="1:2" ht="14.25" customHeight="1" x14ac:dyDescent="0.3">
      <c r="A471" s="10"/>
      <c r="B471" s="10"/>
    </row>
    <row r="472" spans="1:2" ht="14.25" customHeight="1" x14ac:dyDescent="0.3">
      <c r="A472" s="10"/>
      <c r="B472" s="10"/>
    </row>
    <row r="473" spans="1:2" ht="14.25" customHeight="1" x14ac:dyDescent="0.3">
      <c r="A473" s="10"/>
      <c r="B473" s="10"/>
    </row>
    <row r="474" spans="1:2" ht="14.25" customHeight="1" x14ac:dyDescent="0.3">
      <c r="A474" s="10"/>
      <c r="B474" s="10"/>
    </row>
    <row r="475" spans="1:2" ht="14.25" customHeight="1" x14ac:dyDescent="0.3">
      <c r="A475" s="10"/>
      <c r="B475" s="10"/>
    </row>
    <row r="476" spans="1:2" ht="14.25" customHeight="1" x14ac:dyDescent="0.3">
      <c r="A476" s="10"/>
      <c r="B476" s="10"/>
    </row>
    <row r="477" spans="1:2" ht="14.25" customHeight="1" x14ac:dyDescent="0.3">
      <c r="A477" s="10"/>
      <c r="B477" s="10"/>
    </row>
    <row r="478" spans="1:2" ht="14.25" customHeight="1" x14ac:dyDescent="0.3">
      <c r="A478" s="10"/>
      <c r="B478" s="10"/>
    </row>
    <row r="479" spans="1:2" ht="14.25" customHeight="1" x14ac:dyDescent="0.3">
      <c r="A479" s="10"/>
      <c r="B479" s="10"/>
    </row>
    <row r="480" spans="1:2" ht="14.25" customHeight="1" x14ac:dyDescent="0.3">
      <c r="A480" s="10"/>
      <c r="B480" s="10"/>
    </row>
    <row r="481" spans="1:2" ht="14.25" customHeight="1" x14ac:dyDescent="0.3">
      <c r="A481" s="10"/>
      <c r="B481" s="10"/>
    </row>
    <row r="482" spans="1:2" ht="14.25" customHeight="1" x14ac:dyDescent="0.3">
      <c r="A482" s="10"/>
      <c r="B482" s="10"/>
    </row>
    <row r="483" spans="1:2" ht="14.25" customHeight="1" x14ac:dyDescent="0.3">
      <c r="A483" s="10"/>
      <c r="B483" s="10"/>
    </row>
    <row r="484" spans="1:2" ht="14.25" customHeight="1" x14ac:dyDescent="0.3">
      <c r="A484" s="10"/>
      <c r="B484" s="10"/>
    </row>
    <row r="485" spans="1:2" ht="14.25" customHeight="1" x14ac:dyDescent="0.3">
      <c r="A485" s="10"/>
      <c r="B485" s="10"/>
    </row>
    <row r="486" spans="1:2" ht="14.25" customHeight="1" x14ac:dyDescent="0.3">
      <c r="A486" s="10"/>
      <c r="B486" s="10"/>
    </row>
    <row r="487" spans="1:2" ht="14.25" customHeight="1" x14ac:dyDescent="0.3">
      <c r="A487" s="10"/>
      <c r="B487" s="10"/>
    </row>
    <row r="488" spans="1:2" ht="14.25" customHeight="1" x14ac:dyDescent="0.3">
      <c r="A488" s="10"/>
      <c r="B488" s="10"/>
    </row>
    <row r="489" spans="1:2" ht="14.25" customHeight="1" x14ac:dyDescent="0.3">
      <c r="A489" s="10"/>
      <c r="B489" s="10"/>
    </row>
    <row r="490" spans="1:2" ht="14.25" customHeight="1" x14ac:dyDescent="0.3">
      <c r="A490" s="10"/>
      <c r="B490" s="10"/>
    </row>
    <row r="491" spans="1:2" ht="14.25" customHeight="1" x14ac:dyDescent="0.3">
      <c r="A491" s="10"/>
      <c r="B491" s="10"/>
    </row>
    <row r="492" spans="1:2" ht="14.25" customHeight="1" x14ac:dyDescent="0.3">
      <c r="A492" s="10"/>
      <c r="B492" s="10"/>
    </row>
    <row r="493" spans="1:2" ht="14.25" customHeight="1" x14ac:dyDescent="0.3">
      <c r="A493" s="10"/>
      <c r="B493" s="10"/>
    </row>
    <row r="494" spans="1:2" ht="14.25" customHeight="1" x14ac:dyDescent="0.3">
      <c r="A494" s="10"/>
      <c r="B494" s="10"/>
    </row>
    <row r="495" spans="1:2" ht="14.25" customHeight="1" x14ac:dyDescent="0.3">
      <c r="A495" s="10"/>
      <c r="B495" s="10"/>
    </row>
    <row r="496" spans="1:2" ht="14.25" customHeight="1" x14ac:dyDescent="0.3">
      <c r="A496" s="10"/>
      <c r="B496" s="10"/>
    </row>
    <row r="497" spans="1:2" ht="14.25" customHeight="1" x14ac:dyDescent="0.3">
      <c r="A497" s="10"/>
      <c r="B497" s="10"/>
    </row>
    <row r="498" spans="1:2" ht="14.25" customHeight="1" x14ac:dyDescent="0.3">
      <c r="A498" s="10"/>
      <c r="B498" s="10"/>
    </row>
    <row r="499" spans="1:2" ht="14.25" customHeight="1" x14ac:dyDescent="0.3">
      <c r="A499" s="10"/>
      <c r="B499" s="10"/>
    </row>
    <row r="500" spans="1:2" ht="14.25" customHeight="1" x14ac:dyDescent="0.3">
      <c r="A500" s="10"/>
      <c r="B500" s="10"/>
    </row>
    <row r="501" spans="1:2" ht="14.25" customHeight="1" x14ac:dyDescent="0.3">
      <c r="A501" s="10"/>
      <c r="B501" s="10"/>
    </row>
    <row r="502" spans="1:2" ht="14.25" customHeight="1" x14ac:dyDescent="0.3">
      <c r="A502" s="10"/>
      <c r="B502" s="10"/>
    </row>
    <row r="503" spans="1:2" ht="14.25" customHeight="1" x14ac:dyDescent="0.3">
      <c r="A503" s="10"/>
      <c r="B503" s="10"/>
    </row>
    <row r="504" spans="1:2" ht="14.25" customHeight="1" x14ac:dyDescent="0.3">
      <c r="A504" s="10"/>
      <c r="B504" s="10"/>
    </row>
    <row r="505" spans="1:2" ht="14.25" customHeight="1" x14ac:dyDescent="0.3">
      <c r="A505" s="10"/>
      <c r="B505" s="10"/>
    </row>
    <row r="506" spans="1:2" ht="14.25" customHeight="1" x14ac:dyDescent="0.3">
      <c r="A506" s="10"/>
      <c r="B506" s="10"/>
    </row>
    <row r="507" spans="1:2" ht="14.25" customHeight="1" x14ac:dyDescent="0.3">
      <c r="A507" s="10"/>
      <c r="B507" s="10"/>
    </row>
    <row r="508" spans="1:2" ht="14.25" customHeight="1" x14ac:dyDescent="0.3">
      <c r="A508" s="10"/>
      <c r="B508" s="10"/>
    </row>
    <row r="509" spans="1:2" ht="14.25" customHeight="1" x14ac:dyDescent="0.3">
      <c r="A509" s="10"/>
      <c r="B509" s="10"/>
    </row>
    <row r="510" spans="1:2" ht="14.25" customHeight="1" x14ac:dyDescent="0.3">
      <c r="A510" s="10"/>
      <c r="B510" s="10"/>
    </row>
    <row r="511" spans="1:2" ht="14.25" customHeight="1" x14ac:dyDescent="0.3">
      <c r="A511" s="10"/>
      <c r="B511" s="10"/>
    </row>
    <row r="512" spans="1:2" ht="14.25" customHeight="1" x14ac:dyDescent="0.3">
      <c r="A512" s="10"/>
      <c r="B512" s="10"/>
    </row>
    <row r="513" spans="1:2" ht="14.25" customHeight="1" x14ac:dyDescent="0.3">
      <c r="A513" s="10"/>
      <c r="B513" s="10"/>
    </row>
    <row r="514" spans="1:2" ht="14.25" customHeight="1" x14ac:dyDescent="0.3">
      <c r="A514" s="10"/>
      <c r="B514" s="10"/>
    </row>
    <row r="515" spans="1:2" ht="14.25" customHeight="1" x14ac:dyDescent="0.3">
      <c r="A515" s="10"/>
      <c r="B515" s="10"/>
    </row>
    <row r="516" spans="1:2" ht="14.25" customHeight="1" x14ac:dyDescent="0.3">
      <c r="A516" s="10"/>
      <c r="B516" s="10"/>
    </row>
    <row r="517" spans="1:2" ht="14.25" customHeight="1" x14ac:dyDescent="0.3">
      <c r="A517" s="10"/>
      <c r="B517" s="10"/>
    </row>
    <row r="518" spans="1:2" ht="14.25" customHeight="1" x14ac:dyDescent="0.3">
      <c r="A518" s="10"/>
      <c r="B518" s="10"/>
    </row>
    <row r="519" spans="1:2" ht="14.25" customHeight="1" x14ac:dyDescent="0.3">
      <c r="A519" s="10"/>
      <c r="B519" s="10"/>
    </row>
    <row r="520" spans="1:2" ht="14.25" customHeight="1" x14ac:dyDescent="0.3">
      <c r="A520" s="10"/>
      <c r="B520" s="10"/>
    </row>
    <row r="521" spans="1:2" ht="14.25" customHeight="1" x14ac:dyDescent="0.3">
      <c r="A521" s="10"/>
      <c r="B521" s="10"/>
    </row>
    <row r="522" spans="1:2" ht="14.25" customHeight="1" x14ac:dyDescent="0.3">
      <c r="A522" s="10"/>
      <c r="B522" s="10"/>
    </row>
    <row r="523" spans="1:2" ht="14.25" customHeight="1" x14ac:dyDescent="0.3">
      <c r="A523" s="10"/>
      <c r="B523" s="10"/>
    </row>
    <row r="524" spans="1:2" ht="14.25" customHeight="1" x14ac:dyDescent="0.3">
      <c r="A524" s="10"/>
      <c r="B524" s="10"/>
    </row>
    <row r="525" spans="1:2" ht="14.25" customHeight="1" x14ac:dyDescent="0.3">
      <c r="A525" s="10"/>
      <c r="B525" s="10"/>
    </row>
    <row r="526" spans="1:2" ht="14.25" customHeight="1" x14ac:dyDescent="0.3">
      <c r="A526" s="10"/>
      <c r="B526" s="10"/>
    </row>
    <row r="527" spans="1:2" ht="14.25" customHeight="1" x14ac:dyDescent="0.3">
      <c r="A527" s="10"/>
      <c r="B527" s="10"/>
    </row>
    <row r="528" spans="1:2" ht="14.25" customHeight="1" x14ac:dyDescent="0.3">
      <c r="A528" s="10"/>
      <c r="B528" s="10"/>
    </row>
    <row r="529" spans="1:2" ht="14.25" customHeight="1" x14ac:dyDescent="0.3">
      <c r="A529" s="10"/>
      <c r="B529" s="10"/>
    </row>
    <row r="530" spans="1:2" ht="14.25" customHeight="1" x14ac:dyDescent="0.3">
      <c r="A530" s="10"/>
      <c r="B530" s="10"/>
    </row>
    <row r="531" spans="1:2" ht="14.25" customHeight="1" x14ac:dyDescent="0.3">
      <c r="A531" s="10"/>
      <c r="B531" s="10"/>
    </row>
    <row r="532" spans="1:2" ht="14.25" customHeight="1" x14ac:dyDescent="0.3">
      <c r="A532" s="10"/>
      <c r="B532" s="10"/>
    </row>
    <row r="533" spans="1:2" ht="14.25" customHeight="1" x14ac:dyDescent="0.3">
      <c r="A533" s="10"/>
      <c r="B533" s="10"/>
    </row>
    <row r="534" spans="1:2" ht="14.25" customHeight="1" x14ac:dyDescent="0.3">
      <c r="A534" s="10"/>
      <c r="B534" s="10"/>
    </row>
    <row r="535" spans="1:2" ht="14.25" customHeight="1" x14ac:dyDescent="0.3">
      <c r="A535" s="10"/>
      <c r="B535" s="10"/>
    </row>
    <row r="536" spans="1:2" ht="14.25" customHeight="1" x14ac:dyDescent="0.3">
      <c r="A536" s="10"/>
      <c r="B536" s="10"/>
    </row>
    <row r="537" spans="1:2" ht="14.25" customHeight="1" x14ac:dyDescent="0.3">
      <c r="A537" s="10"/>
      <c r="B537" s="10"/>
    </row>
    <row r="538" spans="1:2" ht="14.25" customHeight="1" x14ac:dyDescent="0.3">
      <c r="A538" s="10"/>
      <c r="B538" s="10"/>
    </row>
    <row r="539" spans="1:2" ht="14.25" customHeight="1" x14ac:dyDescent="0.3">
      <c r="A539" s="10"/>
      <c r="B539" s="10"/>
    </row>
    <row r="540" spans="1:2" ht="14.25" customHeight="1" x14ac:dyDescent="0.3">
      <c r="A540" s="10"/>
      <c r="B540" s="10"/>
    </row>
    <row r="541" spans="1:2" ht="14.25" customHeight="1" x14ac:dyDescent="0.3">
      <c r="A541" s="10"/>
      <c r="B541" s="10"/>
    </row>
    <row r="542" spans="1:2" ht="14.25" customHeight="1" x14ac:dyDescent="0.3">
      <c r="A542" s="10"/>
      <c r="B542" s="10"/>
    </row>
    <row r="543" spans="1:2" ht="14.25" customHeight="1" x14ac:dyDescent="0.3">
      <c r="A543" s="10"/>
      <c r="B543" s="10"/>
    </row>
    <row r="544" spans="1:2" ht="14.25" customHeight="1" x14ac:dyDescent="0.3">
      <c r="A544" s="10"/>
      <c r="B544" s="10"/>
    </row>
    <row r="545" spans="1:2" ht="14.25" customHeight="1" x14ac:dyDescent="0.3">
      <c r="A545" s="10"/>
      <c r="B545" s="10"/>
    </row>
    <row r="546" spans="1:2" ht="14.25" customHeight="1" x14ac:dyDescent="0.3">
      <c r="A546" s="10"/>
      <c r="B546" s="10"/>
    </row>
    <row r="547" spans="1:2" ht="14.25" customHeight="1" x14ac:dyDescent="0.3">
      <c r="A547" s="10"/>
      <c r="B547" s="10"/>
    </row>
    <row r="548" spans="1:2" ht="14.25" customHeight="1" x14ac:dyDescent="0.3">
      <c r="A548" s="10"/>
      <c r="B548" s="10"/>
    </row>
    <row r="549" spans="1:2" ht="14.25" customHeight="1" x14ac:dyDescent="0.3">
      <c r="A549" s="10"/>
      <c r="B549" s="10"/>
    </row>
    <row r="550" spans="1:2" ht="14.25" customHeight="1" x14ac:dyDescent="0.3">
      <c r="A550" s="10"/>
      <c r="B550" s="10"/>
    </row>
    <row r="551" spans="1:2" ht="14.25" customHeight="1" x14ac:dyDescent="0.3">
      <c r="A551" s="10"/>
      <c r="B551" s="10"/>
    </row>
    <row r="552" spans="1:2" ht="14.25" customHeight="1" x14ac:dyDescent="0.3">
      <c r="A552" s="10"/>
      <c r="B552" s="10"/>
    </row>
    <row r="553" spans="1:2" ht="14.25" customHeight="1" x14ac:dyDescent="0.3">
      <c r="A553" s="10"/>
      <c r="B553" s="10"/>
    </row>
    <row r="554" spans="1:2" ht="14.25" customHeight="1" x14ac:dyDescent="0.3">
      <c r="A554" s="10"/>
      <c r="B554" s="10"/>
    </row>
    <row r="555" spans="1:2" ht="14.25" customHeight="1" x14ac:dyDescent="0.3">
      <c r="A555" s="10"/>
      <c r="B555" s="10"/>
    </row>
    <row r="556" spans="1:2" ht="14.25" customHeight="1" x14ac:dyDescent="0.3">
      <c r="A556" s="10"/>
      <c r="B556" s="10"/>
    </row>
    <row r="557" spans="1:2" ht="14.25" customHeight="1" x14ac:dyDescent="0.3">
      <c r="A557" s="10"/>
      <c r="B557" s="10"/>
    </row>
    <row r="558" spans="1:2" ht="14.25" customHeight="1" x14ac:dyDescent="0.3">
      <c r="A558" s="10"/>
      <c r="B558" s="10"/>
    </row>
    <row r="559" spans="1:2" ht="14.25" customHeight="1" x14ac:dyDescent="0.3">
      <c r="A559" s="10"/>
      <c r="B559" s="10"/>
    </row>
    <row r="560" spans="1:2" ht="14.25" customHeight="1" x14ac:dyDescent="0.3">
      <c r="A560" s="10"/>
      <c r="B560" s="10"/>
    </row>
    <row r="561" spans="1:2" ht="14.25" customHeight="1" x14ac:dyDescent="0.3">
      <c r="A561" s="10"/>
      <c r="B561" s="10"/>
    </row>
    <row r="562" spans="1:2" ht="14.25" customHeight="1" x14ac:dyDescent="0.3">
      <c r="A562" s="10"/>
      <c r="B562" s="10"/>
    </row>
    <row r="563" spans="1:2" ht="14.25" customHeight="1" x14ac:dyDescent="0.3">
      <c r="A563" s="10"/>
      <c r="B563" s="10"/>
    </row>
    <row r="564" spans="1:2" ht="14.25" customHeight="1" x14ac:dyDescent="0.3">
      <c r="A564" s="10"/>
      <c r="B564" s="10"/>
    </row>
    <row r="565" spans="1:2" ht="14.25" customHeight="1" x14ac:dyDescent="0.3">
      <c r="A565" s="10"/>
      <c r="B565" s="10"/>
    </row>
    <row r="566" spans="1:2" ht="14.25" customHeight="1" x14ac:dyDescent="0.3">
      <c r="A566" s="10"/>
      <c r="B566" s="10"/>
    </row>
    <row r="567" spans="1:2" ht="14.25" customHeight="1" x14ac:dyDescent="0.3">
      <c r="A567" s="10"/>
      <c r="B567" s="10"/>
    </row>
    <row r="568" spans="1:2" ht="14.25" customHeight="1" x14ac:dyDescent="0.3">
      <c r="A568" s="10"/>
      <c r="B568" s="10"/>
    </row>
    <row r="569" spans="1:2" ht="14.25" customHeight="1" x14ac:dyDescent="0.3">
      <c r="A569" s="10"/>
      <c r="B569" s="10"/>
    </row>
    <row r="570" spans="1:2" ht="14.25" customHeight="1" x14ac:dyDescent="0.3">
      <c r="A570" s="10"/>
      <c r="B570" s="10"/>
    </row>
    <row r="571" spans="1:2" ht="14.25" customHeight="1" x14ac:dyDescent="0.3">
      <c r="A571" s="10"/>
      <c r="B571" s="10"/>
    </row>
    <row r="572" spans="1:2" ht="14.25" customHeight="1" x14ac:dyDescent="0.3">
      <c r="A572" s="10"/>
      <c r="B572" s="10"/>
    </row>
    <row r="573" spans="1:2" ht="14.25" customHeight="1" x14ac:dyDescent="0.3">
      <c r="A573" s="10"/>
      <c r="B573" s="10"/>
    </row>
    <row r="574" spans="1:2" ht="14.25" customHeight="1" x14ac:dyDescent="0.3">
      <c r="A574" s="10"/>
      <c r="B574" s="10"/>
    </row>
    <row r="575" spans="1:2" ht="14.25" customHeight="1" x14ac:dyDescent="0.3">
      <c r="A575" s="10"/>
      <c r="B575" s="10"/>
    </row>
    <row r="576" spans="1:2" ht="14.25" customHeight="1" x14ac:dyDescent="0.3">
      <c r="A576" s="10"/>
      <c r="B576" s="10"/>
    </row>
    <row r="577" spans="1:2" ht="14.25" customHeight="1" x14ac:dyDescent="0.3">
      <c r="A577" s="10"/>
      <c r="B577" s="10"/>
    </row>
    <row r="578" spans="1:2" ht="14.25" customHeight="1" x14ac:dyDescent="0.3">
      <c r="A578" s="10"/>
      <c r="B578" s="10"/>
    </row>
    <row r="579" spans="1:2" ht="14.25" customHeight="1" x14ac:dyDescent="0.3">
      <c r="A579" s="10"/>
      <c r="B579" s="10"/>
    </row>
    <row r="580" spans="1:2" ht="14.25" customHeight="1" x14ac:dyDescent="0.3">
      <c r="A580" s="10"/>
      <c r="B580" s="10"/>
    </row>
    <row r="581" spans="1:2" ht="14.25" customHeight="1" x14ac:dyDescent="0.3">
      <c r="A581" s="10"/>
      <c r="B581" s="10"/>
    </row>
    <row r="582" spans="1:2" ht="14.25" customHeight="1" x14ac:dyDescent="0.3">
      <c r="A582" s="10"/>
      <c r="B582" s="10"/>
    </row>
    <row r="583" spans="1:2" ht="14.25" customHeight="1" x14ac:dyDescent="0.3">
      <c r="A583" s="10"/>
      <c r="B583" s="10"/>
    </row>
    <row r="584" spans="1:2" ht="14.25" customHeight="1" x14ac:dyDescent="0.3">
      <c r="A584" s="10"/>
      <c r="B584" s="10"/>
    </row>
    <row r="585" spans="1:2" ht="14.25" customHeight="1" x14ac:dyDescent="0.3">
      <c r="A585" s="10"/>
      <c r="B585" s="10"/>
    </row>
    <row r="586" spans="1:2" ht="14.25" customHeight="1" x14ac:dyDescent="0.3">
      <c r="A586" s="10"/>
      <c r="B586" s="10"/>
    </row>
    <row r="587" spans="1:2" ht="14.25" customHeight="1" x14ac:dyDescent="0.3">
      <c r="A587" s="10"/>
      <c r="B587" s="10"/>
    </row>
    <row r="588" spans="1:2" ht="14.25" customHeight="1" x14ac:dyDescent="0.3">
      <c r="A588" s="10"/>
      <c r="B588" s="10"/>
    </row>
    <row r="589" spans="1:2" ht="14.25" customHeight="1" x14ac:dyDescent="0.3">
      <c r="A589" s="10"/>
      <c r="B589" s="10"/>
    </row>
    <row r="590" spans="1:2" ht="14.25" customHeight="1" x14ac:dyDescent="0.3">
      <c r="A590" s="10"/>
      <c r="B590" s="10"/>
    </row>
    <row r="591" spans="1:2" ht="14.25" customHeight="1" x14ac:dyDescent="0.3">
      <c r="A591" s="10"/>
      <c r="B591" s="10"/>
    </row>
    <row r="592" spans="1:2" ht="14.25" customHeight="1" x14ac:dyDescent="0.3">
      <c r="A592" s="10"/>
      <c r="B592" s="10"/>
    </row>
    <row r="593" spans="1:2" ht="14.25" customHeight="1" x14ac:dyDescent="0.3">
      <c r="A593" s="10"/>
      <c r="B593" s="10"/>
    </row>
    <row r="594" spans="1:2" ht="14.25" customHeight="1" x14ac:dyDescent="0.3">
      <c r="A594" s="10"/>
      <c r="B594" s="10"/>
    </row>
    <row r="595" spans="1:2" ht="14.25" customHeight="1" x14ac:dyDescent="0.3">
      <c r="A595" s="10"/>
      <c r="B595" s="10"/>
    </row>
    <row r="596" spans="1:2" ht="14.25" customHeight="1" x14ac:dyDescent="0.3">
      <c r="A596" s="10"/>
      <c r="B596" s="10"/>
    </row>
    <row r="597" spans="1:2" ht="14.25" customHeight="1" x14ac:dyDescent="0.3">
      <c r="A597" s="10"/>
      <c r="B597" s="10"/>
    </row>
    <row r="598" spans="1:2" ht="14.25" customHeight="1" x14ac:dyDescent="0.3">
      <c r="A598" s="10"/>
      <c r="B598" s="10"/>
    </row>
    <row r="599" spans="1:2" ht="14.25" customHeight="1" x14ac:dyDescent="0.3">
      <c r="A599" s="10"/>
      <c r="B599" s="10"/>
    </row>
    <row r="600" spans="1:2" ht="14.25" customHeight="1" x14ac:dyDescent="0.3">
      <c r="A600" s="10"/>
      <c r="B600" s="10"/>
    </row>
    <row r="601" spans="1:2" ht="14.25" customHeight="1" x14ac:dyDescent="0.3">
      <c r="A601" s="10"/>
      <c r="B601" s="10"/>
    </row>
    <row r="602" spans="1:2" ht="14.25" customHeight="1" x14ac:dyDescent="0.3">
      <c r="A602" s="10"/>
      <c r="B602" s="10"/>
    </row>
    <row r="603" spans="1:2" ht="14.25" customHeight="1" x14ac:dyDescent="0.3">
      <c r="A603" s="10"/>
      <c r="B603" s="10"/>
    </row>
    <row r="604" spans="1:2" ht="14.25" customHeight="1" x14ac:dyDescent="0.3">
      <c r="A604" s="10"/>
      <c r="B604" s="10"/>
    </row>
    <row r="605" spans="1:2" ht="14.25" customHeight="1" x14ac:dyDescent="0.3">
      <c r="A605" s="10"/>
      <c r="B605" s="10"/>
    </row>
    <row r="606" spans="1:2" ht="14.25" customHeight="1" x14ac:dyDescent="0.3">
      <c r="A606" s="10"/>
      <c r="B606" s="10"/>
    </row>
    <row r="607" spans="1:2" ht="14.25" customHeight="1" x14ac:dyDescent="0.3">
      <c r="A607" s="10"/>
      <c r="B607" s="10"/>
    </row>
    <row r="608" spans="1:2" ht="14.25" customHeight="1" x14ac:dyDescent="0.3">
      <c r="A608" s="10"/>
      <c r="B608" s="10"/>
    </row>
    <row r="609" spans="1:2" ht="14.25" customHeight="1" x14ac:dyDescent="0.3">
      <c r="A609" s="10"/>
      <c r="B609" s="10"/>
    </row>
    <row r="610" spans="1:2" ht="14.25" customHeight="1" x14ac:dyDescent="0.3">
      <c r="A610" s="10"/>
      <c r="B610" s="10"/>
    </row>
    <row r="611" spans="1:2" ht="14.25" customHeight="1" x14ac:dyDescent="0.3">
      <c r="A611" s="10"/>
      <c r="B611" s="10"/>
    </row>
    <row r="612" spans="1:2" ht="14.25" customHeight="1" x14ac:dyDescent="0.3">
      <c r="A612" s="10"/>
      <c r="B612" s="10"/>
    </row>
    <row r="613" spans="1:2" ht="14.25" customHeight="1" x14ac:dyDescent="0.3">
      <c r="A613" s="10"/>
      <c r="B613" s="10"/>
    </row>
    <row r="614" spans="1:2" ht="14.25" customHeight="1" x14ac:dyDescent="0.3">
      <c r="A614" s="10"/>
      <c r="B614" s="10"/>
    </row>
    <row r="615" spans="1:2" ht="14.25" customHeight="1" x14ac:dyDescent="0.3">
      <c r="A615" s="10"/>
      <c r="B615" s="10"/>
    </row>
    <row r="616" spans="1:2" ht="14.25" customHeight="1" x14ac:dyDescent="0.3">
      <c r="A616" s="10"/>
      <c r="B616" s="10"/>
    </row>
    <row r="617" spans="1:2" ht="14.25" customHeight="1" x14ac:dyDescent="0.3">
      <c r="A617" s="10"/>
      <c r="B617" s="10"/>
    </row>
    <row r="618" spans="1:2" ht="14.25" customHeight="1" x14ac:dyDescent="0.3">
      <c r="A618" s="10"/>
      <c r="B618" s="10"/>
    </row>
    <row r="619" spans="1:2" ht="14.25" customHeight="1" x14ac:dyDescent="0.3">
      <c r="A619" s="10"/>
      <c r="B619" s="10"/>
    </row>
    <row r="620" spans="1:2" ht="14.25" customHeight="1" x14ac:dyDescent="0.3">
      <c r="A620" s="10"/>
      <c r="B620" s="10"/>
    </row>
    <row r="621" spans="1:2" ht="14.25" customHeight="1" x14ac:dyDescent="0.3">
      <c r="A621" s="10"/>
      <c r="B621" s="10"/>
    </row>
    <row r="622" spans="1:2" ht="14.25" customHeight="1" x14ac:dyDescent="0.3">
      <c r="A622" s="10"/>
      <c r="B622" s="10"/>
    </row>
    <row r="623" spans="1:2" ht="14.25" customHeight="1" x14ac:dyDescent="0.3">
      <c r="A623" s="10"/>
      <c r="B623" s="10"/>
    </row>
    <row r="624" spans="1:2" ht="14.25" customHeight="1" x14ac:dyDescent="0.3">
      <c r="A624" s="10"/>
      <c r="B624" s="10"/>
    </row>
    <row r="625" spans="1:2" ht="14.25" customHeight="1" x14ac:dyDescent="0.3">
      <c r="A625" s="10"/>
      <c r="B625" s="10"/>
    </row>
    <row r="626" spans="1:2" ht="14.25" customHeight="1" x14ac:dyDescent="0.3">
      <c r="A626" s="10"/>
      <c r="B626" s="10"/>
    </row>
    <row r="627" spans="1:2" ht="14.25" customHeight="1" x14ac:dyDescent="0.3">
      <c r="A627" s="10"/>
      <c r="B627" s="10"/>
    </row>
    <row r="628" spans="1:2" ht="14.25" customHeight="1" x14ac:dyDescent="0.3">
      <c r="A628" s="10"/>
      <c r="B628" s="10"/>
    </row>
    <row r="629" spans="1:2" ht="14.25" customHeight="1" x14ac:dyDescent="0.3">
      <c r="A629" s="10"/>
      <c r="B629" s="10"/>
    </row>
    <row r="630" spans="1:2" ht="14.25" customHeight="1" x14ac:dyDescent="0.3">
      <c r="A630" s="10"/>
      <c r="B630" s="10"/>
    </row>
    <row r="631" spans="1:2" ht="14.25" customHeight="1" x14ac:dyDescent="0.3">
      <c r="A631" s="10"/>
      <c r="B631" s="10"/>
    </row>
    <row r="632" spans="1:2" ht="14.25" customHeight="1" x14ac:dyDescent="0.3">
      <c r="A632" s="10"/>
      <c r="B632" s="10"/>
    </row>
    <row r="633" spans="1:2" ht="14.25" customHeight="1" x14ac:dyDescent="0.3">
      <c r="A633" s="10"/>
      <c r="B633" s="10"/>
    </row>
    <row r="634" spans="1:2" ht="14.25" customHeight="1" x14ac:dyDescent="0.3">
      <c r="A634" s="10"/>
      <c r="B634" s="10"/>
    </row>
    <row r="635" spans="1:2" ht="14.25" customHeight="1" x14ac:dyDescent="0.3">
      <c r="A635" s="10"/>
      <c r="B635" s="10"/>
    </row>
    <row r="636" spans="1:2" ht="14.25" customHeight="1" x14ac:dyDescent="0.3">
      <c r="A636" s="10"/>
      <c r="B636" s="10"/>
    </row>
    <row r="637" spans="1:2" ht="14.25" customHeight="1" x14ac:dyDescent="0.3">
      <c r="A637" s="10"/>
      <c r="B637" s="10"/>
    </row>
    <row r="638" spans="1:2" ht="14.25" customHeight="1" x14ac:dyDescent="0.3">
      <c r="A638" s="10"/>
      <c r="B638" s="10"/>
    </row>
    <row r="639" spans="1:2" ht="14.25" customHeight="1" x14ac:dyDescent="0.3">
      <c r="A639" s="10"/>
      <c r="B639" s="10"/>
    </row>
    <row r="640" spans="1:2" ht="14.25" customHeight="1" x14ac:dyDescent="0.3">
      <c r="A640" s="10"/>
      <c r="B640" s="10"/>
    </row>
    <row r="641" spans="1:2" ht="14.25" customHeight="1" x14ac:dyDescent="0.3">
      <c r="A641" s="10"/>
      <c r="B641" s="10"/>
    </row>
    <row r="642" spans="1:2" ht="14.25" customHeight="1" x14ac:dyDescent="0.3">
      <c r="A642" s="10"/>
      <c r="B642" s="10"/>
    </row>
    <row r="643" spans="1:2" ht="14.25" customHeight="1" x14ac:dyDescent="0.3">
      <c r="A643" s="10"/>
      <c r="B643" s="10"/>
    </row>
    <row r="644" spans="1:2" ht="14.25" customHeight="1" x14ac:dyDescent="0.3">
      <c r="A644" s="10"/>
      <c r="B644" s="10"/>
    </row>
    <row r="645" spans="1:2" ht="14.25" customHeight="1" x14ac:dyDescent="0.3">
      <c r="A645" s="10"/>
      <c r="B645" s="10"/>
    </row>
    <row r="646" spans="1:2" ht="14.25" customHeight="1" x14ac:dyDescent="0.3">
      <c r="A646" s="10"/>
      <c r="B646" s="10"/>
    </row>
    <row r="647" spans="1:2" ht="14.25" customHeight="1" x14ac:dyDescent="0.3">
      <c r="A647" s="10"/>
      <c r="B647" s="10"/>
    </row>
    <row r="648" spans="1:2" ht="14.25" customHeight="1" x14ac:dyDescent="0.3">
      <c r="A648" s="10"/>
      <c r="B648" s="10"/>
    </row>
    <row r="649" spans="1:2" ht="14.25" customHeight="1" x14ac:dyDescent="0.3">
      <c r="A649" s="10"/>
      <c r="B649" s="10"/>
    </row>
    <row r="650" spans="1:2" ht="14.25" customHeight="1" x14ac:dyDescent="0.3">
      <c r="A650" s="10"/>
      <c r="B650" s="10"/>
    </row>
    <row r="651" spans="1:2" ht="14.25" customHeight="1" x14ac:dyDescent="0.3">
      <c r="A651" s="10"/>
      <c r="B651" s="10"/>
    </row>
    <row r="652" spans="1:2" ht="14.25" customHeight="1" x14ac:dyDescent="0.3">
      <c r="A652" s="10"/>
      <c r="B652" s="10"/>
    </row>
    <row r="653" spans="1:2" ht="14.25" customHeight="1" x14ac:dyDescent="0.3">
      <c r="A653" s="10"/>
      <c r="B653" s="10"/>
    </row>
    <row r="654" spans="1:2" ht="14.25" customHeight="1" x14ac:dyDescent="0.3">
      <c r="A654" s="10"/>
      <c r="B654" s="10"/>
    </row>
    <row r="655" spans="1:2" ht="14.25" customHeight="1" x14ac:dyDescent="0.3">
      <c r="A655" s="10"/>
      <c r="B655" s="10"/>
    </row>
    <row r="656" spans="1:2" ht="14.25" customHeight="1" x14ac:dyDescent="0.3">
      <c r="A656" s="10"/>
      <c r="B656" s="10"/>
    </row>
    <row r="657" spans="1:2" ht="14.25" customHeight="1" x14ac:dyDescent="0.3">
      <c r="A657" s="10"/>
      <c r="B657" s="10"/>
    </row>
    <row r="658" spans="1:2" ht="14.25" customHeight="1" x14ac:dyDescent="0.3">
      <c r="A658" s="10"/>
      <c r="B658" s="10"/>
    </row>
    <row r="659" spans="1:2" ht="14.25" customHeight="1" x14ac:dyDescent="0.3">
      <c r="A659" s="10"/>
      <c r="B659" s="10"/>
    </row>
    <row r="660" spans="1:2" ht="14.25" customHeight="1" x14ac:dyDescent="0.3">
      <c r="A660" s="10"/>
      <c r="B660" s="10"/>
    </row>
    <row r="661" spans="1:2" ht="14.25" customHeight="1" x14ac:dyDescent="0.3">
      <c r="A661" s="10"/>
      <c r="B661" s="10"/>
    </row>
    <row r="662" spans="1:2" ht="14.25" customHeight="1" x14ac:dyDescent="0.3">
      <c r="A662" s="10"/>
      <c r="B662" s="10"/>
    </row>
    <row r="663" spans="1:2" ht="14.25" customHeight="1" x14ac:dyDescent="0.3">
      <c r="A663" s="10"/>
      <c r="B663" s="10"/>
    </row>
    <row r="664" spans="1:2" ht="14.25" customHeight="1" x14ac:dyDescent="0.3">
      <c r="A664" s="10"/>
      <c r="B664" s="10"/>
    </row>
    <row r="665" spans="1:2" ht="14.25" customHeight="1" x14ac:dyDescent="0.3">
      <c r="A665" s="10"/>
      <c r="B665" s="10"/>
    </row>
    <row r="666" spans="1:2" ht="14.25" customHeight="1" x14ac:dyDescent="0.3">
      <c r="A666" s="10"/>
      <c r="B666" s="10"/>
    </row>
    <row r="667" spans="1:2" ht="14.25" customHeight="1" x14ac:dyDescent="0.3">
      <c r="A667" s="10"/>
      <c r="B667" s="10"/>
    </row>
    <row r="668" spans="1:2" ht="14.25" customHeight="1" x14ac:dyDescent="0.3">
      <c r="A668" s="10"/>
      <c r="B668" s="10"/>
    </row>
    <row r="669" spans="1:2" ht="14.25" customHeight="1" x14ac:dyDescent="0.3">
      <c r="A669" s="10"/>
      <c r="B669" s="10"/>
    </row>
    <row r="670" spans="1:2" ht="14.25" customHeight="1" x14ac:dyDescent="0.3">
      <c r="A670" s="10"/>
      <c r="B670" s="10"/>
    </row>
    <row r="671" spans="1:2" ht="14.25" customHeight="1" x14ac:dyDescent="0.3">
      <c r="A671" s="10"/>
      <c r="B671" s="10"/>
    </row>
    <row r="672" spans="1:2" ht="14.25" customHeight="1" x14ac:dyDescent="0.3">
      <c r="A672" s="10"/>
      <c r="B672" s="10"/>
    </row>
    <row r="673" spans="1:2" ht="14.25" customHeight="1" x14ac:dyDescent="0.3">
      <c r="A673" s="10"/>
      <c r="B673" s="10"/>
    </row>
    <row r="674" spans="1:2" ht="14.25" customHeight="1" x14ac:dyDescent="0.3">
      <c r="A674" s="10"/>
      <c r="B674" s="10"/>
    </row>
    <row r="675" spans="1:2" ht="14.25" customHeight="1" x14ac:dyDescent="0.3">
      <c r="A675" s="10"/>
      <c r="B675" s="10"/>
    </row>
    <row r="676" spans="1:2" ht="14.25" customHeight="1" x14ac:dyDescent="0.3">
      <c r="A676" s="10"/>
      <c r="B676" s="10"/>
    </row>
    <row r="677" spans="1:2" ht="14.25" customHeight="1" x14ac:dyDescent="0.3">
      <c r="A677" s="10"/>
      <c r="B677" s="10"/>
    </row>
    <row r="678" spans="1:2" ht="14.25" customHeight="1" x14ac:dyDescent="0.3">
      <c r="A678" s="10"/>
      <c r="B678" s="10"/>
    </row>
    <row r="679" spans="1:2" ht="14.25" customHeight="1" x14ac:dyDescent="0.3">
      <c r="A679" s="10"/>
      <c r="B679" s="10"/>
    </row>
    <row r="680" spans="1:2" ht="14.25" customHeight="1" x14ac:dyDescent="0.3">
      <c r="A680" s="10"/>
      <c r="B680" s="10"/>
    </row>
    <row r="681" spans="1:2" ht="14.25" customHeight="1" x14ac:dyDescent="0.3">
      <c r="A681" s="10"/>
      <c r="B681" s="10"/>
    </row>
    <row r="682" spans="1:2" ht="14.25" customHeight="1" x14ac:dyDescent="0.3">
      <c r="A682" s="10"/>
      <c r="B682" s="10"/>
    </row>
    <row r="683" spans="1:2" ht="14.25" customHeight="1" x14ac:dyDescent="0.3">
      <c r="A683" s="10"/>
      <c r="B683" s="10"/>
    </row>
    <row r="684" spans="1:2" ht="14.25" customHeight="1" x14ac:dyDescent="0.3">
      <c r="A684" s="10"/>
      <c r="B684" s="10"/>
    </row>
    <row r="685" spans="1:2" ht="14.25" customHeight="1" x14ac:dyDescent="0.3">
      <c r="A685" s="10"/>
      <c r="B685" s="10"/>
    </row>
    <row r="686" spans="1:2" ht="14.25" customHeight="1" x14ac:dyDescent="0.3">
      <c r="A686" s="10"/>
      <c r="B686" s="10"/>
    </row>
    <row r="687" spans="1:2" ht="14.25" customHeight="1" x14ac:dyDescent="0.3">
      <c r="A687" s="10"/>
      <c r="B687" s="10"/>
    </row>
    <row r="688" spans="1:2" ht="14.25" customHeight="1" x14ac:dyDescent="0.3">
      <c r="A688" s="10"/>
      <c r="B688" s="10"/>
    </row>
    <row r="689" spans="1:2" ht="14.25" customHeight="1" x14ac:dyDescent="0.3">
      <c r="A689" s="10"/>
      <c r="B689" s="10"/>
    </row>
    <row r="690" spans="1:2" ht="14.25" customHeight="1" x14ac:dyDescent="0.3">
      <c r="A690" s="10"/>
      <c r="B690" s="10"/>
    </row>
    <row r="691" spans="1:2" ht="14.25" customHeight="1" x14ac:dyDescent="0.3">
      <c r="A691" s="10"/>
      <c r="B691" s="10"/>
    </row>
    <row r="692" spans="1:2" ht="14.25" customHeight="1" x14ac:dyDescent="0.3">
      <c r="A692" s="10"/>
      <c r="B692" s="10"/>
    </row>
    <row r="693" spans="1:2" ht="14.25" customHeight="1" x14ac:dyDescent="0.3">
      <c r="A693" s="10"/>
      <c r="B693" s="10"/>
    </row>
    <row r="694" spans="1:2" ht="14.25" customHeight="1" x14ac:dyDescent="0.3">
      <c r="A694" s="10"/>
      <c r="B694" s="10"/>
    </row>
    <row r="695" spans="1:2" ht="14.25" customHeight="1" x14ac:dyDescent="0.3">
      <c r="A695" s="10"/>
      <c r="B695" s="10"/>
    </row>
    <row r="696" spans="1:2" ht="14.25" customHeight="1" x14ac:dyDescent="0.3">
      <c r="A696" s="10"/>
      <c r="B696" s="10"/>
    </row>
    <row r="697" spans="1:2" ht="14.25" customHeight="1" x14ac:dyDescent="0.3">
      <c r="A697" s="10"/>
      <c r="B697" s="10"/>
    </row>
    <row r="698" spans="1:2" ht="14.25" customHeight="1" x14ac:dyDescent="0.3">
      <c r="A698" s="10"/>
      <c r="B698" s="10"/>
    </row>
    <row r="699" spans="1:2" ht="14.25" customHeight="1" x14ac:dyDescent="0.3">
      <c r="A699" s="10"/>
      <c r="B699" s="10"/>
    </row>
    <row r="700" spans="1:2" ht="14.25" customHeight="1" x14ac:dyDescent="0.3">
      <c r="A700" s="10"/>
      <c r="B700" s="10"/>
    </row>
    <row r="701" spans="1:2" ht="14.25" customHeight="1" x14ac:dyDescent="0.3">
      <c r="A701" s="10"/>
      <c r="B701" s="10"/>
    </row>
    <row r="702" spans="1:2" ht="14.25" customHeight="1" x14ac:dyDescent="0.3">
      <c r="A702" s="10"/>
      <c r="B702" s="10"/>
    </row>
    <row r="703" spans="1:2" ht="14.25" customHeight="1" x14ac:dyDescent="0.3">
      <c r="A703" s="10"/>
      <c r="B703" s="10"/>
    </row>
    <row r="704" spans="1:2" ht="14.25" customHeight="1" x14ac:dyDescent="0.3">
      <c r="A704" s="10"/>
      <c r="B704" s="10"/>
    </row>
    <row r="705" spans="1:2" ht="14.25" customHeight="1" x14ac:dyDescent="0.3">
      <c r="A705" s="10"/>
      <c r="B705" s="10"/>
    </row>
    <row r="706" spans="1:2" ht="14.25" customHeight="1" x14ac:dyDescent="0.3">
      <c r="A706" s="10"/>
      <c r="B706" s="10"/>
    </row>
    <row r="707" spans="1:2" ht="14.25" customHeight="1" x14ac:dyDescent="0.3">
      <c r="A707" s="10"/>
      <c r="B707" s="10"/>
    </row>
    <row r="708" spans="1:2" ht="14.25" customHeight="1" x14ac:dyDescent="0.3">
      <c r="A708" s="10"/>
      <c r="B708" s="10"/>
    </row>
    <row r="709" spans="1:2" ht="14.25" customHeight="1" x14ac:dyDescent="0.3">
      <c r="A709" s="10"/>
      <c r="B709" s="10"/>
    </row>
    <row r="710" spans="1:2" ht="14.25" customHeight="1" x14ac:dyDescent="0.3">
      <c r="A710" s="10"/>
      <c r="B710" s="10"/>
    </row>
    <row r="711" spans="1:2" ht="14.25" customHeight="1" x14ac:dyDescent="0.3">
      <c r="A711" s="10"/>
      <c r="B711" s="10"/>
    </row>
    <row r="712" spans="1:2" ht="14.25" customHeight="1" x14ac:dyDescent="0.3">
      <c r="A712" s="10"/>
      <c r="B712" s="10"/>
    </row>
    <row r="713" spans="1:2" ht="14.25" customHeight="1" x14ac:dyDescent="0.3">
      <c r="A713" s="10"/>
      <c r="B713" s="10"/>
    </row>
    <row r="714" spans="1:2" ht="14.25" customHeight="1" x14ac:dyDescent="0.3">
      <c r="A714" s="10"/>
      <c r="B714" s="10"/>
    </row>
    <row r="715" spans="1:2" ht="14.25" customHeight="1" x14ac:dyDescent="0.3">
      <c r="A715" s="10"/>
      <c r="B715" s="10"/>
    </row>
    <row r="716" spans="1:2" ht="14.25" customHeight="1" x14ac:dyDescent="0.3">
      <c r="A716" s="10"/>
      <c r="B716" s="10"/>
    </row>
    <row r="717" spans="1:2" ht="14.25" customHeight="1" x14ac:dyDescent="0.3">
      <c r="A717" s="10"/>
      <c r="B717" s="10"/>
    </row>
    <row r="718" spans="1:2" ht="14.25" customHeight="1" x14ac:dyDescent="0.3">
      <c r="A718" s="10"/>
      <c r="B718" s="10"/>
    </row>
    <row r="719" spans="1:2" ht="14.25" customHeight="1" x14ac:dyDescent="0.3">
      <c r="A719" s="10"/>
      <c r="B719" s="10"/>
    </row>
    <row r="720" spans="1:2" ht="14.25" customHeight="1" x14ac:dyDescent="0.3">
      <c r="A720" s="10"/>
      <c r="B720" s="10"/>
    </row>
    <row r="721" spans="1:2" ht="14.25" customHeight="1" x14ac:dyDescent="0.3">
      <c r="A721" s="10"/>
      <c r="B721" s="10"/>
    </row>
    <row r="722" spans="1:2" ht="14.25" customHeight="1" x14ac:dyDescent="0.3">
      <c r="A722" s="10"/>
      <c r="B722" s="10"/>
    </row>
    <row r="723" spans="1:2" ht="14.25" customHeight="1" x14ac:dyDescent="0.3">
      <c r="A723" s="10"/>
      <c r="B723" s="10"/>
    </row>
    <row r="724" spans="1:2" ht="14.25" customHeight="1" x14ac:dyDescent="0.3">
      <c r="A724" s="10"/>
      <c r="B724" s="10"/>
    </row>
    <row r="725" spans="1:2" ht="14.25" customHeight="1" x14ac:dyDescent="0.3">
      <c r="A725" s="10"/>
      <c r="B725" s="10"/>
    </row>
    <row r="726" spans="1:2" ht="14.25" customHeight="1" x14ac:dyDescent="0.3">
      <c r="A726" s="10"/>
      <c r="B726" s="10"/>
    </row>
    <row r="727" spans="1:2" ht="14.25" customHeight="1" x14ac:dyDescent="0.3">
      <c r="A727" s="10"/>
      <c r="B727" s="10"/>
    </row>
    <row r="728" spans="1:2" ht="14.25" customHeight="1" x14ac:dyDescent="0.3">
      <c r="A728" s="10"/>
      <c r="B728" s="10"/>
    </row>
    <row r="729" spans="1:2" ht="14.25" customHeight="1" x14ac:dyDescent="0.3">
      <c r="A729" s="10"/>
      <c r="B729" s="10"/>
    </row>
    <row r="730" spans="1:2" ht="14.25" customHeight="1" x14ac:dyDescent="0.3">
      <c r="A730" s="10"/>
      <c r="B730" s="10"/>
    </row>
    <row r="731" spans="1:2" ht="14.25" customHeight="1" x14ac:dyDescent="0.3">
      <c r="A731" s="10"/>
      <c r="B731" s="10"/>
    </row>
    <row r="732" spans="1:2" ht="14.25" customHeight="1" x14ac:dyDescent="0.3">
      <c r="A732" s="10"/>
      <c r="B732" s="10"/>
    </row>
    <row r="733" spans="1:2" ht="14.25" customHeight="1" x14ac:dyDescent="0.3">
      <c r="A733" s="10"/>
      <c r="B733" s="10"/>
    </row>
    <row r="734" spans="1:2" ht="14.25" customHeight="1" x14ac:dyDescent="0.3">
      <c r="A734" s="10"/>
      <c r="B734" s="10"/>
    </row>
    <row r="735" spans="1:2" ht="14.25" customHeight="1" x14ac:dyDescent="0.3">
      <c r="A735" s="10"/>
      <c r="B735" s="10"/>
    </row>
    <row r="736" spans="1:2" ht="14.25" customHeight="1" x14ac:dyDescent="0.3">
      <c r="A736" s="10"/>
      <c r="B736" s="10"/>
    </row>
    <row r="737" spans="1:2" ht="14.25" customHeight="1" x14ac:dyDescent="0.3">
      <c r="A737" s="10"/>
      <c r="B737" s="10"/>
    </row>
    <row r="738" spans="1:2" ht="14.25" customHeight="1" x14ac:dyDescent="0.3">
      <c r="A738" s="10"/>
      <c r="B738" s="10"/>
    </row>
    <row r="739" spans="1:2" ht="14.25" customHeight="1" x14ac:dyDescent="0.3">
      <c r="A739" s="10"/>
      <c r="B739" s="10"/>
    </row>
    <row r="740" spans="1:2" ht="14.25" customHeight="1" x14ac:dyDescent="0.3">
      <c r="A740" s="10"/>
      <c r="B740" s="10"/>
    </row>
    <row r="741" spans="1:2" ht="14.25" customHeight="1" x14ac:dyDescent="0.3">
      <c r="A741" s="10"/>
      <c r="B741" s="10"/>
    </row>
    <row r="742" spans="1:2" ht="14.25" customHeight="1" x14ac:dyDescent="0.3">
      <c r="A742" s="10"/>
      <c r="B742" s="10"/>
    </row>
    <row r="743" spans="1:2" ht="14.25" customHeight="1" x14ac:dyDescent="0.3">
      <c r="A743" s="10"/>
      <c r="B743" s="10"/>
    </row>
    <row r="744" spans="1:2" ht="14.25" customHeight="1" x14ac:dyDescent="0.3">
      <c r="A744" s="10"/>
      <c r="B744" s="10"/>
    </row>
    <row r="745" spans="1:2" ht="14.25" customHeight="1" x14ac:dyDescent="0.3">
      <c r="A745" s="10"/>
      <c r="B745" s="10"/>
    </row>
    <row r="746" spans="1:2" ht="14.25" customHeight="1" x14ac:dyDescent="0.3">
      <c r="A746" s="10"/>
      <c r="B746" s="10"/>
    </row>
    <row r="747" spans="1:2" ht="14.25" customHeight="1" x14ac:dyDescent="0.3">
      <c r="A747" s="10"/>
      <c r="B747" s="10"/>
    </row>
    <row r="748" spans="1:2" ht="14.25" customHeight="1" x14ac:dyDescent="0.3">
      <c r="A748" s="10"/>
      <c r="B748" s="10"/>
    </row>
    <row r="749" spans="1:2" ht="14.25" customHeight="1" x14ac:dyDescent="0.3">
      <c r="A749" s="10"/>
      <c r="B749" s="10"/>
    </row>
    <row r="750" spans="1:2" ht="14.25" customHeight="1" x14ac:dyDescent="0.3">
      <c r="A750" s="10"/>
      <c r="B750" s="10"/>
    </row>
    <row r="751" spans="1:2" ht="14.25" customHeight="1" x14ac:dyDescent="0.3">
      <c r="A751" s="10"/>
      <c r="B751" s="10"/>
    </row>
    <row r="752" spans="1:2" ht="14.25" customHeight="1" x14ac:dyDescent="0.3">
      <c r="A752" s="10"/>
      <c r="B752" s="10"/>
    </row>
    <row r="753" spans="1:2" ht="14.25" customHeight="1" x14ac:dyDescent="0.3">
      <c r="A753" s="10"/>
      <c r="B753" s="10"/>
    </row>
    <row r="754" spans="1:2" ht="14.25" customHeight="1" x14ac:dyDescent="0.3">
      <c r="A754" s="10"/>
      <c r="B754" s="10"/>
    </row>
    <row r="755" spans="1:2" ht="14.25" customHeight="1" x14ac:dyDescent="0.3">
      <c r="A755" s="10"/>
      <c r="B755" s="10"/>
    </row>
    <row r="756" spans="1:2" ht="14.25" customHeight="1" x14ac:dyDescent="0.3">
      <c r="A756" s="10"/>
      <c r="B756" s="10"/>
    </row>
    <row r="757" spans="1:2" ht="14.25" customHeight="1" x14ac:dyDescent="0.3">
      <c r="A757" s="10"/>
      <c r="B757" s="10"/>
    </row>
    <row r="758" spans="1:2" ht="14.25" customHeight="1" x14ac:dyDescent="0.3">
      <c r="A758" s="10"/>
      <c r="B758" s="10"/>
    </row>
    <row r="759" spans="1:2" ht="14.25" customHeight="1" x14ac:dyDescent="0.3">
      <c r="A759" s="10"/>
      <c r="B759" s="10"/>
    </row>
    <row r="760" spans="1:2" ht="14.25" customHeight="1" x14ac:dyDescent="0.3">
      <c r="A760" s="10"/>
      <c r="B760" s="10"/>
    </row>
    <row r="761" spans="1:2" ht="14.25" customHeight="1" x14ac:dyDescent="0.3">
      <c r="A761" s="10"/>
      <c r="B761" s="10"/>
    </row>
    <row r="762" spans="1:2" ht="14.25" customHeight="1" x14ac:dyDescent="0.3">
      <c r="A762" s="10"/>
      <c r="B762" s="10"/>
    </row>
    <row r="763" spans="1:2" ht="14.25" customHeight="1" x14ac:dyDescent="0.3">
      <c r="A763" s="10"/>
      <c r="B763" s="10"/>
    </row>
    <row r="764" spans="1:2" ht="14.25" customHeight="1" x14ac:dyDescent="0.3">
      <c r="A764" s="10"/>
      <c r="B764" s="10"/>
    </row>
    <row r="765" spans="1:2" ht="14.25" customHeight="1" x14ac:dyDescent="0.3">
      <c r="A765" s="10"/>
      <c r="B765" s="10"/>
    </row>
    <row r="766" spans="1:2" ht="14.25" customHeight="1" x14ac:dyDescent="0.3">
      <c r="A766" s="10"/>
      <c r="B766" s="10"/>
    </row>
    <row r="767" spans="1:2" ht="14.25" customHeight="1" x14ac:dyDescent="0.3">
      <c r="A767" s="10"/>
      <c r="B767" s="10"/>
    </row>
    <row r="768" spans="1:2" ht="14.25" customHeight="1" x14ac:dyDescent="0.3">
      <c r="A768" s="10"/>
      <c r="B768" s="10"/>
    </row>
    <row r="769" spans="1:2" ht="14.25" customHeight="1" x14ac:dyDescent="0.3">
      <c r="A769" s="10"/>
      <c r="B769" s="10"/>
    </row>
    <row r="770" spans="1:2" ht="14.25" customHeight="1" x14ac:dyDescent="0.3">
      <c r="A770" s="10"/>
      <c r="B770" s="10"/>
    </row>
    <row r="771" spans="1:2" ht="14.25" customHeight="1" x14ac:dyDescent="0.3">
      <c r="A771" s="10"/>
      <c r="B771" s="10"/>
    </row>
    <row r="772" spans="1:2" ht="14.25" customHeight="1" x14ac:dyDescent="0.3">
      <c r="A772" s="10"/>
      <c r="B772" s="10"/>
    </row>
    <row r="773" spans="1:2" ht="14.25" customHeight="1" x14ac:dyDescent="0.3">
      <c r="A773" s="10"/>
      <c r="B773" s="10"/>
    </row>
    <row r="774" spans="1:2" ht="14.25" customHeight="1" x14ac:dyDescent="0.3">
      <c r="A774" s="10"/>
      <c r="B774" s="10"/>
    </row>
    <row r="775" spans="1:2" ht="14.25" customHeight="1" x14ac:dyDescent="0.3">
      <c r="A775" s="10"/>
      <c r="B775" s="10"/>
    </row>
    <row r="776" spans="1:2" ht="14.25" customHeight="1" x14ac:dyDescent="0.3">
      <c r="A776" s="10"/>
      <c r="B776" s="10"/>
    </row>
    <row r="777" spans="1:2" ht="14.25" customHeight="1" x14ac:dyDescent="0.3">
      <c r="A777" s="10"/>
      <c r="B777" s="10"/>
    </row>
    <row r="778" spans="1:2" ht="14.25" customHeight="1" x14ac:dyDescent="0.3">
      <c r="A778" s="10"/>
      <c r="B778" s="10"/>
    </row>
    <row r="779" spans="1:2" ht="14.25" customHeight="1" x14ac:dyDescent="0.3">
      <c r="A779" s="10"/>
      <c r="B779" s="10"/>
    </row>
    <row r="780" spans="1:2" ht="14.25" customHeight="1" x14ac:dyDescent="0.3">
      <c r="A780" s="10"/>
      <c r="B780" s="10"/>
    </row>
    <row r="781" spans="1:2" ht="14.25" customHeight="1" x14ac:dyDescent="0.3">
      <c r="A781" s="10"/>
      <c r="B781" s="10"/>
    </row>
    <row r="782" spans="1:2" ht="14.25" customHeight="1" x14ac:dyDescent="0.3">
      <c r="A782" s="10"/>
      <c r="B782" s="10"/>
    </row>
    <row r="783" spans="1:2" ht="14.25" customHeight="1" x14ac:dyDescent="0.3">
      <c r="A783" s="10"/>
      <c r="B783" s="10"/>
    </row>
    <row r="784" spans="1:2" ht="14.25" customHeight="1" x14ac:dyDescent="0.3">
      <c r="A784" s="10"/>
      <c r="B784" s="10"/>
    </row>
    <row r="785" spans="1:2" ht="14.25" customHeight="1" x14ac:dyDescent="0.3">
      <c r="A785" s="10"/>
      <c r="B785" s="10"/>
    </row>
    <row r="786" spans="1:2" ht="14.25" customHeight="1" x14ac:dyDescent="0.3">
      <c r="A786" s="10"/>
      <c r="B786" s="10"/>
    </row>
    <row r="787" spans="1:2" ht="14.25" customHeight="1" x14ac:dyDescent="0.3">
      <c r="A787" s="10"/>
      <c r="B787" s="10"/>
    </row>
    <row r="788" spans="1:2" ht="14.25" customHeight="1" x14ac:dyDescent="0.3">
      <c r="A788" s="10"/>
      <c r="B788" s="10"/>
    </row>
    <row r="789" spans="1:2" ht="14.25" customHeight="1" x14ac:dyDescent="0.3">
      <c r="A789" s="10"/>
      <c r="B789" s="10"/>
    </row>
    <row r="790" spans="1:2" ht="14.25" customHeight="1" x14ac:dyDescent="0.3">
      <c r="A790" s="10"/>
      <c r="B790" s="10"/>
    </row>
    <row r="791" spans="1:2" ht="14.25" customHeight="1" x14ac:dyDescent="0.3">
      <c r="A791" s="10"/>
      <c r="B791" s="10"/>
    </row>
    <row r="792" spans="1:2" ht="14.25" customHeight="1" x14ac:dyDescent="0.3">
      <c r="A792" s="10"/>
      <c r="B792" s="10"/>
    </row>
    <row r="793" spans="1:2" ht="14.25" customHeight="1" x14ac:dyDescent="0.3">
      <c r="A793" s="10"/>
      <c r="B793" s="10"/>
    </row>
    <row r="794" spans="1:2" ht="14.25" customHeight="1" x14ac:dyDescent="0.3">
      <c r="A794" s="10"/>
      <c r="B794" s="10"/>
    </row>
    <row r="795" spans="1:2" ht="14.25" customHeight="1" x14ac:dyDescent="0.3">
      <c r="A795" s="10"/>
      <c r="B795" s="10"/>
    </row>
    <row r="796" spans="1:2" ht="14.25" customHeight="1" x14ac:dyDescent="0.3">
      <c r="A796" s="10"/>
      <c r="B796" s="10"/>
    </row>
    <row r="797" spans="1:2" ht="14.25" customHeight="1" x14ac:dyDescent="0.3">
      <c r="A797" s="10"/>
      <c r="B797" s="10"/>
    </row>
    <row r="798" spans="1:2" ht="14.25" customHeight="1" x14ac:dyDescent="0.3">
      <c r="A798" s="10"/>
      <c r="B798" s="10"/>
    </row>
    <row r="799" spans="1:2" ht="14.25" customHeight="1" x14ac:dyDescent="0.3">
      <c r="A799" s="10"/>
      <c r="B799" s="10"/>
    </row>
    <row r="800" spans="1:2" ht="14.25" customHeight="1" x14ac:dyDescent="0.3">
      <c r="A800" s="10"/>
      <c r="B800" s="10"/>
    </row>
    <row r="801" spans="1:2" ht="14.25" customHeight="1" x14ac:dyDescent="0.3">
      <c r="A801" s="10"/>
      <c r="B801" s="10"/>
    </row>
    <row r="802" spans="1:2" ht="14.25" customHeight="1" x14ac:dyDescent="0.3">
      <c r="A802" s="10"/>
      <c r="B802" s="10"/>
    </row>
    <row r="803" spans="1:2" ht="14.25" customHeight="1" x14ac:dyDescent="0.3">
      <c r="A803" s="10"/>
      <c r="B803" s="10"/>
    </row>
    <row r="804" spans="1:2" ht="14.25" customHeight="1" x14ac:dyDescent="0.3">
      <c r="A804" s="10"/>
      <c r="B804" s="10"/>
    </row>
    <row r="805" spans="1:2" ht="14.25" customHeight="1" x14ac:dyDescent="0.3">
      <c r="A805" s="10"/>
      <c r="B805" s="10"/>
    </row>
    <row r="806" spans="1:2" ht="14.25" customHeight="1" x14ac:dyDescent="0.3">
      <c r="A806" s="10"/>
      <c r="B806" s="10"/>
    </row>
    <row r="807" spans="1:2" ht="14.25" customHeight="1" x14ac:dyDescent="0.3">
      <c r="A807" s="10"/>
      <c r="B807" s="10"/>
    </row>
    <row r="808" spans="1:2" ht="14.25" customHeight="1" x14ac:dyDescent="0.3">
      <c r="A808" s="10"/>
      <c r="B808" s="10"/>
    </row>
    <row r="809" spans="1:2" ht="14.25" customHeight="1" x14ac:dyDescent="0.3">
      <c r="A809" s="10"/>
      <c r="B809" s="10"/>
    </row>
    <row r="810" spans="1:2" ht="14.25" customHeight="1" x14ac:dyDescent="0.3">
      <c r="A810" s="10"/>
      <c r="B810" s="10"/>
    </row>
    <row r="811" spans="1:2" ht="14.25" customHeight="1" x14ac:dyDescent="0.3">
      <c r="A811" s="10"/>
      <c r="B811" s="10"/>
    </row>
    <row r="812" spans="1:2" ht="14.25" customHeight="1" x14ac:dyDescent="0.3">
      <c r="A812" s="10"/>
      <c r="B812" s="10"/>
    </row>
    <row r="813" spans="1:2" ht="14.25" customHeight="1" x14ac:dyDescent="0.3">
      <c r="A813" s="10"/>
      <c r="B813" s="10"/>
    </row>
    <row r="814" spans="1:2" ht="14.25" customHeight="1" x14ac:dyDescent="0.3">
      <c r="A814" s="10"/>
      <c r="B814" s="10"/>
    </row>
    <row r="815" spans="1:2" ht="14.25" customHeight="1" x14ac:dyDescent="0.3">
      <c r="A815" s="10"/>
      <c r="B815" s="10"/>
    </row>
    <row r="816" spans="1:2" ht="14.25" customHeight="1" x14ac:dyDescent="0.3">
      <c r="A816" s="10"/>
      <c r="B816" s="10"/>
    </row>
    <row r="817" spans="1:2" ht="14.25" customHeight="1" x14ac:dyDescent="0.3">
      <c r="A817" s="10"/>
      <c r="B817" s="10"/>
    </row>
    <row r="818" spans="1:2" ht="14.25" customHeight="1" x14ac:dyDescent="0.3">
      <c r="A818" s="10"/>
      <c r="B818" s="10"/>
    </row>
    <row r="819" spans="1:2" ht="14.25" customHeight="1" x14ac:dyDescent="0.3">
      <c r="A819" s="10"/>
      <c r="B819" s="10"/>
    </row>
    <row r="820" spans="1:2" ht="14.25" customHeight="1" x14ac:dyDescent="0.3">
      <c r="A820" s="10"/>
      <c r="B820" s="10"/>
    </row>
    <row r="821" spans="1:2" ht="14.25" customHeight="1" x14ac:dyDescent="0.3">
      <c r="A821" s="10"/>
      <c r="B821" s="10"/>
    </row>
    <row r="822" spans="1:2" ht="14.25" customHeight="1" x14ac:dyDescent="0.3">
      <c r="A822" s="10"/>
      <c r="B822" s="10"/>
    </row>
    <row r="823" spans="1:2" ht="14.25" customHeight="1" x14ac:dyDescent="0.3">
      <c r="A823" s="10"/>
      <c r="B823" s="10"/>
    </row>
    <row r="824" spans="1:2" ht="14.25" customHeight="1" x14ac:dyDescent="0.3">
      <c r="A824" s="10"/>
      <c r="B824" s="10"/>
    </row>
    <row r="825" spans="1:2" ht="14.25" customHeight="1" x14ac:dyDescent="0.3">
      <c r="A825" s="10"/>
      <c r="B825" s="10"/>
    </row>
    <row r="826" spans="1:2" ht="14.25" customHeight="1" x14ac:dyDescent="0.3">
      <c r="A826" s="10"/>
      <c r="B826" s="10"/>
    </row>
    <row r="827" spans="1:2" ht="14.25" customHeight="1" x14ac:dyDescent="0.3">
      <c r="A827" s="10"/>
      <c r="B827" s="10"/>
    </row>
    <row r="828" spans="1:2" ht="14.25" customHeight="1" x14ac:dyDescent="0.3">
      <c r="A828" s="10"/>
      <c r="B828" s="10"/>
    </row>
    <row r="829" spans="1:2" ht="14.25" customHeight="1" x14ac:dyDescent="0.3">
      <c r="A829" s="10"/>
      <c r="B829" s="10"/>
    </row>
    <row r="830" spans="1:2" ht="14.25" customHeight="1" x14ac:dyDescent="0.3">
      <c r="A830" s="10"/>
      <c r="B830" s="10"/>
    </row>
    <row r="831" spans="1:2" ht="14.25" customHeight="1" x14ac:dyDescent="0.3">
      <c r="A831" s="10"/>
      <c r="B831" s="10"/>
    </row>
    <row r="832" spans="1:2" ht="14.25" customHeight="1" x14ac:dyDescent="0.3">
      <c r="A832" s="10"/>
      <c r="B832" s="10"/>
    </row>
    <row r="833" spans="1:2" ht="14.25" customHeight="1" x14ac:dyDescent="0.3">
      <c r="A833" s="10"/>
      <c r="B833" s="10"/>
    </row>
    <row r="834" spans="1:2" ht="14.25" customHeight="1" x14ac:dyDescent="0.3">
      <c r="A834" s="10"/>
      <c r="B834" s="10"/>
    </row>
    <row r="835" spans="1:2" ht="14.25" customHeight="1" x14ac:dyDescent="0.3">
      <c r="A835" s="10"/>
      <c r="B835" s="10"/>
    </row>
    <row r="836" spans="1:2" ht="14.25" customHeight="1" x14ac:dyDescent="0.3">
      <c r="A836" s="10"/>
      <c r="B836" s="10"/>
    </row>
    <row r="837" spans="1:2" ht="14.25" customHeight="1" x14ac:dyDescent="0.3">
      <c r="A837" s="10"/>
      <c r="B837" s="10"/>
    </row>
    <row r="838" spans="1:2" ht="14.25" customHeight="1" x14ac:dyDescent="0.3">
      <c r="A838" s="10"/>
      <c r="B838" s="10"/>
    </row>
    <row r="839" spans="1:2" ht="14.25" customHeight="1" x14ac:dyDescent="0.3">
      <c r="A839" s="10"/>
      <c r="B839" s="10"/>
    </row>
    <row r="840" spans="1:2" ht="14.25" customHeight="1" x14ac:dyDescent="0.3">
      <c r="A840" s="10"/>
      <c r="B840" s="10"/>
    </row>
    <row r="841" spans="1:2" ht="14.25" customHeight="1" x14ac:dyDescent="0.3">
      <c r="A841" s="10"/>
      <c r="B841" s="10"/>
    </row>
    <row r="842" spans="1:2" ht="14.25" customHeight="1" x14ac:dyDescent="0.3">
      <c r="A842" s="10"/>
      <c r="B842" s="10"/>
    </row>
    <row r="843" spans="1:2" ht="14.25" customHeight="1" x14ac:dyDescent="0.3">
      <c r="A843" s="10"/>
      <c r="B843" s="10"/>
    </row>
    <row r="844" spans="1:2" ht="14.25" customHeight="1" x14ac:dyDescent="0.3">
      <c r="A844" s="10"/>
      <c r="B844" s="10"/>
    </row>
    <row r="845" spans="1:2" ht="14.25" customHeight="1" x14ac:dyDescent="0.3">
      <c r="A845" s="10"/>
      <c r="B845" s="10"/>
    </row>
    <row r="846" spans="1:2" ht="14.25" customHeight="1" x14ac:dyDescent="0.3">
      <c r="A846" s="10"/>
      <c r="B846" s="10"/>
    </row>
    <row r="847" spans="1:2" ht="14.25" customHeight="1" x14ac:dyDescent="0.3">
      <c r="A847" s="10"/>
      <c r="B847" s="10"/>
    </row>
    <row r="848" spans="1:2" ht="14.25" customHeight="1" x14ac:dyDescent="0.3">
      <c r="A848" s="10"/>
      <c r="B848" s="10"/>
    </row>
    <row r="849" spans="1:2" ht="14.25" customHeight="1" x14ac:dyDescent="0.3">
      <c r="A849" s="10"/>
      <c r="B849" s="10"/>
    </row>
    <row r="850" spans="1:2" ht="14.25" customHeight="1" x14ac:dyDescent="0.3">
      <c r="A850" s="10"/>
      <c r="B850" s="10"/>
    </row>
    <row r="851" spans="1:2" ht="14.25" customHeight="1" x14ac:dyDescent="0.3">
      <c r="A851" s="10"/>
      <c r="B851" s="10"/>
    </row>
    <row r="852" spans="1:2" ht="14.25" customHeight="1" x14ac:dyDescent="0.3">
      <c r="A852" s="10"/>
      <c r="B852" s="10"/>
    </row>
    <row r="853" spans="1:2" ht="14.25" customHeight="1" x14ac:dyDescent="0.3">
      <c r="A853" s="10"/>
      <c r="B853" s="10"/>
    </row>
    <row r="854" spans="1:2" ht="14.25" customHeight="1" x14ac:dyDescent="0.3">
      <c r="A854" s="10"/>
      <c r="B854" s="10"/>
    </row>
    <row r="855" spans="1:2" ht="14.25" customHeight="1" x14ac:dyDescent="0.3">
      <c r="A855" s="10"/>
      <c r="B855" s="10"/>
    </row>
    <row r="856" spans="1:2" ht="14.25" customHeight="1" x14ac:dyDescent="0.3">
      <c r="A856" s="10"/>
      <c r="B856" s="10"/>
    </row>
    <row r="857" spans="1:2" ht="14.25" customHeight="1" x14ac:dyDescent="0.3">
      <c r="A857" s="10"/>
      <c r="B857" s="10"/>
    </row>
    <row r="858" spans="1:2" ht="14.25" customHeight="1" x14ac:dyDescent="0.3">
      <c r="A858" s="10"/>
      <c r="B858" s="10"/>
    </row>
    <row r="859" spans="1:2" ht="14.25" customHeight="1" x14ac:dyDescent="0.3">
      <c r="A859" s="10"/>
      <c r="B859" s="10"/>
    </row>
    <row r="860" spans="1:2" ht="14.25" customHeight="1" x14ac:dyDescent="0.3">
      <c r="A860" s="10"/>
      <c r="B860" s="10"/>
    </row>
    <row r="861" spans="1:2" ht="14.25" customHeight="1" x14ac:dyDescent="0.3">
      <c r="A861" s="10"/>
      <c r="B861" s="10"/>
    </row>
    <row r="862" spans="1:2" ht="14.25" customHeight="1" x14ac:dyDescent="0.3">
      <c r="A862" s="10"/>
      <c r="B862" s="10"/>
    </row>
    <row r="863" spans="1:2" ht="14.25" customHeight="1" x14ac:dyDescent="0.3">
      <c r="A863" s="10"/>
      <c r="B863" s="10"/>
    </row>
    <row r="864" spans="1:2" ht="14.25" customHeight="1" x14ac:dyDescent="0.3">
      <c r="A864" s="10"/>
      <c r="B864" s="10"/>
    </row>
    <row r="865" spans="1:2" ht="14.25" customHeight="1" x14ac:dyDescent="0.3">
      <c r="A865" s="10"/>
      <c r="B865" s="10"/>
    </row>
    <row r="866" spans="1:2" ht="14.25" customHeight="1" x14ac:dyDescent="0.3">
      <c r="A866" s="10"/>
      <c r="B866" s="10"/>
    </row>
    <row r="867" spans="1:2" ht="14.25" customHeight="1" x14ac:dyDescent="0.3">
      <c r="A867" s="10"/>
      <c r="B867" s="10"/>
    </row>
    <row r="868" spans="1:2" ht="14.25" customHeight="1" x14ac:dyDescent="0.3">
      <c r="A868" s="10"/>
      <c r="B868" s="10"/>
    </row>
    <row r="869" spans="1:2" ht="14.25" customHeight="1" x14ac:dyDescent="0.3">
      <c r="A869" s="10"/>
      <c r="B869" s="10"/>
    </row>
    <row r="870" spans="1:2" ht="14.25" customHeight="1" x14ac:dyDescent="0.3">
      <c r="A870" s="10"/>
      <c r="B870" s="10"/>
    </row>
    <row r="871" spans="1:2" ht="14.25" customHeight="1" x14ac:dyDescent="0.3">
      <c r="A871" s="10"/>
      <c r="B871" s="10"/>
    </row>
    <row r="872" spans="1:2" ht="14.25" customHeight="1" x14ac:dyDescent="0.3">
      <c r="A872" s="10"/>
      <c r="B872" s="10"/>
    </row>
    <row r="873" spans="1:2" ht="14.25" customHeight="1" x14ac:dyDescent="0.3">
      <c r="A873" s="10"/>
      <c r="B873" s="10"/>
    </row>
    <row r="874" spans="1:2" ht="14.25" customHeight="1" x14ac:dyDescent="0.3">
      <c r="A874" s="10"/>
      <c r="B874" s="10"/>
    </row>
    <row r="875" spans="1:2" ht="14.25" customHeight="1" x14ac:dyDescent="0.3">
      <c r="A875" s="10"/>
      <c r="B875" s="10"/>
    </row>
    <row r="876" spans="1:2" ht="14.25" customHeight="1" x14ac:dyDescent="0.3">
      <c r="A876" s="10"/>
      <c r="B876" s="10"/>
    </row>
    <row r="877" spans="1:2" ht="14.25" customHeight="1" x14ac:dyDescent="0.3">
      <c r="A877" s="10"/>
      <c r="B877" s="10"/>
    </row>
    <row r="878" spans="1:2" ht="14.25" customHeight="1" x14ac:dyDescent="0.3">
      <c r="A878" s="10"/>
      <c r="B878" s="10"/>
    </row>
    <row r="879" spans="1:2" ht="14.25" customHeight="1" x14ac:dyDescent="0.3">
      <c r="A879" s="10"/>
      <c r="B879" s="10"/>
    </row>
    <row r="880" spans="1:2" ht="14.25" customHeight="1" x14ac:dyDescent="0.3">
      <c r="A880" s="10"/>
      <c r="B880" s="10"/>
    </row>
    <row r="881" spans="1:2" ht="14.25" customHeight="1" x14ac:dyDescent="0.3">
      <c r="A881" s="10"/>
      <c r="B881" s="10"/>
    </row>
    <row r="882" spans="1:2" ht="14.25" customHeight="1" x14ac:dyDescent="0.3">
      <c r="A882" s="10"/>
      <c r="B882" s="10"/>
    </row>
    <row r="883" spans="1:2" ht="14.25" customHeight="1" x14ac:dyDescent="0.3">
      <c r="A883" s="10"/>
      <c r="B883" s="10"/>
    </row>
    <row r="884" spans="1:2" ht="14.25" customHeight="1" x14ac:dyDescent="0.3">
      <c r="A884" s="10"/>
      <c r="B884" s="10"/>
    </row>
    <row r="885" spans="1:2" ht="14.25" customHeight="1" x14ac:dyDescent="0.3">
      <c r="A885" s="10"/>
      <c r="B885" s="10"/>
    </row>
    <row r="886" spans="1:2" ht="14.25" customHeight="1" x14ac:dyDescent="0.3">
      <c r="A886" s="10"/>
      <c r="B886" s="10"/>
    </row>
    <row r="887" spans="1:2" ht="14.25" customHeight="1" x14ac:dyDescent="0.3">
      <c r="A887" s="10"/>
      <c r="B887" s="10"/>
    </row>
    <row r="888" spans="1:2" ht="14.25" customHeight="1" x14ac:dyDescent="0.3">
      <c r="A888" s="10"/>
      <c r="B888" s="10"/>
    </row>
    <row r="889" spans="1:2" ht="14.25" customHeight="1" x14ac:dyDescent="0.3">
      <c r="A889" s="10"/>
      <c r="B889" s="10"/>
    </row>
    <row r="890" spans="1:2" ht="14.25" customHeight="1" x14ac:dyDescent="0.3">
      <c r="A890" s="10"/>
      <c r="B890" s="10"/>
    </row>
    <row r="891" spans="1:2" ht="14.25" customHeight="1" x14ac:dyDescent="0.3">
      <c r="A891" s="10"/>
      <c r="B891" s="10"/>
    </row>
    <row r="892" spans="1:2" ht="14.25" customHeight="1" x14ac:dyDescent="0.3">
      <c r="A892" s="10"/>
      <c r="B892" s="10"/>
    </row>
    <row r="893" spans="1:2" ht="14.25" customHeight="1" x14ac:dyDescent="0.3">
      <c r="A893" s="10"/>
      <c r="B893" s="10"/>
    </row>
    <row r="894" spans="1:2" ht="14.25" customHeight="1" x14ac:dyDescent="0.3">
      <c r="A894" s="10"/>
      <c r="B894" s="10"/>
    </row>
    <row r="895" spans="1:2" ht="14.25" customHeight="1" x14ac:dyDescent="0.3">
      <c r="A895" s="10"/>
      <c r="B895" s="10"/>
    </row>
    <row r="896" spans="1:2" ht="14.25" customHeight="1" x14ac:dyDescent="0.3">
      <c r="A896" s="10"/>
      <c r="B896" s="10"/>
    </row>
    <row r="897" spans="1:2" ht="14.25" customHeight="1" x14ac:dyDescent="0.3">
      <c r="A897" s="10"/>
      <c r="B897" s="10"/>
    </row>
    <row r="898" spans="1:2" ht="14.25" customHeight="1" x14ac:dyDescent="0.3">
      <c r="A898" s="10"/>
      <c r="B898" s="10"/>
    </row>
    <row r="899" spans="1:2" ht="14.25" customHeight="1" x14ac:dyDescent="0.3">
      <c r="A899" s="10"/>
      <c r="B899" s="10"/>
    </row>
    <row r="900" spans="1:2" ht="14.25" customHeight="1" x14ac:dyDescent="0.3">
      <c r="A900" s="10"/>
      <c r="B900" s="10"/>
    </row>
    <row r="901" spans="1:2" ht="14.25" customHeight="1" x14ac:dyDescent="0.3">
      <c r="A901" s="10"/>
      <c r="B901" s="10"/>
    </row>
    <row r="902" spans="1:2" ht="14.25" customHeight="1" x14ac:dyDescent="0.3">
      <c r="A902" s="10"/>
      <c r="B902" s="10"/>
    </row>
    <row r="903" spans="1:2" ht="14.25" customHeight="1" x14ac:dyDescent="0.3">
      <c r="A903" s="10"/>
      <c r="B903" s="10"/>
    </row>
    <row r="904" spans="1:2" ht="14.25" customHeight="1" x14ac:dyDescent="0.3">
      <c r="A904" s="10"/>
      <c r="B904" s="10"/>
    </row>
    <row r="905" spans="1:2" ht="14.25" customHeight="1" x14ac:dyDescent="0.3">
      <c r="A905" s="10"/>
      <c r="B905" s="10"/>
    </row>
    <row r="906" spans="1:2" ht="14.25" customHeight="1" x14ac:dyDescent="0.3">
      <c r="A906" s="10"/>
      <c r="B906" s="10"/>
    </row>
    <row r="907" spans="1:2" ht="14.25" customHeight="1" x14ac:dyDescent="0.3">
      <c r="A907" s="10"/>
      <c r="B907" s="10"/>
    </row>
    <row r="908" spans="1:2" ht="14.25" customHeight="1" x14ac:dyDescent="0.3">
      <c r="A908" s="10"/>
      <c r="B908" s="10"/>
    </row>
    <row r="909" spans="1:2" ht="14.25" customHeight="1" x14ac:dyDescent="0.3">
      <c r="A909" s="10"/>
      <c r="B909" s="10"/>
    </row>
    <row r="910" spans="1:2" ht="14.25" customHeight="1" x14ac:dyDescent="0.3">
      <c r="A910" s="10"/>
      <c r="B910" s="10"/>
    </row>
    <row r="911" spans="1:2" ht="14.25" customHeight="1" x14ac:dyDescent="0.3">
      <c r="A911" s="10"/>
      <c r="B911" s="10"/>
    </row>
    <row r="912" spans="1:2" ht="14.25" customHeight="1" x14ac:dyDescent="0.3">
      <c r="A912" s="10"/>
      <c r="B912" s="10"/>
    </row>
    <row r="913" spans="1:2" ht="14.25" customHeight="1" x14ac:dyDescent="0.3">
      <c r="A913" s="10"/>
      <c r="B913" s="10"/>
    </row>
    <row r="914" spans="1:2" ht="14.25" customHeight="1" x14ac:dyDescent="0.3">
      <c r="A914" s="10"/>
      <c r="B914" s="10"/>
    </row>
    <row r="915" spans="1:2" ht="14.25" customHeight="1" x14ac:dyDescent="0.3">
      <c r="A915" s="10"/>
      <c r="B915" s="10"/>
    </row>
    <row r="916" spans="1:2" ht="14.25" customHeight="1" x14ac:dyDescent="0.3">
      <c r="A916" s="10"/>
      <c r="B916" s="10"/>
    </row>
    <row r="917" spans="1:2" ht="14.25" customHeight="1" x14ac:dyDescent="0.3">
      <c r="A917" s="10"/>
      <c r="B917" s="10"/>
    </row>
    <row r="918" spans="1:2" ht="14.25" customHeight="1" x14ac:dyDescent="0.3">
      <c r="A918" s="10"/>
      <c r="B918" s="10"/>
    </row>
    <row r="919" spans="1:2" ht="14.25" customHeight="1" x14ac:dyDescent="0.3">
      <c r="A919" s="10"/>
      <c r="B919" s="10"/>
    </row>
    <row r="920" spans="1:2" ht="14.25" customHeight="1" x14ac:dyDescent="0.3">
      <c r="A920" s="10"/>
      <c r="B920" s="10"/>
    </row>
    <row r="921" spans="1:2" ht="14.25" customHeight="1" x14ac:dyDescent="0.3">
      <c r="A921" s="10"/>
      <c r="B921" s="10"/>
    </row>
    <row r="922" spans="1:2" ht="14.25" customHeight="1" x14ac:dyDescent="0.3">
      <c r="A922" s="10"/>
      <c r="B922" s="10"/>
    </row>
    <row r="923" spans="1:2" ht="14.25" customHeight="1" x14ac:dyDescent="0.3">
      <c r="A923" s="10"/>
      <c r="B923" s="10"/>
    </row>
    <row r="924" spans="1:2" ht="14.25" customHeight="1" x14ac:dyDescent="0.3">
      <c r="A924" s="10"/>
      <c r="B924" s="10"/>
    </row>
    <row r="925" spans="1:2" ht="14.25" customHeight="1" x14ac:dyDescent="0.3">
      <c r="A925" s="10"/>
      <c r="B925" s="10"/>
    </row>
    <row r="926" spans="1:2" ht="14.25" customHeight="1" x14ac:dyDescent="0.3">
      <c r="A926" s="10"/>
      <c r="B926" s="10"/>
    </row>
    <row r="927" spans="1:2" ht="14.25" customHeight="1" x14ac:dyDescent="0.3">
      <c r="A927" s="10"/>
      <c r="B927" s="10"/>
    </row>
    <row r="928" spans="1:2" ht="14.25" customHeight="1" x14ac:dyDescent="0.3">
      <c r="A928" s="10"/>
      <c r="B928" s="10"/>
    </row>
    <row r="929" spans="1:2" ht="14.25" customHeight="1" x14ac:dyDescent="0.3">
      <c r="A929" s="10"/>
      <c r="B929" s="10"/>
    </row>
    <row r="930" spans="1:2" ht="14.25" customHeight="1" x14ac:dyDescent="0.3">
      <c r="A930" s="10"/>
      <c r="B930" s="10"/>
    </row>
    <row r="931" spans="1:2" ht="14.25" customHeight="1" x14ac:dyDescent="0.3">
      <c r="A931" s="10"/>
      <c r="B931" s="10"/>
    </row>
    <row r="932" spans="1:2" ht="14.25" customHeight="1" x14ac:dyDescent="0.3">
      <c r="A932" s="10"/>
      <c r="B932" s="10"/>
    </row>
    <row r="933" spans="1:2" ht="14.25" customHeight="1" x14ac:dyDescent="0.3">
      <c r="A933" s="10"/>
      <c r="B933" s="10"/>
    </row>
    <row r="934" spans="1:2" ht="14.25" customHeight="1" x14ac:dyDescent="0.3">
      <c r="A934" s="10"/>
      <c r="B934" s="10"/>
    </row>
    <row r="935" spans="1:2" ht="14.25" customHeight="1" x14ac:dyDescent="0.3">
      <c r="A935" s="10"/>
      <c r="B935" s="10"/>
    </row>
    <row r="936" spans="1:2" ht="14.25" customHeight="1" x14ac:dyDescent="0.3">
      <c r="A936" s="10"/>
      <c r="B936" s="10"/>
    </row>
    <row r="937" spans="1:2" ht="14.25" customHeight="1" x14ac:dyDescent="0.3">
      <c r="A937" s="10"/>
      <c r="B937" s="10"/>
    </row>
    <row r="938" spans="1:2" ht="14.25" customHeight="1" x14ac:dyDescent="0.3">
      <c r="A938" s="10"/>
      <c r="B938" s="10"/>
    </row>
    <row r="939" spans="1:2" ht="14.25" customHeight="1" x14ac:dyDescent="0.3">
      <c r="A939" s="10"/>
      <c r="B939" s="10"/>
    </row>
    <row r="940" spans="1:2" ht="14.25" customHeight="1" x14ac:dyDescent="0.3">
      <c r="A940" s="10"/>
      <c r="B940" s="10"/>
    </row>
    <row r="941" spans="1:2" ht="14.25" customHeight="1" x14ac:dyDescent="0.3">
      <c r="A941" s="10"/>
      <c r="B941" s="10"/>
    </row>
    <row r="942" spans="1:2" ht="14.25" customHeight="1" x14ac:dyDescent="0.3">
      <c r="A942" s="10"/>
      <c r="B942" s="10"/>
    </row>
    <row r="943" spans="1:2" ht="14.25" customHeight="1" x14ac:dyDescent="0.3">
      <c r="A943" s="10"/>
      <c r="B943" s="10"/>
    </row>
    <row r="944" spans="1:2" ht="14.25" customHeight="1" x14ac:dyDescent="0.3">
      <c r="A944" s="10"/>
      <c r="B944" s="10"/>
    </row>
    <row r="945" spans="1:2" ht="14.25" customHeight="1" x14ac:dyDescent="0.3">
      <c r="A945" s="10"/>
      <c r="B945" s="10"/>
    </row>
    <row r="946" spans="1:2" ht="14.25" customHeight="1" x14ac:dyDescent="0.3">
      <c r="A946" s="10"/>
      <c r="B946" s="10"/>
    </row>
    <row r="947" spans="1:2" ht="14.25" customHeight="1" x14ac:dyDescent="0.3">
      <c r="A947" s="10"/>
      <c r="B947" s="10"/>
    </row>
    <row r="948" spans="1:2" ht="14.25" customHeight="1" x14ac:dyDescent="0.3">
      <c r="A948" s="10"/>
      <c r="B948" s="10"/>
    </row>
    <row r="949" spans="1:2" ht="14.25" customHeight="1" x14ac:dyDescent="0.3">
      <c r="A949" s="10"/>
      <c r="B949" s="10"/>
    </row>
    <row r="950" spans="1:2" ht="14.25" customHeight="1" x14ac:dyDescent="0.3">
      <c r="A950" s="10"/>
      <c r="B950" s="10"/>
    </row>
    <row r="951" spans="1:2" ht="14.25" customHeight="1" x14ac:dyDescent="0.3">
      <c r="A951" s="10"/>
      <c r="B951" s="10"/>
    </row>
    <row r="952" spans="1:2" ht="14.25" customHeight="1" x14ac:dyDescent="0.3">
      <c r="A952" s="10"/>
      <c r="B952" s="10"/>
    </row>
    <row r="953" spans="1:2" ht="14.25" customHeight="1" x14ac:dyDescent="0.3">
      <c r="A953" s="10"/>
      <c r="B953" s="10"/>
    </row>
    <row r="954" spans="1:2" ht="14.25" customHeight="1" x14ac:dyDescent="0.3">
      <c r="A954" s="10"/>
      <c r="B954" s="10"/>
    </row>
    <row r="955" spans="1:2" ht="14.25" customHeight="1" x14ac:dyDescent="0.3">
      <c r="A955" s="10"/>
      <c r="B955" s="10"/>
    </row>
    <row r="956" spans="1:2" ht="14.25" customHeight="1" x14ac:dyDescent="0.3">
      <c r="A956" s="10"/>
      <c r="B956" s="10"/>
    </row>
    <row r="957" spans="1:2" ht="14.25" customHeight="1" x14ac:dyDescent="0.3">
      <c r="A957" s="10"/>
      <c r="B957" s="10"/>
    </row>
    <row r="958" spans="1:2" ht="14.25" customHeight="1" x14ac:dyDescent="0.3">
      <c r="A958" s="10"/>
      <c r="B958" s="10"/>
    </row>
    <row r="959" spans="1:2" ht="14.25" customHeight="1" x14ac:dyDescent="0.3">
      <c r="A959" s="10"/>
      <c r="B959" s="10"/>
    </row>
    <row r="960" spans="1:2" ht="14.25" customHeight="1" x14ac:dyDescent="0.3">
      <c r="A960" s="10"/>
      <c r="B960" s="10"/>
    </row>
    <row r="961" spans="1:2" ht="14.25" customHeight="1" x14ac:dyDescent="0.3">
      <c r="A961" s="10"/>
      <c r="B961" s="10"/>
    </row>
    <row r="962" spans="1:2" ht="14.25" customHeight="1" x14ac:dyDescent="0.3">
      <c r="A962" s="10"/>
      <c r="B962" s="10"/>
    </row>
    <row r="963" spans="1:2" ht="14.25" customHeight="1" x14ac:dyDescent="0.3">
      <c r="A963" s="10"/>
      <c r="B963" s="10"/>
    </row>
    <row r="964" spans="1:2" ht="14.25" customHeight="1" x14ac:dyDescent="0.3">
      <c r="A964" s="10"/>
      <c r="B964" s="10"/>
    </row>
    <row r="965" spans="1:2" ht="14.25" customHeight="1" x14ac:dyDescent="0.3">
      <c r="A965" s="10"/>
      <c r="B965" s="10"/>
    </row>
    <row r="966" spans="1:2" ht="14.25" customHeight="1" x14ac:dyDescent="0.3">
      <c r="A966" s="10"/>
      <c r="B966" s="10"/>
    </row>
    <row r="967" spans="1:2" ht="14.25" customHeight="1" x14ac:dyDescent="0.3">
      <c r="A967" s="10"/>
      <c r="B967" s="10"/>
    </row>
    <row r="968" spans="1:2" ht="14.25" customHeight="1" x14ac:dyDescent="0.3">
      <c r="A968" s="10"/>
      <c r="B968" s="10"/>
    </row>
    <row r="969" spans="1:2" ht="14.25" customHeight="1" x14ac:dyDescent="0.3">
      <c r="A969" s="10"/>
      <c r="B969" s="10"/>
    </row>
    <row r="970" spans="1:2" ht="14.25" customHeight="1" x14ac:dyDescent="0.3">
      <c r="A970" s="10"/>
      <c r="B970" s="10"/>
    </row>
    <row r="971" spans="1:2" ht="14.25" customHeight="1" x14ac:dyDescent="0.3">
      <c r="A971" s="10"/>
      <c r="B971" s="10"/>
    </row>
    <row r="972" spans="1:2" ht="14.25" customHeight="1" x14ac:dyDescent="0.3">
      <c r="A972" s="10"/>
      <c r="B972" s="10"/>
    </row>
    <row r="973" spans="1:2" ht="14.25" customHeight="1" x14ac:dyDescent="0.3">
      <c r="A973" s="10"/>
      <c r="B973" s="10"/>
    </row>
    <row r="974" spans="1:2" ht="14.25" customHeight="1" x14ac:dyDescent="0.3">
      <c r="A974" s="10"/>
      <c r="B974" s="10"/>
    </row>
    <row r="975" spans="1:2" ht="14.25" customHeight="1" x14ac:dyDescent="0.3">
      <c r="A975" s="10"/>
      <c r="B975" s="10"/>
    </row>
    <row r="976" spans="1:2" ht="14.25" customHeight="1" x14ac:dyDescent="0.3">
      <c r="A976" s="10"/>
      <c r="B976" s="10"/>
    </row>
    <row r="977" spans="1:2" ht="14.25" customHeight="1" x14ac:dyDescent="0.3">
      <c r="A977" s="10"/>
      <c r="B977" s="10"/>
    </row>
    <row r="978" spans="1:2" ht="14.25" customHeight="1" x14ac:dyDescent="0.3">
      <c r="A978" s="10"/>
      <c r="B978" s="10"/>
    </row>
    <row r="979" spans="1:2" ht="14.25" customHeight="1" x14ac:dyDescent="0.3">
      <c r="A979" s="10"/>
      <c r="B979" s="10"/>
    </row>
    <row r="980" spans="1:2" ht="14.25" customHeight="1" x14ac:dyDescent="0.3">
      <c r="A980" s="10"/>
      <c r="B980" s="10"/>
    </row>
    <row r="981" spans="1:2" ht="14.25" customHeight="1" x14ac:dyDescent="0.3">
      <c r="A981" s="10"/>
      <c r="B981" s="10"/>
    </row>
    <row r="982" spans="1:2" ht="14.25" customHeight="1" x14ac:dyDescent="0.3">
      <c r="A982" s="10"/>
      <c r="B982" s="10"/>
    </row>
    <row r="983" spans="1:2" ht="14.25" customHeight="1" x14ac:dyDescent="0.3">
      <c r="A983" s="10"/>
      <c r="B983" s="10"/>
    </row>
    <row r="984" spans="1:2" ht="14.25" customHeight="1" x14ac:dyDescent="0.3">
      <c r="A984" s="10"/>
      <c r="B984" s="10"/>
    </row>
    <row r="985" spans="1:2" ht="14.25" customHeight="1" x14ac:dyDescent="0.3">
      <c r="A985" s="10"/>
      <c r="B985" s="10"/>
    </row>
    <row r="986" spans="1:2" ht="14.25" customHeight="1" x14ac:dyDescent="0.3">
      <c r="A986" s="10"/>
      <c r="B986" s="10"/>
    </row>
    <row r="987" spans="1:2" ht="14.25" customHeight="1" x14ac:dyDescent="0.3">
      <c r="A987" s="10"/>
      <c r="B987" s="10"/>
    </row>
    <row r="988" spans="1:2" ht="14.25" customHeight="1" x14ac:dyDescent="0.3">
      <c r="A988" s="10"/>
      <c r="B988" s="10"/>
    </row>
    <row r="989" spans="1:2" ht="14.25" customHeight="1" x14ac:dyDescent="0.3">
      <c r="A989" s="10"/>
      <c r="B989" s="10"/>
    </row>
    <row r="990" spans="1:2" ht="14.25" customHeight="1" x14ac:dyDescent="0.3">
      <c r="A990" s="10"/>
      <c r="B990" s="10"/>
    </row>
    <row r="991" spans="1:2" ht="14.25" customHeight="1" x14ac:dyDescent="0.3">
      <c r="A991" s="10"/>
      <c r="B991" s="10"/>
    </row>
    <row r="992" spans="1:2" ht="14.25" customHeight="1" x14ac:dyDescent="0.3">
      <c r="A992" s="10"/>
      <c r="B992" s="10"/>
    </row>
    <row r="993" spans="1:2" ht="14.25" customHeight="1" x14ac:dyDescent="0.3">
      <c r="A993" s="10"/>
      <c r="B993" s="10"/>
    </row>
    <row r="994" spans="1:2" ht="14.25" customHeight="1" x14ac:dyDescent="0.3">
      <c r="A994" s="10"/>
      <c r="B994" s="10"/>
    </row>
    <row r="995" spans="1:2" ht="14.25" customHeight="1" x14ac:dyDescent="0.3">
      <c r="A995" s="10"/>
      <c r="B995" s="10"/>
    </row>
    <row r="996" spans="1:2" ht="14.25" customHeight="1" x14ac:dyDescent="0.3">
      <c r="A996" s="10"/>
      <c r="B996" s="10"/>
    </row>
    <row r="997" spans="1:2" ht="14.25" customHeight="1" x14ac:dyDescent="0.3">
      <c r="A997" s="10"/>
      <c r="B997" s="10"/>
    </row>
    <row r="998" spans="1:2" ht="14.25" customHeight="1" x14ac:dyDescent="0.3">
      <c r="A998" s="10"/>
      <c r="B998" s="10"/>
    </row>
    <row r="999" spans="1:2" ht="14.25" customHeight="1" x14ac:dyDescent="0.3">
      <c r="A999" s="10"/>
      <c r="B999" s="10"/>
    </row>
    <row r="1000" spans="1:2" ht="14.25" customHeight="1" x14ac:dyDescent="0.3">
      <c r="A1000" s="10"/>
      <c r="B1000" s="10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00"/>
  <sheetViews>
    <sheetView workbookViewId="0"/>
  </sheetViews>
  <sheetFormatPr baseColWidth="10" defaultColWidth="12.6640625" defaultRowHeight="15" customHeight="1" x14ac:dyDescent="0.3"/>
  <cols>
    <col min="1" max="1" width="6.33203125" customWidth="1"/>
    <col min="2" max="2" width="8" customWidth="1"/>
    <col min="3" max="26" width="8.88671875" customWidth="1"/>
  </cols>
  <sheetData>
    <row r="1" spans="1:3" ht="14.25" customHeight="1" x14ac:dyDescent="0.3">
      <c r="A1" s="9" t="s">
        <v>399</v>
      </c>
    </row>
    <row r="2" spans="1:3" ht="14.25" customHeight="1" x14ac:dyDescent="0.3"/>
    <row r="3" spans="1:3" ht="14.25" customHeight="1" x14ac:dyDescent="0.3">
      <c r="A3" s="9" t="s">
        <v>389</v>
      </c>
      <c r="B3" s="9" t="s">
        <v>390</v>
      </c>
    </row>
    <row r="4" spans="1:3" ht="14.25" customHeight="1" x14ac:dyDescent="0.3">
      <c r="A4" s="12" t="s">
        <v>23</v>
      </c>
      <c r="B4" s="12" t="s">
        <v>473</v>
      </c>
      <c r="C4" s="12"/>
    </row>
    <row r="5" spans="1:3" ht="14.25" customHeight="1" x14ac:dyDescent="0.3">
      <c r="A5" s="12" t="s">
        <v>29</v>
      </c>
      <c r="B5" s="12" t="s">
        <v>474</v>
      </c>
      <c r="C5" s="12"/>
    </row>
    <row r="6" spans="1:3" ht="14.25" customHeight="1" x14ac:dyDescent="0.3">
      <c r="A6" s="12"/>
      <c r="B6" s="12"/>
      <c r="C6" s="12"/>
    </row>
    <row r="7" spans="1:3" ht="14.25" customHeight="1" x14ac:dyDescent="0.3">
      <c r="A7" s="12"/>
      <c r="B7" s="12"/>
      <c r="C7" s="12"/>
    </row>
    <row r="8" spans="1:3" ht="14.25" customHeight="1" x14ac:dyDescent="0.3">
      <c r="A8" s="12"/>
      <c r="B8" s="12"/>
      <c r="C8" s="12"/>
    </row>
    <row r="9" spans="1:3" ht="14.25" customHeight="1" x14ac:dyDescent="0.3">
      <c r="A9" s="12"/>
      <c r="B9" s="12"/>
      <c r="C9" s="12"/>
    </row>
    <row r="10" spans="1:3" ht="14.25" customHeight="1" x14ac:dyDescent="0.3">
      <c r="A10" s="12"/>
      <c r="B10" s="12"/>
      <c r="C10" s="12"/>
    </row>
    <row r="11" spans="1:3" ht="14.25" customHeight="1" x14ac:dyDescent="0.3">
      <c r="A11" s="12"/>
      <c r="B11" s="12"/>
      <c r="C11" s="12"/>
    </row>
    <row r="12" spans="1:3" ht="14.25" customHeight="1" x14ac:dyDescent="0.3">
      <c r="A12" s="12"/>
      <c r="B12" s="12"/>
      <c r="C12" s="12"/>
    </row>
    <row r="13" spans="1:3" ht="14.25" customHeight="1" x14ac:dyDescent="0.3">
      <c r="A13" s="12"/>
      <c r="B13" s="12"/>
      <c r="C13" s="12"/>
    </row>
    <row r="14" spans="1:3" ht="14.25" customHeight="1" x14ac:dyDescent="0.3">
      <c r="A14" s="12"/>
      <c r="B14" s="12"/>
      <c r="C14" s="12"/>
    </row>
    <row r="15" spans="1:3" ht="14.25" customHeight="1" x14ac:dyDescent="0.3">
      <c r="A15" s="12"/>
      <c r="B15" s="12"/>
      <c r="C15" s="12"/>
    </row>
    <row r="16" spans="1:3" ht="14.25" customHeight="1" x14ac:dyDescent="0.3">
      <c r="A16" s="12"/>
      <c r="B16" s="12"/>
      <c r="C16" s="12"/>
    </row>
    <row r="17" spans="1:2" ht="14.25" customHeight="1" x14ac:dyDescent="0.3">
      <c r="A17" s="10"/>
      <c r="B17" s="10"/>
    </row>
    <row r="18" spans="1:2" ht="14.25" customHeight="1" x14ac:dyDescent="0.3">
      <c r="A18" s="10"/>
      <c r="B18" s="10"/>
    </row>
    <row r="19" spans="1:2" ht="14.25" customHeight="1" x14ac:dyDescent="0.3">
      <c r="A19" s="10"/>
      <c r="B19" s="10"/>
    </row>
    <row r="20" spans="1:2" ht="14.25" customHeight="1" x14ac:dyDescent="0.3">
      <c r="A20" s="10"/>
      <c r="B20" s="10"/>
    </row>
    <row r="21" spans="1:2" ht="14.25" customHeight="1" x14ac:dyDescent="0.3">
      <c r="A21" s="10"/>
      <c r="B21" s="10"/>
    </row>
    <row r="22" spans="1:2" ht="14.25" customHeight="1" x14ac:dyDescent="0.3">
      <c r="A22" s="10"/>
      <c r="B22" s="10"/>
    </row>
    <row r="23" spans="1:2" ht="14.25" customHeight="1" x14ac:dyDescent="0.3">
      <c r="A23" s="10"/>
      <c r="B23" s="10"/>
    </row>
    <row r="24" spans="1:2" ht="14.25" customHeight="1" x14ac:dyDescent="0.3">
      <c r="A24" s="10"/>
      <c r="B24" s="10"/>
    </row>
    <row r="25" spans="1:2" ht="14.25" customHeight="1" x14ac:dyDescent="0.3">
      <c r="A25" s="10"/>
      <c r="B25" s="10"/>
    </row>
    <row r="26" spans="1:2" ht="14.25" customHeight="1" x14ac:dyDescent="0.3">
      <c r="A26" s="10"/>
      <c r="B26" s="10"/>
    </row>
    <row r="27" spans="1:2" ht="14.25" customHeight="1" x14ac:dyDescent="0.3">
      <c r="A27" s="10"/>
      <c r="B27" s="10"/>
    </row>
    <row r="28" spans="1:2" ht="14.25" customHeight="1" x14ac:dyDescent="0.3">
      <c r="A28" s="10"/>
      <c r="B28" s="10"/>
    </row>
    <row r="29" spans="1:2" ht="14.25" customHeight="1" x14ac:dyDescent="0.3">
      <c r="A29" s="10"/>
      <c r="B29" s="10"/>
    </row>
    <row r="30" spans="1:2" ht="14.25" customHeight="1" x14ac:dyDescent="0.3">
      <c r="A30" s="10"/>
      <c r="B30" s="10"/>
    </row>
    <row r="31" spans="1:2" ht="14.25" customHeight="1" x14ac:dyDescent="0.3">
      <c r="A31" s="10"/>
      <c r="B31" s="10"/>
    </row>
    <row r="32" spans="1:2" ht="14.25" customHeight="1" x14ac:dyDescent="0.3">
      <c r="A32" s="10"/>
      <c r="B32" s="10"/>
    </row>
    <row r="33" spans="1:2" ht="14.25" customHeight="1" x14ac:dyDescent="0.3">
      <c r="A33" s="10"/>
      <c r="B33" s="10"/>
    </row>
    <row r="34" spans="1:2" ht="14.25" customHeight="1" x14ac:dyDescent="0.3">
      <c r="A34" s="10"/>
      <c r="B34" s="10"/>
    </row>
    <row r="35" spans="1:2" ht="14.25" customHeight="1" x14ac:dyDescent="0.3">
      <c r="A35" s="10"/>
      <c r="B35" s="10"/>
    </row>
    <row r="36" spans="1:2" ht="14.25" customHeight="1" x14ac:dyDescent="0.3">
      <c r="A36" s="10"/>
      <c r="B36" s="10"/>
    </row>
    <row r="37" spans="1:2" ht="14.25" customHeight="1" x14ac:dyDescent="0.3">
      <c r="A37" s="10"/>
      <c r="B37" s="10"/>
    </row>
    <row r="38" spans="1:2" ht="14.25" customHeight="1" x14ac:dyDescent="0.3">
      <c r="A38" s="10"/>
      <c r="B38" s="10"/>
    </row>
    <row r="39" spans="1:2" ht="14.25" customHeight="1" x14ac:dyDescent="0.3">
      <c r="A39" s="10"/>
      <c r="B39" s="10"/>
    </row>
    <row r="40" spans="1:2" ht="14.25" customHeight="1" x14ac:dyDescent="0.3">
      <c r="A40" s="10"/>
      <c r="B40" s="10"/>
    </row>
    <row r="41" spans="1:2" ht="14.25" customHeight="1" x14ac:dyDescent="0.3">
      <c r="A41" s="10"/>
      <c r="B41" s="10"/>
    </row>
    <row r="42" spans="1:2" ht="14.25" customHeight="1" x14ac:dyDescent="0.3">
      <c r="A42" s="10"/>
      <c r="B42" s="10"/>
    </row>
    <row r="43" spans="1:2" ht="14.25" customHeight="1" x14ac:dyDescent="0.3">
      <c r="A43" s="10"/>
      <c r="B43" s="10"/>
    </row>
    <row r="44" spans="1:2" ht="14.25" customHeight="1" x14ac:dyDescent="0.3">
      <c r="A44" s="10"/>
      <c r="B44" s="10"/>
    </row>
    <row r="45" spans="1:2" ht="14.25" customHeight="1" x14ac:dyDescent="0.3">
      <c r="A45" s="10"/>
      <c r="B45" s="10"/>
    </row>
    <row r="46" spans="1:2" ht="14.25" customHeight="1" x14ac:dyDescent="0.3">
      <c r="A46" s="10"/>
      <c r="B46" s="10"/>
    </row>
    <row r="47" spans="1:2" ht="14.25" customHeight="1" x14ac:dyDescent="0.3">
      <c r="A47" s="10"/>
      <c r="B47" s="10"/>
    </row>
    <row r="48" spans="1:2" ht="14.25" customHeight="1" x14ac:dyDescent="0.3">
      <c r="A48" s="10"/>
      <c r="B48" s="10"/>
    </row>
    <row r="49" spans="1:2" ht="14.25" customHeight="1" x14ac:dyDescent="0.3">
      <c r="A49" s="10"/>
      <c r="B49" s="10"/>
    </row>
    <row r="50" spans="1:2" ht="14.25" customHeight="1" x14ac:dyDescent="0.3">
      <c r="A50" s="10"/>
      <c r="B50" s="10"/>
    </row>
    <row r="51" spans="1:2" ht="14.25" customHeight="1" x14ac:dyDescent="0.3">
      <c r="A51" s="10"/>
      <c r="B51" s="10"/>
    </row>
    <row r="52" spans="1:2" ht="14.25" customHeight="1" x14ac:dyDescent="0.3">
      <c r="A52" s="10"/>
      <c r="B52" s="10"/>
    </row>
    <row r="53" spans="1:2" ht="14.25" customHeight="1" x14ac:dyDescent="0.3">
      <c r="A53" s="10"/>
      <c r="B53" s="10"/>
    </row>
    <row r="54" spans="1:2" ht="14.25" customHeight="1" x14ac:dyDescent="0.3">
      <c r="A54" s="10"/>
      <c r="B54" s="10"/>
    </row>
    <row r="55" spans="1:2" ht="14.25" customHeight="1" x14ac:dyDescent="0.3">
      <c r="A55" s="10"/>
      <c r="B55" s="10"/>
    </row>
    <row r="56" spans="1:2" ht="14.25" customHeight="1" x14ac:dyDescent="0.3">
      <c r="A56" s="10"/>
      <c r="B56" s="10"/>
    </row>
    <row r="57" spans="1:2" ht="14.25" customHeight="1" x14ac:dyDescent="0.3">
      <c r="A57" s="10"/>
      <c r="B57" s="10"/>
    </row>
    <row r="58" spans="1:2" ht="14.25" customHeight="1" x14ac:dyDescent="0.3">
      <c r="A58" s="10"/>
      <c r="B58" s="10"/>
    </row>
    <row r="59" spans="1:2" ht="14.25" customHeight="1" x14ac:dyDescent="0.3">
      <c r="A59" s="10"/>
      <c r="B59" s="10"/>
    </row>
    <row r="60" spans="1:2" ht="14.25" customHeight="1" x14ac:dyDescent="0.3">
      <c r="A60" s="10"/>
      <c r="B60" s="10"/>
    </row>
    <row r="61" spans="1:2" ht="14.25" customHeight="1" x14ac:dyDescent="0.3">
      <c r="A61" s="10"/>
      <c r="B61" s="10"/>
    </row>
    <row r="62" spans="1:2" ht="14.25" customHeight="1" x14ac:dyDescent="0.3">
      <c r="A62" s="10"/>
      <c r="B62" s="10"/>
    </row>
    <row r="63" spans="1:2" ht="14.25" customHeight="1" x14ac:dyDescent="0.3">
      <c r="A63" s="10"/>
      <c r="B63" s="10"/>
    </row>
    <row r="64" spans="1:2" ht="14.25" customHeight="1" x14ac:dyDescent="0.3">
      <c r="A64" s="10"/>
      <c r="B64" s="10"/>
    </row>
    <row r="65" spans="1:2" ht="14.25" customHeight="1" x14ac:dyDescent="0.3">
      <c r="A65" s="10"/>
      <c r="B65" s="10"/>
    </row>
    <row r="66" spans="1:2" ht="14.25" customHeight="1" x14ac:dyDescent="0.3">
      <c r="A66" s="10"/>
      <c r="B66" s="10"/>
    </row>
    <row r="67" spans="1:2" ht="14.25" customHeight="1" x14ac:dyDescent="0.3">
      <c r="A67" s="10"/>
      <c r="B67" s="10"/>
    </row>
    <row r="68" spans="1:2" ht="14.25" customHeight="1" x14ac:dyDescent="0.3">
      <c r="A68" s="10"/>
      <c r="B68" s="10"/>
    </row>
    <row r="69" spans="1:2" ht="14.25" customHeight="1" x14ac:dyDescent="0.3">
      <c r="A69" s="10"/>
      <c r="B69" s="10"/>
    </row>
    <row r="70" spans="1:2" ht="14.25" customHeight="1" x14ac:dyDescent="0.3">
      <c r="A70" s="10"/>
      <c r="B70" s="10"/>
    </row>
    <row r="71" spans="1:2" ht="14.25" customHeight="1" x14ac:dyDescent="0.3">
      <c r="A71" s="10"/>
      <c r="B71" s="10"/>
    </row>
    <row r="72" spans="1:2" ht="14.25" customHeight="1" x14ac:dyDescent="0.3">
      <c r="A72" s="10"/>
      <c r="B72" s="10"/>
    </row>
    <row r="73" spans="1:2" ht="14.25" customHeight="1" x14ac:dyDescent="0.3">
      <c r="A73" s="10"/>
      <c r="B73" s="10"/>
    </row>
    <row r="74" spans="1:2" ht="14.25" customHeight="1" x14ac:dyDescent="0.3">
      <c r="A74" s="10"/>
      <c r="B74" s="10"/>
    </row>
    <row r="75" spans="1:2" ht="14.25" customHeight="1" x14ac:dyDescent="0.3">
      <c r="A75" s="10"/>
      <c r="B75" s="10"/>
    </row>
    <row r="76" spans="1:2" ht="14.25" customHeight="1" x14ac:dyDescent="0.3">
      <c r="A76" s="10"/>
      <c r="B76" s="10"/>
    </row>
    <row r="77" spans="1:2" ht="14.25" customHeight="1" x14ac:dyDescent="0.3">
      <c r="A77" s="10"/>
      <c r="B77" s="10"/>
    </row>
    <row r="78" spans="1:2" ht="14.25" customHeight="1" x14ac:dyDescent="0.3">
      <c r="A78" s="10"/>
      <c r="B78" s="10"/>
    </row>
    <row r="79" spans="1:2" ht="14.25" customHeight="1" x14ac:dyDescent="0.3">
      <c r="A79" s="10"/>
      <c r="B79" s="10"/>
    </row>
    <row r="80" spans="1:2" ht="14.25" customHeight="1" x14ac:dyDescent="0.3">
      <c r="A80" s="10"/>
      <c r="B80" s="10"/>
    </row>
    <row r="81" spans="1:2" ht="14.25" customHeight="1" x14ac:dyDescent="0.3">
      <c r="A81" s="10"/>
      <c r="B81" s="10"/>
    </row>
    <row r="82" spans="1:2" ht="14.25" customHeight="1" x14ac:dyDescent="0.3">
      <c r="A82" s="10"/>
      <c r="B82" s="10"/>
    </row>
    <row r="83" spans="1:2" ht="14.25" customHeight="1" x14ac:dyDescent="0.3">
      <c r="A83" s="10"/>
      <c r="B83" s="10"/>
    </row>
    <row r="84" spans="1:2" ht="14.25" customHeight="1" x14ac:dyDescent="0.3">
      <c r="A84" s="10"/>
      <c r="B84" s="10"/>
    </row>
    <row r="85" spans="1:2" ht="14.25" customHeight="1" x14ac:dyDescent="0.3">
      <c r="A85" s="10"/>
      <c r="B85" s="10"/>
    </row>
    <row r="86" spans="1:2" ht="14.25" customHeight="1" x14ac:dyDescent="0.3">
      <c r="A86" s="10"/>
      <c r="B86" s="10"/>
    </row>
    <row r="87" spans="1:2" ht="14.25" customHeight="1" x14ac:dyDescent="0.3">
      <c r="A87" s="10"/>
      <c r="B87" s="10"/>
    </row>
    <row r="88" spans="1:2" ht="14.25" customHeight="1" x14ac:dyDescent="0.3">
      <c r="A88" s="10"/>
      <c r="B88" s="10"/>
    </row>
    <row r="89" spans="1:2" ht="14.25" customHeight="1" x14ac:dyDescent="0.3">
      <c r="A89" s="10"/>
      <c r="B89" s="10"/>
    </row>
    <row r="90" spans="1:2" ht="14.25" customHeight="1" x14ac:dyDescent="0.3">
      <c r="A90" s="10"/>
      <c r="B90" s="10"/>
    </row>
    <row r="91" spans="1:2" ht="14.25" customHeight="1" x14ac:dyDescent="0.3">
      <c r="A91" s="10"/>
      <c r="B91" s="10"/>
    </row>
    <row r="92" spans="1:2" ht="14.25" customHeight="1" x14ac:dyDescent="0.3">
      <c r="A92" s="10"/>
      <c r="B92" s="10"/>
    </row>
    <row r="93" spans="1:2" ht="14.25" customHeight="1" x14ac:dyDescent="0.3">
      <c r="A93" s="10"/>
      <c r="B93" s="10"/>
    </row>
    <row r="94" spans="1:2" ht="14.25" customHeight="1" x14ac:dyDescent="0.3">
      <c r="A94" s="10"/>
      <c r="B94" s="10"/>
    </row>
    <row r="95" spans="1:2" ht="14.25" customHeight="1" x14ac:dyDescent="0.3">
      <c r="A95" s="10"/>
      <c r="B95" s="10"/>
    </row>
    <row r="96" spans="1:2" ht="14.25" customHeight="1" x14ac:dyDescent="0.3">
      <c r="A96" s="10"/>
      <c r="B96" s="10"/>
    </row>
    <row r="97" spans="1:2" ht="14.25" customHeight="1" x14ac:dyDescent="0.3">
      <c r="A97" s="10"/>
      <c r="B97" s="10"/>
    </row>
    <row r="98" spans="1:2" ht="14.25" customHeight="1" x14ac:dyDescent="0.3">
      <c r="A98" s="10"/>
      <c r="B98" s="10"/>
    </row>
    <row r="99" spans="1:2" ht="14.25" customHeight="1" x14ac:dyDescent="0.3">
      <c r="A99" s="10"/>
      <c r="B99" s="10"/>
    </row>
    <row r="100" spans="1:2" ht="14.25" customHeight="1" x14ac:dyDescent="0.3">
      <c r="A100" s="10"/>
      <c r="B100" s="10"/>
    </row>
    <row r="101" spans="1:2" ht="14.25" customHeight="1" x14ac:dyDescent="0.3">
      <c r="A101" s="10"/>
      <c r="B101" s="10"/>
    </row>
    <row r="102" spans="1:2" ht="14.25" customHeight="1" x14ac:dyDescent="0.3">
      <c r="A102" s="10"/>
      <c r="B102" s="10"/>
    </row>
    <row r="103" spans="1:2" ht="14.25" customHeight="1" x14ac:dyDescent="0.3">
      <c r="A103" s="10"/>
      <c r="B103" s="10"/>
    </row>
    <row r="104" spans="1:2" ht="14.25" customHeight="1" x14ac:dyDescent="0.3">
      <c r="A104" s="10"/>
      <c r="B104" s="10"/>
    </row>
    <row r="105" spans="1:2" ht="14.25" customHeight="1" x14ac:dyDescent="0.3">
      <c r="A105" s="10"/>
      <c r="B105" s="10"/>
    </row>
    <row r="106" spans="1:2" ht="14.25" customHeight="1" x14ac:dyDescent="0.3">
      <c r="A106" s="10"/>
      <c r="B106" s="10"/>
    </row>
    <row r="107" spans="1:2" ht="14.25" customHeight="1" x14ac:dyDescent="0.3">
      <c r="A107" s="10"/>
      <c r="B107" s="10"/>
    </row>
    <row r="108" spans="1:2" ht="14.25" customHeight="1" x14ac:dyDescent="0.3">
      <c r="A108" s="10"/>
      <c r="B108" s="10"/>
    </row>
    <row r="109" spans="1:2" ht="14.25" customHeight="1" x14ac:dyDescent="0.3">
      <c r="A109" s="10"/>
      <c r="B109" s="10"/>
    </row>
    <row r="110" spans="1:2" ht="14.25" customHeight="1" x14ac:dyDescent="0.3">
      <c r="A110" s="10"/>
      <c r="B110" s="10"/>
    </row>
    <row r="111" spans="1:2" ht="14.25" customHeight="1" x14ac:dyDescent="0.3">
      <c r="A111" s="10"/>
      <c r="B111" s="10"/>
    </row>
    <row r="112" spans="1:2" ht="14.25" customHeight="1" x14ac:dyDescent="0.3">
      <c r="A112" s="10"/>
      <c r="B112" s="10"/>
    </row>
    <row r="113" spans="1:2" ht="14.25" customHeight="1" x14ac:dyDescent="0.3">
      <c r="A113" s="10"/>
      <c r="B113" s="10"/>
    </row>
    <row r="114" spans="1:2" ht="14.25" customHeight="1" x14ac:dyDescent="0.3">
      <c r="A114" s="10"/>
      <c r="B114" s="10"/>
    </row>
    <row r="115" spans="1:2" ht="14.25" customHeight="1" x14ac:dyDescent="0.3">
      <c r="A115" s="10"/>
      <c r="B115" s="10"/>
    </row>
    <row r="116" spans="1:2" ht="14.25" customHeight="1" x14ac:dyDescent="0.3">
      <c r="A116" s="10"/>
      <c r="B116" s="10"/>
    </row>
    <row r="117" spans="1:2" ht="14.25" customHeight="1" x14ac:dyDescent="0.3">
      <c r="A117" s="10"/>
      <c r="B117" s="10"/>
    </row>
    <row r="118" spans="1:2" ht="14.25" customHeight="1" x14ac:dyDescent="0.3">
      <c r="A118" s="10"/>
      <c r="B118" s="10"/>
    </row>
    <row r="119" spans="1:2" ht="14.25" customHeight="1" x14ac:dyDescent="0.3">
      <c r="A119" s="10"/>
      <c r="B119" s="10"/>
    </row>
    <row r="120" spans="1:2" ht="14.25" customHeight="1" x14ac:dyDescent="0.3">
      <c r="A120" s="10"/>
      <c r="B120" s="10"/>
    </row>
    <row r="121" spans="1:2" ht="14.25" customHeight="1" x14ac:dyDescent="0.3">
      <c r="A121" s="10"/>
      <c r="B121" s="10"/>
    </row>
    <row r="122" spans="1:2" ht="14.25" customHeight="1" x14ac:dyDescent="0.3">
      <c r="A122" s="10"/>
      <c r="B122" s="10"/>
    </row>
    <row r="123" spans="1:2" ht="14.25" customHeight="1" x14ac:dyDescent="0.3">
      <c r="A123" s="10"/>
      <c r="B123" s="10"/>
    </row>
    <row r="124" spans="1:2" ht="14.25" customHeight="1" x14ac:dyDescent="0.3">
      <c r="A124" s="10"/>
      <c r="B124" s="10"/>
    </row>
    <row r="125" spans="1:2" ht="14.25" customHeight="1" x14ac:dyDescent="0.3">
      <c r="A125" s="10"/>
      <c r="B125" s="10"/>
    </row>
    <row r="126" spans="1:2" ht="14.25" customHeight="1" x14ac:dyDescent="0.3">
      <c r="A126" s="10"/>
      <c r="B126" s="10"/>
    </row>
    <row r="127" spans="1:2" ht="14.25" customHeight="1" x14ac:dyDescent="0.3">
      <c r="A127" s="10"/>
      <c r="B127" s="10"/>
    </row>
    <row r="128" spans="1:2" ht="14.25" customHeight="1" x14ac:dyDescent="0.3">
      <c r="A128" s="10"/>
      <c r="B128" s="10"/>
    </row>
    <row r="129" spans="1:2" ht="14.25" customHeight="1" x14ac:dyDescent="0.3">
      <c r="A129" s="10"/>
      <c r="B129" s="10"/>
    </row>
    <row r="130" spans="1:2" ht="14.25" customHeight="1" x14ac:dyDescent="0.3">
      <c r="A130" s="10"/>
      <c r="B130" s="10"/>
    </row>
    <row r="131" spans="1:2" ht="14.25" customHeight="1" x14ac:dyDescent="0.3">
      <c r="A131" s="10"/>
      <c r="B131" s="10"/>
    </row>
    <row r="132" spans="1:2" ht="14.25" customHeight="1" x14ac:dyDescent="0.3">
      <c r="A132" s="10"/>
      <c r="B132" s="10"/>
    </row>
    <row r="133" spans="1:2" ht="14.25" customHeight="1" x14ac:dyDescent="0.3">
      <c r="A133" s="10"/>
      <c r="B133" s="10"/>
    </row>
    <row r="134" spans="1:2" ht="14.25" customHeight="1" x14ac:dyDescent="0.3">
      <c r="A134" s="10"/>
      <c r="B134" s="10"/>
    </row>
    <row r="135" spans="1:2" ht="14.25" customHeight="1" x14ac:dyDescent="0.3">
      <c r="A135" s="10"/>
      <c r="B135" s="10"/>
    </row>
    <row r="136" spans="1:2" ht="14.25" customHeight="1" x14ac:dyDescent="0.3">
      <c r="A136" s="10"/>
      <c r="B136" s="10"/>
    </row>
    <row r="137" spans="1:2" ht="14.25" customHeight="1" x14ac:dyDescent="0.3">
      <c r="A137" s="10"/>
      <c r="B137" s="10"/>
    </row>
    <row r="138" spans="1:2" ht="14.25" customHeight="1" x14ac:dyDescent="0.3">
      <c r="A138" s="10"/>
      <c r="B138" s="10"/>
    </row>
    <row r="139" spans="1:2" ht="14.25" customHeight="1" x14ac:dyDescent="0.3">
      <c r="A139" s="10"/>
      <c r="B139" s="10"/>
    </row>
    <row r="140" spans="1:2" ht="14.25" customHeight="1" x14ac:dyDescent="0.3">
      <c r="A140" s="10"/>
      <c r="B140" s="10"/>
    </row>
    <row r="141" spans="1:2" ht="14.25" customHeight="1" x14ac:dyDescent="0.3">
      <c r="A141" s="10"/>
      <c r="B141" s="10"/>
    </row>
    <row r="142" spans="1:2" ht="14.25" customHeight="1" x14ac:dyDescent="0.3">
      <c r="A142" s="10"/>
      <c r="B142" s="10"/>
    </row>
    <row r="143" spans="1:2" ht="14.25" customHeight="1" x14ac:dyDescent="0.3">
      <c r="A143" s="10"/>
      <c r="B143" s="10"/>
    </row>
    <row r="144" spans="1:2" ht="14.25" customHeight="1" x14ac:dyDescent="0.3">
      <c r="A144" s="10"/>
      <c r="B144" s="10"/>
    </row>
    <row r="145" spans="1:2" ht="14.25" customHeight="1" x14ac:dyDescent="0.3">
      <c r="A145" s="10"/>
      <c r="B145" s="10"/>
    </row>
    <row r="146" spans="1:2" ht="14.25" customHeight="1" x14ac:dyDescent="0.3">
      <c r="A146" s="10"/>
      <c r="B146" s="10"/>
    </row>
    <row r="147" spans="1:2" ht="14.25" customHeight="1" x14ac:dyDescent="0.3">
      <c r="A147" s="10"/>
      <c r="B147" s="10"/>
    </row>
    <row r="148" spans="1:2" ht="14.25" customHeight="1" x14ac:dyDescent="0.3">
      <c r="A148" s="10"/>
      <c r="B148" s="10"/>
    </row>
    <row r="149" spans="1:2" ht="14.25" customHeight="1" x14ac:dyDescent="0.3">
      <c r="A149" s="10"/>
      <c r="B149" s="10"/>
    </row>
    <row r="150" spans="1:2" ht="14.25" customHeight="1" x14ac:dyDescent="0.3">
      <c r="A150" s="10"/>
      <c r="B150" s="10"/>
    </row>
    <row r="151" spans="1:2" ht="14.25" customHeight="1" x14ac:dyDescent="0.3">
      <c r="A151" s="10"/>
      <c r="B151" s="10"/>
    </row>
    <row r="152" spans="1:2" ht="14.25" customHeight="1" x14ac:dyDescent="0.3">
      <c r="A152" s="10"/>
      <c r="B152" s="10"/>
    </row>
    <row r="153" spans="1:2" ht="14.25" customHeight="1" x14ac:dyDescent="0.3">
      <c r="A153" s="10"/>
      <c r="B153" s="10"/>
    </row>
    <row r="154" spans="1:2" ht="14.25" customHeight="1" x14ac:dyDescent="0.3">
      <c r="A154" s="10"/>
      <c r="B154" s="10"/>
    </row>
    <row r="155" spans="1:2" ht="14.25" customHeight="1" x14ac:dyDescent="0.3">
      <c r="A155" s="10"/>
      <c r="B155" s="10"/>
    </row>
    <row r="156" spans="1:2" ht="14.25" customHeight="1" x14ac:dyDescent="0.3">
      <c r="A156" s="10"/>
      <c r="B156" s="10"/>
    </row>
    <row r="157" spans="1:2" ht="14.25" customHeight="1" x14ac:dyDescent="0.3">
      <c r="A157" s="10"/>
      <c r="B157" s="10"/>
    </row>
    <row r="158" spans="1:2" ht="14.25" customHeight="1" x14ac:dyDescent="0.3">
      <c r="A158" s="10"/>
      <c r="B158" s="10"/>
    </row>
    <row r="159" spans="1:2" ht="14.25" customHeight="1" x14ac:dyDescent="0.3">
      <c r="A159" s="10"/>
      <c r="B159" s="10"/>
    </row>
    <row r="160" spans="1:2" ht="14.25" customHeight="1" x14ac:dyDescent="0.3">
      <c r="A160" s="10"/>
      <c r="B160" s="10"/>
    </row>
    <row r="161" spans="1:2" ht="14.25" customHeight="1" x14ac:dyDescent="0.3">
      <c r="A161" s="10"/>
      <c r="B161" s="10"/>
    </row>
    <row r="162" spans="1:2" ht="14.25" customHeight="1" x14ac:dyDescent="0.3">
      <c r="A162" s="10"/>
      <c r="B162" s="10"/>
    </row>
    <row r="163" spans="1:2" ht="14.25" customHeight="1" x14ac:dyDescent="0.3">
      <c r="A163" s="10"/>
      <c r="B163" s="10"/>
    </row>
    <row r="164" spans="1:2" ht="14.25" customHeight="1" x14ac:dyDescent="0.3">
      <c r="A164" s="10"/>
      <c r="B164" s="10"/>
    </row>
    <row r="165" spans="1:2" ht="14.25" customHeight="1" x14ac:dyDescent="0.3">
      <c r="A165" s="10"/>
      <c r="B165" s="10"/>
    </row>
    <row r="166" spans="1:2" ht="14.25" customHeight="1" x14ac:dyDescent="0.3">
      <c r="A166" s="10"/>
      <c r="B166" s="10"/>
    </row>
    <row r="167" spans="1:2" ht="14.25" customHeight="1" x14ac:dyDescent="0.3">
      <c r="A167" s="10"/>
      <c r="B167" s="10"/>
    </row>
    <row r="168" spans="1:2" ht="14.25" customHeight="1" x14ac:dyDescent="0.3">
      <c r="A168" s="10"/>
      <c r="B168" s="10"/>
    </row>
    <row r="169" spans="1:2" ht="14.25" customHeight="1" x14ac:dyDescent="0.3">
      <c r="A169" s="10"/>
      <c r="B169" s="10"/>
    </row>
    <row r="170" spans="1:2" ht="14.25" customHeight="1" x14ac:dyDescent="0.3">
      <c r="A170" s="10"/>
      <c r="B170" s="10"/>
    </row>
    <row r="171" spans="1:2" ht="14.25" customHeight="1" x14ac:dyDescent="0.3">
      <c r="A171" s="10"/>
      <c r="B171" s="10"/>
    </row>
    <row r="172" spans="1:2" ht="14.25" customHeight="1" x14ac:dyDescent="0.3">
      <c r="A172" s="10"/>
      <c r="B172" s="10"/>
    </row>
    <row r="173" spans="1:2" ht="14.25" customHeight="1" x14ac:dyDescent="0.3">
      <c r="A173" s="10"/>
      <c r="B173" s="10"/>
    </row>
    <row r="174" spans="1:2" ht="14.25" customHeight="1" x14ac:dyDescent="0.3">
      <c r="A174" s="10"/>
      <c r="B174" s="10"/>
    </row>
    <row r="175" spans="1:2" ht="14.25" customHeight="1" x14ac:dyDescent="0.3">
      <c r="A175" s="10"/>
      <c r="B175" s="10"/>
    </row>
    <row r="176" spans="1:2" ht="14.25" customHeight="1" x14ac:dyDescent="0.3">
      <c r="A176" s="10"/>
      <c r="B176" s="10"/>
    </row>
    <row r="177" spans="1:2" ht="14.25" customHeight="1" x14ac:dyDescent="0.3">
      <c r="A177" s="10"/>
      <c r="B177" s="10"/>
    </row>
    <row r="178" spans="1:2" ht="14.25" customHeight="1" x14ac:dyDescent="0.3">
      <c r="A178" s="10"/>
      <c r="B178" s="10"/>
    </row>
    <row r="179" spans="1:2" ht="14.25" customHeight="1" x14ac:dyDescent="0.3">
      <c r="A179" s="10"/>
      <c r="B179" s="10"/>
    </row>
    <row r="180" spans="1:2" ht="14.25" customHeight="1" x14ac:dyDescent="0.3">
      <c r="A180" s="10"/>
      <c r="B180" s="10"/>
    </row>
    <row r="181" spans="1:2" ht="14.25" customHeight="1" x14ac:dyDescent="0.3">
      <c r="A181" s="10"/>
      <c r="B181" s="10"/>
    </row>
    <row r="182" spans="1:2" ht="14.25" customHeight="1" x14ac:dyDescent="0.3">
      <c r="A182" s="10"/>
      <c r="B182" s="10"/>
    </row>
    <row r="183" spans="1:2" ht="14.25" customHeight="1" x14ac:dyDescent="0.3">
      <c r="A183" s="10"/>
      <c r="B183" s="10"/>
    </row>
    <row r="184" spans="1:2" ht="14.25" customHeight="1" x14ac:dyDescent="0.3">
      <c r="A184" s="10"/>
      <c r="B184" s="10"/>
    </row>
    <row r="185" spans="1:2" ht="14.25" customHeight="1" x14ac:dyDescent="0.3">
      <c r="A185" s="10"/>
      <c r="B185" s="10"/>
    </row>
    <row r="186" spans="1:2" ht="14.25" customHeight="1" x14ac:dyDescent="0.3">
      <c r="A186" s="10"/>
      <c r="B186" s="10"/>
    </row>
    <row r="187" spans="1:2" ht="14.25" customHeight="1" x14ac:dyDescent="0.3">
      <c r="A187" s="10"/>
      <c r="B187" s="10"/>
    </row>
    <row r="188" spans="1:2" ht="14.25" customHeight="1" x14ac:dyDescent="0.3">
      <c r="A188" s="10"/>
      <c r="B188" s="10"/>
    </row>
    <row r="189" spans="1:2" ht="14.25" customHeight="1" x14ac:dyDescent="0.3">
      <c r="A189" s="10"/>
      <c r="B189" s="10"/>
    </row>
    <row r="190" spans="1:2" ht="14.25" customHeight="1" x14ac:dyDescent="0.3">
      <c r="A190" s="10"/>
      <c r="B190" s="10"/>
    </row>
    <row r="191" spans="1:2" ht="14.25" customHeight="1" x14ac:dyDescent="0.3">
      <c r="A191" s="10"/>
      <c r="B191" s="10"/>
    </row>
    <row r="192" spans="1:2" ht="14.25" customHeight="1" x14ac:dyDescent="0.3">
      <c r="A192" s="10"/>
      <c r="B192" s="10"/>
    </row>
    <row r="193" spans="1:2" ht="14.25" customHeight="1" x14ac:dyDescent="0.3">
      <c r="A193" s="10"/>
      <c r="B193" s="10"/>
    </row>
    <row r="194" spans="1:2" ht="14.25" customHeight="1" x14ac:dyDescent="0.3">
      <c r="A194" s="10"/>
      <c r="B194" s="10"/>
    </row>
    <row r="195" spans="1:2" ht="14.25" customHeight="1" x14ac:dyDescent="0.3">
      <c r="A195" s="10"/>
      <c r="B195" s="10"/>
    </row>
    <row r="196" spans="1:2" ht="14.25" customHeight="1" x14ac:dyDescent="0.3">
      <c r="A196" s="10"/>
      <c r="B196" s="10"/>
    </row>
    <row r="197" spans="1:2" ht="14.25" customHeight="1" x14ac:dyDescent="0.3">
      <c r="A197" s="10"/>
      <c r="B197" s="10"/>
    </row>
    <row r="198" spans="1:2" ht="14.25" customHeight="1" x14ac:dyDescent="0.3">
      <c r="A198" s="10"/>
      <c r="B198" s="10"/>
    </row>
    <row r="199" spans="1:2" ht="14.25" customHeight="1" x14ac:dyDescent="0.3">
      <c r="A199" s="10"/>
      <c r="B199" s="10"/>
    </row>
    <row r="200" spans="1:2" ht="14.25" customHeight="1" x14ac:dyDescent="0.3">
      <c r="A200" s="10"/>
      <c r="B200" s="10"/>
    </row>
    <row r="201" spans="1:2" ht="14.25" customHeight="1" x14ac:dyDescent="0.3">
      <c r="A201" s="10"/>
      <c r="B201" s="10"/>
    </row>
    <row r="202" spans="1:2" ht="14.25" customHeight="1" x14ac:dyDescent="0.3">
      <c r="A202" s="10"/>
      <c r="B202" s="10"/>
    </row>
    <row r="203" spans="1:2" ht="14.25" customHeight="1" x14ac:dyDescent="0.3">
      <c r="A203" s="10"/>
      <c r="B203" s="10"/>
    </row>
    <row r="204" spans="1:2" ht="14.25" customHeight="1" x14ac:dyDescent="0.3">
      <c r="A204" s="10"/>
      <c r="B204" s="10"/>
    </row>
    <row r="205" spans="1:2" ht="14.25" customHeight="1" x14ac:dyDescent="0.3">
      <c r="A205" s="10"/>
      <c r="B205" s="10"/>
    </row>
    <row r="206" spans="1:2" ht="14.25" customHeight="1" x14ac:dyDescent="0.3">
      <c r="A206" s="10"/>
      <c r="B206" s="10"/>
    </row>
    <row r="207" spans="1:2" ht="14.25" customHeight="1" x14ac:dyDescent="0.3">
      <c r="A207" s="10"/>
      <c r="B207" s="10"/>
    </row>
    <row r="208" spans="1:2" ht="14.25" customHeight="1" x14ac:dyDescent="0.3">
      <c r="A208" s="10"/>
      <c r="B208" s="10"/>
    </row>
    <row r="209" spans="1:2" ht="14.25" customHeight="1" x14ac:dyDescent="0.3">
      <c r="A209" s="10"/>
      <c r="B209" s="10"/>
    </row>
    <row r="210" spans="1:2" ht="14.25" customHeight="1" x14ac:dyDescent="0.3">
      <c r="A210" s="10"/>
      <c r="B210" s="10"/>
    </row>
    <row r="211" spans="1:2" ht="14.25" customHeight="1" x14ac:dyDescent="0.3">
      <c r="A211" s="10"/>
      <c r="B211" s="10"/>
    </row>
    <row r="212" spans="1:2" ht="14.25" customHeight="1" x14ac:dyDescent="0.3">
      <c r="A212" s="10"/>
      <c r="B212" s="10"/>
    </row>
    <row r="213" spans="1:2" ht="14.25" customHeight="1" x14ac:dyDescent="0.3">
      <c r="A213" s="10"/>
      <c r="B213" s="10"/>
    </row>
    <row r="214" spans="1:2" ht="14.25" customHeight="1" x14ac:dyDescent="0.3">
      <c r="A214" s="10"/>
      <c r="B214" s="10"/>
    </row>
    <row r="215" spans="1:2" ht="14.25" customHeight="1" x14ac:dyDescent="0.3">
      <c r="A215" s="10"/>
      <c r="B215" s="10"/>
    </row>
    <row r="216" spans="1:2" ht="14.25" customHeight="1" x14ac:dyDescent="0.3">
      <c r="A216" s="10"/>
      <c r="B216" s="10"/>
    </row>
    <row r="217" spans="1:2" ht="14.25" customHeight="1" x14ac:dyDescent="0.3">
      <c r="A217" s="10"/>
      <c r="B217" s="10"/>
    </row>
    <row r="218" spans="1:2" ht="14.25" customHeight="1" x14ac:dyDescent="0.3">
      <c r="A218" s="10"/>
      <c r="B218" s="10"/>
    </row>
    <row r="219" spans="1:2" ht="14.25" customHeight="1" x14ac:dyDescent="0.3">
      <c r="A219" s="10"/>
      <c r="B219" s="10"/>
    </row>
    <row r="220" spans="1:2" ht="14.25" customHeight="1" x14ac:dyDescent="0.3">
      <c r="A220" s="10"/>
      <c r="B220" s="10"/>
    </row>
    <row r="221" spans="1:2" ht="14.25" customHeight="1" x14ac:dyDescent="0.3">
      <c r="A221" s="10"/>
      <c r="B221" s="10"/>
    </row>
    <row r="222" spans="1:2" ht="14.25" customHeight="1" x14ac:dyDescent="0.3">
      <c r="A222" s="10"/>
      <c r="B222" s="10"/>
    </row>
    <row r="223" spans="1:2" ht="14.25" customHeight="1" x14ac:dyDescent="0.3">
      <c r="A223" s="10"/>
      <c r="B223" s="10"/>
    </row>
    <row r="224" spans="1:2" ht="14.25" customHeight="1" x14ac:dyDescent="0.3">
      <c r="A224" s="10"/>
      <c r="B224" s="10"/>
    </row>
    <row r="225" spans="1:2" ht="14.25" customHeight="1" x14ac:dyDescent="0.3">
      <c r="A225" s="10"/>
      <c r="B225" s="10"/>
    </row>
    <row r="226" spans="1:2" ht="14.25" customHeight="1" x14ac:dyDescent="0.3">
      <c r="A226" s="10"/>
      <c r="B226" s="10"/>
    </row>
    <row r="227" spans="1:2" ht="14.25" customHeight="1" x14ac:dyDescent="0.3">
      <c r="A227" s="10"/>
      <c r="B227" s="10"/>
    </row>
    <row r="228" spans="1:2" ht="14.25" customHeight="1" x14ac:dyDescent="0.3">
      <c r="A228" s="10"/>
      <c r="B228" s="10"/>
    </row>
    <row r="229" spans="1:2" ht="14.25" customHeight="1" x14ac:dyDescent="0.3">
      <c r="A229" s="10"/>
      <c r="B229" s="10"/>
    </row>
    <row r="230" spans="1:2" ht="14.25" customHeight="1" x14ac:dyDescent="0.3">
      <c r="A230" s="10"/>
      <c r="B230" s="10"/>
    </row>
    <row r="231" spans="1:2" ht="14.25" customHeight="1" x14ac:dyDescent="0.3">
      <c r="A231" s="10"/>
      <c r="B231" s="10"/>
    </row>
    <row r="232" spans="1:2" ht="14.25" customHeight="1" x14ac:dyDescent="0.3">
      <c r="A232" s="10"/>
      <c r="B232" s="10"/>
    </row>
    <row r="233" spans="1:2" ht="14.25" customHeight="1" x14ac:dyDescent="0.3">
      <c r="A233" s="10"/>
      <c r="B233" s="10"/>
    </row>
    <row r="234" spans="1:2" ht="14.25" customHeight="1" x14ac:dyDescent="0.3">
      <c r="A234" s="10"/>
      <c r="B234" s="10"/>
    </row>
    <row r="235" spans="1:2" ht="14.25" customHeight="1" x14ac:dyDescent="0.3">
      <c r="A235" s="10"/>
      <c r="B235" s="10"/>
    </row>
    <row r="236" spans="1:2" ht="14.25" customHeight="1" x14ac:dyDescent="0.3">
      <c r="A236" s="10"/>
      <c r="B236" s="10"/>
    </row>
    <row r="237" spans="1:2" ht="14.25" customHeight="1" x14ac:dyDescent="0.3">
      <c r="A237" s="10"/>
      <c r="B237" s="10"/>
    </row>
    <row r="238" spans="1:2" ht="14.25" customHeight="1" x14ac:dyDescent="0.3">
      <c r="A238" s="10"/>
      <c r="B238" s="10"/>
    </row>
    <row r="239" spans="1:2" ht="14.25" customHeight="1" x14ac:dyDescent="0.3">
      <c r="A239" s="10"/>
      <c r="B239" s="10"/>
    </row>
    <row r="240" spans="1:2" ht="14.25" customHeight="1" x14ac:dyDescent="0.3">
      <c r="A240" s="10"/>
      <c r="B240" s="10"/>
    </row>
    <row r="241" spans="1:2" ht="14.25" customHeight="1" x14ac:dyDescent="0.3">
      <c r="A241" s="10"/>
      <c r="B241" s="10"/>
    </row>
    <row r="242" spans="1:2" ht="14.25" customHeight="1" x14ac:dyDescent="0.3">
      <c r="A242" s="10"/>
      <c r="B242" s="10"/>
    </row>
    <row r="243" spans="1:2" ht="14.25" customHeight="1" x14ac:dyDescent="0.3">
      <c r="A243" s="10"/>
      <c r="B243" s="10"/>
    </row>
    <row r="244" spans="1:2" ht="14.25" customHeight="1" x14ac:dyDescent="0.3">
      <c r="A244" s="10"/>
      <c r="B244" s="10"/>
    </row>
    <row r="245" spans="1:2" ht="14.25" customHeight="1" x14ac:dyDescent="0.3">
      <c r="A245" s="10"/>
      <c r="B245" s="10"/>
    </row>
    <row r="246" spans="1:2" ht="14.25" customHeight="1" x14ac:dyDescent="0.3">
      <c r="A246" s="10"/>
      <c r="B246" s="10"/>
    </row>
    <row r="247" spans="1:2" ht="14.25" customHeight="1" x14ac:dyDescent="0.3">
      <c r="A247" s="10"/>
      <c r="B247" s="10"/>
    </row>
    <row r="248" spans="1:2" ht="14.25" customHeight="1" x14ac:dyDescent="0.3">
      <c r="A248" s="10"/>
      <c r="B248" s="10"/>
    </row>
    <row r="249" spans="1:2" ht="14.25" customHeight="1" x14ac:dyDescent="0.3">
      <c r="A249" s="10"/>
      <c r="B249" s="10"/>
    </row>
    <row r="250" spans="1:2" ht="14.25" customHeight="1" x14ac:dyDescent="0.3">
      <c r="A250" s="10"/>
      <c r="B250" s="10"/>
    </row>
    <row r="251" spans="1:2" ht="14.25" customHeight="1" x14ac:dyDescent="0.3">
      <c r="A251" s="10"/>
      <c r="B251" s="10"/>
    </row>
    <row r="252" spans="1:2" ht="14.25" customHeight="1" x14ac:dyDescent="0.3">
      <c r="A252" s="10"/>
      <c r="B252" s="10"/>
    </row>
    <row r="253" spans="1:2" ht="14.25" customHeight="1" x14ac:dyDescent="0.3">
      <c r="A253" s="10"/>
      <c r="B253" s="10"/>
    </row>
    <row r="254" spans="1:2" ht="14.25" customHeight="1" x14ac:dyDescent="0.3">
      <c r="A254" s="10"/>
      <c r="B254" s="10"/>
    </row>
    <row r="255" spans="1:2" ht="14.25" customHeight="1" x14ac:dyDescent="0.3">
      <c r="A255" s="10"/>
      <c r="B255" s="10"/>
    </row>
    <row r="256" spans="1:2" ht="14.25" customHeight="1" x14ac:dyDescent="0.3">
      <c r="A256" s="10"/>
      <c r="B256" s="10"/>
    </row>
    <row r="257" spans="1:2" ht="14.25" customHeight="1" x14ac:dyDescent="0.3">
      <c r="A257" s="10"/>
      <c r="B257" s="10"/>
    </row>
    <row r="258" spans="1:2" ht="14.25" customHeight="1" x14ac:dyDescent="0.3">
      <c r="A258" s="10"/>
      <c r="B258" s="10"/>
    </row>
    <row r="259" spans="1:2" ht="14.25" customHeight="1" x14ac:dyDescent="0.3">
      <c r="A259" s="10"/>
      <c r="B259" s="10"/>
    </row>
    <row r="260" spans="1:2" ht="14.25" customHeight="1" x14ac:dyDescent="0.3">
      <c r="A260" s="10"/>
      <c r="B260" s="10"/>
    </row>
    <row r="261" spans="1:2" ht="14.25" customHeight="1" x14ac:dyDescent="0.3">
      <c r="A261" s="10"/>
      <c r="B261" s="10"/>
    </row>
    <row r="262" spans="1:2" ht="14.25" customHeight="1" x14ac:dyDescent="0.3">
      <c r="A262" s="10"/>
      <c r="B262" s="10"/>
    </row>
    <row r="263" spans="1:2" ht="14.25" customHeight="1" x14ac:dyDescent="0.3">
      <c r="A263" s="10"/>
      <c r="B263" s="10"/>
    </row>
    <row r="264" spans="1:2" ht="14.25" customHeight="1" x14ac:dyDescent="0.3">
      <c r="A264" s="10"/>
      <c r="B264" s="10"/>
    </row>
    <row r="265" spans="1:2" ht="14.25" customHeight="1" x14ac:dyDescent="0.3">
      <c r="A265" s="10"/>
      <c r="B265" s="10"/>
    </row>
    <row r="266" spans="1:2" ht="14.25" customHeight="1" x14ac:dyDescent="0.3">
      <c r="A266" s="10"/>
      <c r="B266" s="10"/>
    </row>
    <row r="267" spans="1:2" ht="14.25" customHeight="1" x14ac:dyDescent="0.3">
      <c r="A267" s="10"/>
      <c r="B267" s="10"/>
    </row>
    <row r="268" spans="1:2" ht="14.25" customHeight="1" x14ac:dyDescent="0.3">
      <c r="A268" s="10"/>
      <c r="B268" s="10"/>
    </row>
    <row r="269" spans="1:2" ht="14.25" customHeight="1" x14ac:dyDescent="0.3">
      <c r="A269" s="10"/>
      <c r="B269" s="10"/>
    </row>
    <row r="270" spans="1:2" ht="14.25" customHeight="1" x14ac:dyDescent="0.3">
      <c r="A270" s="10"/>
      <c r="B270" s="10"/>
    </row>
    <row r="271" spans="1:2" ht="14.25" customHeight="1" x14ac:dyDescent="0.3">
      <c r="A271" s="10"/>
      <c r="B271" s="10"/>
    </row>
    <row r="272" spans="1:2" ht="14.25" customHeight="1" x14ac:dyDescent="0.3">
      <c r="A272" s="10"/>
      <c r="B272" s="10"/>
    </row>
    <row r="273" spans="1:2" ht="14.25" customHeight="1" x14ac:dyDescent="0.3">
      <c r="A273" s="10"/>
      <c r="B273" s="10"/>
    </row>
    <row r="274" spans="1:2" ht="14.25" customHeight="1" x14ac:dyDescent="0.3">
      <c r="A274" s="10"/>
      <c r="B274" s="10"/>
    </row>
    <row r="275" spans="1:2" ht="14.25" customHeight="1" x14ac:dyDescent="0.3">
      <c r="A275" s="10"/>
      <c r="B275" s="10"/>
    </row>
    <row r="276" spans="1:2" ht="14.25" customHeight="1" x14ac:dyDescent="0.3">
      <c r="A276" s="10"/>
      <c r="B276" s="10"/>
    </row>
    <row r="277" spans="1:2" ht="14.25" customHeight="1" x14ac:dyDescent="0.3">
      <c r="A277" s="10"/>
      <c r="B277" s="10"/>
    </row>
    <row r="278" spans="1:2" ht="14.25" customHeight="1" x14ac:dyDescent="0.3">
      <c r="A278" s="10"/>
      <c r="B278" s="10"/>
    </row>
    <row r="279" spans="1:2" ht="14.25" customHeight="1" x14ac:dyDescent="0.3">
      <c r="A279" s="10"/>
      <c r="B279" s="10"/>
    </row>
    <row r="280" spans="1:2" ht="14.25" customHeight="1" x14ac:dyDescent="0.3">
      <c r="A280" s="10"/>
      <c r="B280" s="10"/>
    </row>
    <row r="281" spans="1:2" ht="14.25" customHeight="1" x14ac:dyDescent="0.3">
      <c r="A281" s="10"/>
      <c r="B281" s="10"/>
    </row>
    <row r="282" spans="1:2" ht="14.25" customHeight="1" x14ac:dyDescent="0.3">
      <c r="A282" s="10"/>
      <c r="B282" s="10"/>
    </row>
    <row r="283" spans="1:2" ht="14.25" customHeight="1" x14ac:dyDescent="0.3">
      <c r="A283" s="10"/>
      <c r="B283" s="10"/>
    </row>
    <row r="284" spans="1:2" ht="14.25" customHeight="1" x14ac:dyDescent="0.3">
      <c r="A284" s="10"/>
      <c r="B284" s="10"/>
    </row>
    <row r="285" spans="1:2" ht="14.25" customHeight="1" x14ac:dyDescent="0.3">
      <c r="A285" s="10"/>
      <c r="B285" s="10"/>
    </row>
    <row r="286" spans="1:2" ht="14.25" customHeight="1" x14ac:dyDescent="0.3">
      <c r="A286" s="10"/>
      <c r="B286" s="10"/>
    </row>
    <row r="287" spans="1:2" ht="14.25" customHeight="1" x14ac:dyDescent="0.3">
      <c r="A287" s="10"/>
      <c r="B287" s="10"/>
    </row>
    <row r="288" spans="1:2" ht="14.25" customHeight="1" x14ac:dyDescent="0.3">
      <c r="A288" s="10"/>
      <c r="B288" s="10"/>
    </row>
    <row r="289" spans="1:2" ht="14.25" customHeight="1" x14ac:dyDescent="0.3">
      <c r="A289" s="10"/>
      <c r="B289" s="10"/>
    </row>
    <row r="290" spans="1:2" ht="14.25" customHeight="1" x14ac:dyDescent="0.3">
      <c r="A290" s="10"/>
      <c r="B290" s="10"/>
    </row>
    <row r="291" spans="1:2" ht="14.25" customHeight="1" x14ac:dyDescent="0.3">
      <c r="A291" s="10"/>
      <c r="B291" s="10"/>
    </row>
    <row r="292" spans="1:2" ht="14.25" customHeight="1" x14ac:dyDescent="0.3">
      <c r="A292" s="10"/>
      <c r="B292" s="10"/>
    </row>
    <row r="293" spans="1:2" ht="14.25" customHeight="1" x14ac:dyDescent="0.3">
      <c r="A293" s="10"/>
      <c r="B293" s="10"/>
    </row>
    <row r="294" spans="1:2" ht="14.25" customHeight="1" x14ac:dyDescent="0.3">
      <c r="A294" s="10"/>
      <c r="B294" s="10"/>
    </row>
    <row r="295" spans="1:2" ht="14.25" customHeight="1" x14ac:dyDescent="0.3">
      <c r="A295" s="10"/>
      <c r="B295" s="10"/>
    </row>
    <row r="296" spans="1:2" ht="14.25" customHeight="1" x14ac:dyDescent="0.3">
      <c r="A296" s="10"/>
      <c r="B296" s="10"/>
    </row>
    <row r="297" spans="1:2" ht="14.25" customHeight="1" x14ac:dyDescent="0.3">
      <c r="A297" s="10"/>
      <c r="B297" s="10"/>
    </row>
    <row r="298" spans="1:2" ht="14.25" customHeight="1" x14ac:dyDescent="0.3">
      <c r="A298" s="10"/>
      <c r="B298" s="10"/>
    </row>
    <row r="299" spans="1:2" ht="14.25" customHeight="1" x14ac:dyDescent="0.3">
      <c r="A299" s="10"/>
      <c r="B299" s="10"/>
    </row>
    <row r="300" spans="1:2" ht="14.25" customHeight="1" x14ac:dyDescent="0.3">
      <c r="A300" s="10"/>
      <c r="B300" s="10"/>
    </row>
    <row r="301" spans="1:2" ht="14.25" customHeight="1" x14ac:dyDescent="0.3">
      <c r="A301" s="10"/>
      <c r="B301" s="10"/>
    </row>
    <row r="302" spans="1:2" ht="14.25" customHeight="1" x14ac:dyDescent="0.3">
      <c r="A302" s="10"/>
      <c r="B302" s="10"/>
    </row>
    <row r="303" spans="1:2" ht="14.25" customHeight="1" x14ac:dyDescent="0.3">
      <c r="A303" s="10"/>
      <c r="B303" s="10"/>
    </row>
    <row r="304" spans="1:2" ht="14.25" customHeight="1" x14ac:dyDescent="0.3">
      <c r="A304" s="10"/>
      <c r="B304" s="10"/>
    </row>
    <row r="305" spans="1:2" ht="14.25" customHeight="1" x14ac:dyDescent="0.3">
      <c r="A305" s="10"/>
      <c r="B305" s="10"/>
    </row>
    <row r="306" spans="1:2" ht="14.25" customHeight="1" x14ac:dyDescent="0.3">
      <c r="A306" s="10"/>
      <c r="B306" s="10"/>
    </row>
    <row r="307" spans="1:2" ht="14.25" customHeight="1" x14ac:dyDescent="0.3">
      <c r="A307" s="10"/>
      <c r="B307" s="10"/>
    </row>
    <row r="308" spans="1:2" ht="14.25" customHeight="1" x14ac:dyDescent="0.3">
      <c r="A308" s="10"/>
      <c r="B308" s="10"/>
    </row>
    <row r="309" spans="1:2" ht="14.25" customHeight="1" x14ac:dyDescent="0.3">
      <c r="A309" s="10"/>
      <c r="B309" s="10"/>
    </row>
    <row r="310" spans="1:2" ht="14.25" customHeight="1" x14ac:dyDescent="0.3">
      <c r="A310" s="10"/>
      <c r="B310" s="10"/>
    </row>
    <row r="311" spans="1:2" ht="14.25" customHeight="1" x14ac:dyDescent="0.3">
      <c r="A311" s="10"/>
      <c r="B311" s="10"/>
    </row>
    <row r="312" spans="1:2" ht="14.25" customHeight="1" x14ac:dyDescent="0.3">
      <c r="A312" s="10"/>
      <c r="B312" s="10"/>
    </row>
    <row r="313" spans="1:2" ht="14.25" customHeight="1" x14ac:dyDescent="0.3">
      <c r="A313" s="10"/>
      <c r="B313" s="10"/>
    </row>
    <row r="314" spans="1:2" ht="14.25" customHeight="1" x14ac:dyDescent="0.3">
      <c r="A314" s="10"/>
      <c r="B314" s="10"/>
    </row>
    <row r="315" spans="1:2" ht="14.25" customHeight="1" x14ac:dyDescent="0.3">
      <c r="A315" s="10"/>
      <c r="B315" s="10"/>
    </row>
    <row r="316" spans="1:2" ht="14.25" customHeight="1" x14ac:dyDescent="0.3">
      <c r="A316" s="10"/>
      <c r="B316" s="10"/>
    </row>
    <row r="317" spans="1:2" ht="14.25" customHeight="1" x14ac:dyDescent="0.3">
      <c r="A317" s="10"/>
      <c r="B317" s="10"/>
    </row>
    <row r="318" spans="1:2" ht="14.25" customHeight="1" x14ac:dyDescent="0.3">
      <c r="A318" s="10"/>
      <c r="B318" s="10"/>
    </row>
    <row r="319" spans="1:2" ht="14.25" customHeight="1" x14ac:dyDescent="0.3">
      <c r="A319" s="10"/>
      <c r="B319" s="10"/>
    </row>
    <row r="320" spans="1:2" ht="14.25" customHeight="1" x14ac:dyDescent="0.3">
      <c r="A320" s="10"/>
      <c r="B320" s="10"/>
    </row>
    <row r="321" spans="1:2" ht="14.25" customHeight="1" x14ac:dyDescent="0.3">
      <c r="A321" s="10"/>
      <c r="B321" s="10"/>
    </row>
    <row r="322" spans="1:2" ht="14.25" customHeight="1" x14ac:dyDescent="0.3">
      <c r="A322" s="10"/>
      <c r="B322" s="10"/>
    </row>
    <row r="323" spans="1:2" ht="14.25" customHeight="1" x14ac:dyDescent="0.3">
      <c r="A323" s="10"/>
      <c r="B323" s="10"/>
    </row>
    <row r="324" spans="1:2" ht="14.25" customHeight="1" x14ac:dyDescent="0.3">
      <c r="A324" s="10"/>
      <c r="B324" s="10"/>
    </row>
    <row r="325" spans="1:2" ht="14.25" customHeight="1" x14ac:dyDescent="0.3">
      <c r="A325" s="10"/>
      <c r="B325" s="10"/>
    </row>
    <row r="326" spans="1:2" ht="14.25" customHeight="1" x14ac:dyDescent="0.3">
      <c r="A326" s="10"/>
      <c r="B326" s="10"/>
    </row>
    <row r="327" spans="1:2" ht="14.25" customHeight="1" x14ac:dyDescent="0.3">
      <c r="A327" s="10"/>
      <c r="B327" s="10"/>
    </row>
    <row r="328" spans="1:2" ht="14.25" customHeight="1" x14ac:dyDescent="0.3">
      <c r="A328" s="10"/>
      <c r="B328" s="10"/>
    </row>
    <row r="329" spans="1:2" ht="14.25" customHeight="1" x14ac:dyDescent="0.3">
      <c r="A329" s="10"/>
      <c r="B329" s="10"/>
    </row>
    <row r="330" spans="1:2" ht="14.25" customHeight="1" x14ac:dyDescent="0.3">
      <c r="A330" s="10"/>
      <c r="B330" s="10"/>
    </row>
    <row r="331" spans="1:2" ht="14.25" customHeight="1" x14ac:dyDescent="0.3">
      <c r="A331" s="10"/>
      <c r="B331" s="10"/>
    </row>
    <row r="332" spans="1:2" ht="14.25" customHeight="1" x14ac:dyDescent="0.3">
      <c r="A332" s="10"/>
      <c r="B332" s="10"/>
    </row>
    <row r="333" spans="1:2" ht="14.25" customHeight="1" x14ac:dyDescent="0.3">
      <c r="A333" s="10"/>
      <c r="B333" s="10"/>
    </row>
    <row r="334" spans="1:2" ht="14.25" customHeight="1" x14ac:dyDescent="0.3">
      <c r="A334" s="10"/>
      <c r="B334" s="10"/>
    </row>
    <row r="335" spans="1:2" ht="14.25" customHeight="1" x14ac:dyDescent="0.3">
      <c r="A335" s="10"/>
      <c r="B335" s="10"/>
    </row>
    <row r="336" spans="1:2" ht="14.25" customHeight="1" x14ac:dyDescent="0.3">
      <c r="A336" s="10"/>
      <c r="B336" s="10"/>
    </row>
    <row r="337" spans="1:2" ht="14.25" customHeight="1" x14ac:dyDescent="0.3">
      <c r="A337" s="10"/>
      <c r="B337" s="10"/>
    </row>
    <row r="338" spans="1:2" ht="14.25" customHeight="1" x14ac:dyDescent="0.3">
      <c r="A338" s="10"/>
      <c r="B338" s="10"/>
    </row>
    <row r="339" spans="1:2" ht="14.25" customHeight="1" x14ac:dyDescent="0.3">
      <c r="A339" s="10"/>
      <c r="B339" s="10"/>
    </row>
    <row r="340" spans="1:2" ht="14.25" customHeight="1" x14ac:dyDescent="0.3">
      <c r="A340" s="10"/>
      <c r="B340" s="10"/>
    </row>
    <row r="341" spans="1:2" ht="14.25" customHeight="1" x14ac:dyDescent="0.3">
      <c r="A341" s="10"/>
      <c r="B341" s="10"/>
    </row>
    <row r="342" spans="1:2" ht="14.25" customHeight="1" x14ac:dyDescent="0.3">
      <c r="A342" s="10"/>
      <c r="B342" s="10"/>
    </row>
    <row r="343" spans="1:2" ht="14.25" customHeight="1" x14ac:dyDescent="0.3">
      <c r="A343" s="10"/>
      <c r="B343" s="10"/>
    </row>
    <row r="344" spans="1:2" ht="14.25" customHeight="1" x14ac:dyDescent="0.3">
      <c r="A344" s="10"/>
      <c r="B344" s="10"/>
    </row>
    <row r="345" spans="1:2" ht="14.25" customHeight="1" x14ac:dyDescent="0.3">
      <c r="A345" s="10"/>
      <c r="B345" s="10"/>
    </row>
    <row r="346" spans="1:2" ht="14.25" customHeight="1" x14ac:dyDescent="0.3">
      <c r="A346" s="10"/>
      <c r="B346" s="10"/>
    </row>
    <row r="347" spans="1:2" ht="14.25" customHeight="1" x14ac:dyDescent="0.3">
      <c r="A347" s="10"/>
      <c r="B347" s="10"/>
    </row>
    <row r="348" spans="1:2" ht="14.25" customHeight="1" x14ac:dyDescent="0.3">
      <c r="A348" s="10"/>
      <c r="B348" s="10"/>
    </row>
    <row r="349" spans="1:2" ht="14.25" customHeight="1" x14ac:dyDescent="0.3">
      <c r="A349" s="10"/>
      <c r="B349" s="10"/>
    </row>
    <row r="350" spans="1:2" ht="14.25" customHeight="1" x14ac:dyDescent="0.3">
      <c r="A350" s="10"/>
      <c r="B350" s="10"/>
    </row>
    <row r="351" spans="1:2" ht="14.25" customHeight="1" x14ac:dyDescent="0.3">
      <c r="A351" s="10"/>
      <c r="B351" s="10"/>
    </row>
    <row r="352" spans="1:2" ht="14.25" customHeight="1" x14ac:dyDescent="0.3">
      <c r="A352" s="10"/>
      <c r="B352" s="10"/>
    </row>
    <row r="353" spans="1:2" ht="14.25" customHeight="1" x14ac:dyDescent="0.3">
      <c r="A353" s="10"/>
      <c r="B353" s="10"/>
    </row>
    <row r="354" spans="1:2" ht="14.25" customHeight="1" x14ac:dyDescent="0.3">
      <c r="A354" s="10"/>
      <c r="B354" s="10"/>
    </row>
    <row r="355" spans="1:2" ht="14.25" customHeight="1" x14ac:dyDescent="0.3">
      <c r="A355" s="10"/>
      <c r="B355" s="10"/>
    </row>
    <row r="356" spans="1:2" ht="14.25" customHeight="1" x14ac:dyDescent="0.3">
      <c r="A356" s="10"/>
      <c r="B356" s="10"/>
    </row>
    <row r="357" spans="1:2" ht="14.25" customHeight="1" x14ac:dyDescent="0.3">
      <c r="A357" s="10"/>
      <c r="B357" s="10"/>
    </row>
    <row r="358" spans="1:2" ht="14.25" customHeight="1" x14ac:dyDescent="0.3">
      <c r="A358" s="10"/>
      <c r="B358" s="10"/>
    </row>
    <row r="359" spans="1:2" ht="14.25" customHeight="1" x14ac:dyDescent="0.3">
      <c r="A359" s="10"/>
      <c r="B359" s="10"/>
    </row>
    <row r="360" spans="1:2" ht="14.25" customHeight="1" x14ac:dyDescent="0.3">
      <c r="A360" s="10"/>
      <c r="B360" s="10"/>
    </row>
    <row r="361" spans="1:2" ht="14.25" customHeight="1" x14ac:dyDescent="0.3">
      <c r="A361" s="10"/>
      <c r="B361" s="10"/>
    </row>
    <row r="362" spans="1:2" ht="14.25" customHeight="1" x14ac:dyDescent="0.3">
      <c r="A362" s="10"/>
      <c r="B362" s="10"/>
    </row>
    <row r="363" spans="1:2" ht="14.25" customHeight="1" x14ac:dyDescent="0.3">
      <c r="A363" s="10"/>
      <c r="B363" s="10"/>
    </row>
    <row r="364" spans="1:2" ht="14.25" customHeight="1" x14ac:dyDescent="0.3">
      <c r="A364" s="10"/>
      <c r="B364" s="10"/>
    </row>
    <row r="365" spans="1:2" ht="14.25" customHeight="1" x14ac:dyDescent="0.3">
      <c r="A365" s="10"/>
      <c r="B365" s="10"/>
    </row>
    <row r="366" spans="1:2" ht="14.25" customHeight="1" x14ac:dyDescent="0.3">
      <c r="A366" s="10"/>
      <c r="B366" s="10"/>
    </row>
    <row r="367" spans="1:2" ht="14.25" customHeight="1" x14ac:dyDescent="0.3">
      <c r="A367" s="10"/>
      <c r="B367" s="10"/>
    </row>
    <row r="368" spans="1:2" ht="14.25" customHeight="1" x14ac:dyDescent="0.3">
      <c r="A368" s="10"/>
      <c r="B368" s="10"/>
    </row>
    <row r="369" spans="1:2" ht="14.25" customHeight="1" x14ac:dyDescent="0.3">
      <c r="A369" s="10"/>
      <c r="B369" s="10"/>
    </row>
    <row r="370" spans="1:2" ht="14.25" customHeight="1" x14ac:dyDescent="0.3">
      <c r="A370" s="10"/>
      <c r="B370" s="10"/>
    </row>
    <row r="371" spans="1:2" ht="14.25" customHeight="1" x14ac:dyDescent="0.3">
      <c r="A371" s="10"/>
      <c r="B371" s="10"/>
    </row>
    <row r="372" spans="1:2" ht="14.25" customHeight="1" x14ac:dyDescent="0.3">
      <c r="A372" s="10"/>
      <c r="B372" s="10"/>
    </row>
    <row r="373" spans="1:2" ht="14.25" customHeight="1" x14ac:dyDescent="0.3">
      <c r="A373" s="10"/>
      <c r="B373" s="10"/>
    </row>
    <row r="374" spans="1:2" ht="14.25" customHeight="1" x14ac:dyDescent="0.3">
      <c r="A374" s="10"/>
      <c r="B374" s="10"/>
    </row>
    <row r="375" spans="1:2" ht="14.25" customHeight="1" x14ac:dyDescent="0.3">
      <c r="A375" s="10"/>
      <c r="B375" s="10"/>
    </row>
    <row r="376" spans="1:2" ht="14.25" customHeight="1" x14ac:dyDescent="0.3">
      <c r="A376" s="10"/>
      <c r="B376" s="10"/>
    </row>
    <row r="377" spans="1:2" ht="14.25" customHeight="1" x14ac:dyDescent="0.3">
      <c r="A377" s="10"/>
      <c r="B377" s="10"/>
    </row>
    <row r="378" spans="1:2" ht="14.25" customHeight="1" x14ac:dyDescent="0.3">
      <c r="A378" s="10"/>
      <c r="B378" s="10"/>
    </row>
    <row r="379" spans="1:2" ht="14.25" customHeight="1" x14ac:dyDescent="0.3">
      <c r="A379" s="10"/>
      <c r="B379" s="10"/>
    </row>
    <row r="380" spans="1:2" ht="14.25" customHeight="1" x14ac:dyDescent="0.3">
      <c r="A380" s="10"/>
      <c r="B380" s="10"/>
    </row>
    <row r="381" spans="1:2" ht="14.25" customHeight="1" x14ac:dyDescent="0.3">
      <c r="A381" s="10"/>
      <c r="B381" s="10"/>
    </row>
    <row r="382" spans="1:2" ht="14.25" customHeight="1" x14ac:dyDescent="0.3">
      <c r="A382" s="10"/>
      <c r="B382" s="10"/>
    </row>
    <row r="383" spans="1:2" ht="14.25" customHeight="1" x14ac:dyDescent="0.3">
      <c r="A383" s="10"/>
      <c r="B383" s="10"/>
    </row>
    <row r="384" spans="1:2" ht="14.25" customHeight="1" x14ac:dyDescent="0.3">
      <c r="A384" s="10"/>
      <c r="B384" s="10"/>
    </row>
    <row r="385" spans="1:2" ht="14.25" customHeight="1" x14ac:dyDescent="0.3">
      <c r="A385" s="10"/>
      <c r="B385" s="10"/>
    </row>
    <row r="386" spans="1:2" ht="14.25" customHeight="1" x14ac:dyDescent="0.3">
      <c r="A386" s="10"/>
      <c r="B386" s="10"/>
    </row>
    <row r="387" spans="1:2" ht="14.25" customHeight="1" x14ac:dyDescent="0.3">
      <c r="A387" s="10"/>
      <c r="B387" s="10"/>
    </row>
    <row r="388" spans="1:2" ht="14.25" customHeight="1" x14ac:dyDescent="0.3">
      <c r="A388" s="10"/>
      <c r="B388" s="10"/>
    </row>
    <row r="389" spans="1:2" ht="14.25" customHeight="1" x14ac:dyDescent="0.3">
      <c r="A389" s="10"/>
      <c r="B389" s="10"/>
    </row>
    <row r="390" spans="1:2" ht="14.25" customHeight="1" x14ac:dyDescent="0.3">
      <c r="A390" s="10"/>
      <c r="B390" s="10"/>
    </row>
    <row r="391" spans="1:2" ht="14.25" customHeight="1" x14ac:dyDescent="0.3">
      <c r="A391" s="10"/>
      <c r="B391" s="10"/>
    </row>
    <row r="392" spans="1:2" ht="14.25" customHeight="1" x14ac:dyDescent="0.3">
      <c r="A392" s="10"/>
      <c r="B392" s="10"/>
    </row>
    <row r="393" spans="1:2" ht="14.25" customHeight="1" x14ac:dyDescent="0.3">
      <c r="A393" s="10"/>
      <c r="B393" s="10"/>
    </row>
    <row r="394" spans="1:2" ht="14.25" customHeight="1" x14ac:dyDescent="0.3">
      <c r="A394" s="10"/>
      <c r="B394" s="10"/>
    </row>
    <row r="395" spans="1:2" ht="14.25" customHeight="1" x14ac:dyDescent="0.3">
      <c r="A395" s="10"/>
      <c r="B395" s="10"/>
    </row>
    <row r="396" spans="1:2" ht="14.25" customHeight="1" x14ac:dyDescent="0.3">
      <c r="A396" s="10"/>
      <c r="B396" s="10"/>
    </row>
    <row r="397" spans="1:2" ht="14.25" customHeight="1" x14ac:dyDescent="0.3">
      <c r="A397" s="10"/>
      <c r="B397" s="10"/>
    </row>
    <row r="398" spans="1:2" ht="14.25" customHeight="1" x14ac:dyDescent="0.3">
      <c r="A398" s="10"/>
      <c r="B398" s="10"/>
    </row>
    <row r="399" spans="1:2" ht="14.25" customHeight="1" x14ac:dyDescent="0.3">
      <c r="A399" s="10"/>
      <c r="B399" s="10"/>
    </row>
    <row r="400" spans="1:2" ht="14.25" customHeight="1" x14ac:dyDescent="0.3">
      <c r="A400" s="10"/>
      <c r="B400" s="10"/>
    </row>
    <row r="401" spans="1:2" ht="14.25" customHeight="1" x14ac:dyDescent="0.3">
      <c r="A401" s="10"/>
      <c r="B401" s="10"/>
    </row>
    <row r="402" spans="1:2" ht="14.25" customHeight="1" x14ac:dyDescent="0.3">
      <c r="A402" s="10"/>
      <c r="B402" s="10"/>
    </row>
    <row r="403" spans="1:2" ht="14.25" customHeight="1" x14ac:dyDescent="0.3">
      <c r="A403" s="10"/>
      <c r="B403" s="10"/>
    </row>
    <row r="404" spans="1:2" ht="14.25" customHeight="1" x14ac:dyDescent="0.3">
      <c r="A404" s="10"/>
      <c r="B404" s="10"/>
    </row>
    <row r="405" spans="1:2" ht="14.25" customHeight="1" x14ac:dyDescent="0.3">
      <c r="A405" s="10"/>
      <c r="B405" s="10"/>
    </row>
    <row r="406" spans="1:2" ht="14.25" customHeight="1" x14ac:dyDescent="0.3">
      <c r="A406" s="10"/>
      <c r="B406" s="10"/>
    </row>
    <row r="407" spans="1:2" ht="14.25" customHeight="1" x14ac:dyDescent="0.3">
      <c r="A407" s="10"/>
      <c r="B407" s="10"/>
    </row>
    <row r="408" spans="1:2" ht="14.25" customHeight="1" x14ac:dyDescent="0.3">
      <c r="A408" s="10"/>
      <c r="B408" s="10"/>
    </row>
    <row r="409" spans="1:2" ht="14.25" customHeight="1" x14ac:dyDescent="0.3">
      <c r="A409" s="10"/>
      <c r="B409" s="10"/>
    </row>
    <row r="410" spans="1:2" ht="14.25" customHeight="1" x14ac:dyDescent="0.3">
      <c r="A410" s="10"/>
      <c r="B410" s="10"/>
    </row>
    <row r="411" spans="1:2" ht="14.25" customHeight="1" x14ac:dyDescent="0.3">
      <c r="A411" s="10"/>
      <c r="B411" s="10"/>
    </row>
    <row r="412" spans="1:2" ht="14.25" customHeight="1" x14ac:dyDescent="0.3">
      <c r="A412" s="10"/>
      <c r="B412" s="10"/>
    </row>
    <row r="413" spans="1:2" ht="14.25" customHeight="1" x14ac:dyDescent="0.3">
      <c r="A413" s="10"/>
      <c r="B413" s="10"/>
    </row>
    <row r="414" spans="1:2" ht="14.25" customHeight="1" x14ac:dyDescent="0.3">
      <c r="A414" s="10"/>
      <c r="B414" s="10"/>
    </row>
    <row r="415" spans="1:2" ht="14.25" customHeight="1" x14ac:dyDescent="0.3">
      <c r="A415" s="10"/>
      <c r="B415" s="10"/>
    </row>
    <row r="416" spans="1:2" ht="14.25" customHeight="1" x14ac:dyDescent="0.3">
      <c r="A416" s="10"/>
      <c r="B416" s="10"/>
    </row>
    <row r="417" spans="1:2" ht="14.25" customHeight="1" x14ac:dyDescent="0.3">
      <c r="A417" s="10"/>
      <c r="B417" s="10"/>
    </row>
    <row r="418" spans="1:2" ht="14.25" customHeight="1" x14ac:dyDescent="0.3">
      <c r="A418" s="10"/>
      <c r="B418" s="10"/>
    </row>
    <row r="419" spans="1:2" ht="14.25" customHeight="1" x14ac:dyDescent="0.3">
      <c r="A419" s="10"/>
      <c r="B419" s="10"/>
    </row>
    <row r="420" spans="1:2" ht="14.25" customHeight="1" x14ac:dyDescent="0.3">
      <c r="A420" s="10"/>
      <c r="B420" s="10"/>
    </row>
    <row r="421" spans="1:2" ht="14.25" customHeight="1" x14ac:dyDescent="0.3">
      <c r="A421" s="10"/>
      <c r="B421" s="10"/>
    </row>
    <row r="422" spans="1:2" ht="14.25" customHeight="1" x14ac:dyDescent="0.3">
      <c r="A422" s="10"/>
      <c r="B422" s="10"/>
    </row>
    <row r="423" spans="1:2" ht="14.25" customHeight="1" x14ac:dyDescent="0.3">
      <c r="A423" s="10"/>
      <c r="B423" s="10"/>
    </row>
    <row r="424" spans="1:2" ht="14.25" customHeight="1" x14ac:dyDescent="0.3">
      <c r="A424" s="10"/>
      <c r="B424" s="10"/>
    </row>
    <row r="425" spans="1:2" ht="14.25" customHeight="1" x14ac:dyDescent="0.3">
      <c r="A425" s="10"/>
      <c r="B425" s="10"/>
    </row>
    <row r="426" spans="1:2" ht="14.25" customHeight="1" x14ac:dyDescent="0.3">
      <c r="A426" s="10"/>
      <c r="B426" s="10"/>
    </row>
    <row r="427" spans="1:2" ht="14.25" customHeight="1" x14ac:dyDescent="0.3">
      <c r="A427" s="10"/>
      <c r="B427" s="10"/>
    </row>
    <row r="428" spans="1:2" ht="14.25" customHeight="1" x14ac:dyDescent="0.3">
      <c r="A428" s="10"/>
      <c r="B428" s="10"/>
    </row>
    <row r="429" spans="1:2" ht="14.25" customHeight="1" x14ac:dyDescent="0.3">
      <c r="A429" s="10"/>
      <c r="B429" s="10"/>
    </row>
    <row r="430" spans="1:2" ht="14.25" customHeight="1" x14ac:dyDescent="0.3">
      <c r="A430" s="10"/>
      <c r="B430" s="10"/>
    </row>
    <row r="431" spans="1:2" ht="14.25" customHeight="1" x14ac:dyDescent="0.3">
      <c r="A431" s="10"/>
      <c r="B431" s="10"/>
    </row>
    <row r="432" spans="1:2" ht="14.25" customHeight="1" x14ac:dyDescent="0.3">
      <c r="A432" s="10"/>
      <c r="B432" s="10"/>
    </row>
    <row r="433" spans="1:2" ht="14.25" customHeight="1" x14ac:dyDescent="0.3">
      <c r="A433" s="10"/>
      <c r="B433" s="10"/>
    </row>
    <row r="434" spans="1:2" ht="14.25" customHeight="1" x14ac:dyDescent="0.3">
      <c r="A434" s="10"/>
      <c r="B434" s="10"/>
    </row>
    <row r="435" spans="1:2" ht="14.25" customHeight="1" x14ac:dyDescent="0.3">
      <c r="A435" s="10"/>
      <c r="B435" s="10"/>
    </row>
    <row r="436" spans="1:2" ht="14.25" customHeight="1" x14ac:dyDescent="0.3">
      <c r="A436" s="10"/>
      <c r="B436" s="10"/>
    </row>
    <row r="437" spans="1:2" ht="14.25" customHeight="1" x14ac:dyDescent="0.3">
      <c r="A437" s="10"/>
      <c r="B437" s="10"/>
    </row>
    <row r="438" spans="1:2" ht="14.25" customHeight="1" x14ac:dyDescent="0.3">
      <c r="A438" s="10"/>
      <c r="B438" s="10"/>
    </row>
    <row r="439" spans="1:2" ht="14.25" customHeight="1" x14ac:dyDescent="0.3">
      <c r="A439" s="10"/>
      <c r="B439" s="10"/>
    </row>
    <row r="440" spans="1:2" ht="14.25" customHeight="1" x14ac:dyDescent="0.3">
      <c r="A440" s="10"/>
      <c r="B440" s="10"/>
    </row>
    <row r="441" spans="1:2" ht="14.25" customHeight="1" x14ac:dyDescent="0.3">
      <c r="A441" s="10"/>
      <c r="B441" s="10"/>
    </row>
    <row r="442" spans="1:2" ht="14.25" customHeight="1" x14ac:dyDescent="0.3">
      <c r="A442" s="10"/>
      <c r="B442" s="10"/>
    </row>
    <row r="443" spans="1:2" ht="14.25" customHeight="1" x14ac:dyDescent="0.3">
      <c r="A443" s="10"/>
      <c r="B443" s="10"/>
    </row>
    <row r="444" spans="1:2" ht="14.25" customHeight="1" x14ac:dyDescent="0.3">
      <c r="A444" s="10"/>
      <c r="B444" s="10"/>
    </row>
    <row r="445" spans="1:2" ht="14.25" customHeight="1" x14ac:dyDescent="0.3">
      <c r="A445" s="10"/>
      <c r="B445" s="10"/>
    </row>
    <row r="446" spans="1:2" ht="14.25" customHeight="1" x14ac:dyDescent="0.3">
      <c r="A446" s="10"/>
      <c r="B446" s="10"/>
    </row>
    <row r="447" spans="1:2" ht="14.25" customHeight="1" x14ac:dyDescent="0.3">
      <c r="A447" s="10"/>
      <c r="B447" s="10"/>
    </row>
    <row r="448" spans="1:2" ht="14.25" customHeight="1" x14ac:dyDescent="0.3">
      <c r="A448" s="10"/>
      <c r="B448" s="10"/>
    </row>
    <row r="449" spans="1:2" ht="14.25" customHeight="1" x14ac:dyDescent="0.3">
      <c r="A449" s="10"/>
      <c r="B449" s="10"/>
    </row>
    <row r="450" spans="1:2" ht="14.25" customHeight="1" x14ac:dyDescent="0.3">
      <c r="A450" s="10"/>
      <c r="B450" s="10"/>
    </row>
    <row r="451" spans="1:2" ht="14.25" customHeight="1" x14ac:dyDescent="0.3">
      <c r="A451" s="10"/>
      <c r="B451" s="10"/>
    </row>
    <row r="452" spans="1:2" ht="14.25" customHeight="1" x14ac:dyDescent="0.3">
      <c r="A452" s="10"/>
      <c r="B452" s="10"/>
    </row>
    <row r="453" spans="1:2" ht="14.25" customHeight="1" x14ac:dyDescent="0.3">
      <c r="A453" s="10"/>
      <c r="B453" s="10"/>
    </row>
    <row r="454" spans="1:2" ht="14.25" customHeight="1" x14ac:dyDescent="0.3">
      <c r="A454" s="10"/>
      <c r="B454" s="10"/>
    </row>
    <row r="455" spans="1:2" ht="14.25" customHeight="1" x14ac:dyDescent="0.3">
      <c r="A455" s="10"/>
      <c r="B455" s="10"/>
    </row>
    <row r="456" spans="1:2" ht="14.25" customHeight="1" x14ac:dyDescent="0.3">
      <c r="A456" s="10"/>
      <c r="B456" s="10"/>
    </row>
    <row r="457" spans="1:2" ht="14.25" customHeight="1" x14ac:dyDescent="0.3">
      <c r="A457" s="10"/>
      <c r="B457" s="10"/>
    </row>
    <row r="458" spans="1:2" ht="14.25" customHeight="1" x14ac:dyDescent="0.3">
      <c r="A458" s="10"/>
      <c r="B458" s="10"/>
    </row>
    <row r="459" spans="1:2" ht="14.25" customHeight="1" x14ac:dyDescent="0.3">
      <c r="A459" s="10"/>
      <c r="B459" s="10"/>
    </row>
    <row r="460" spans="1:2" ht="14.25" customHeight="1" x14ac:dyDescent="0.3">
      <c r="A460" s="10"/>
      <c r="B460" s="10"/>
    </row>
    <row r="461" spans="1:2" ht="14.25" customHeight="1" x14ac:dyDescent="0.3">
      <c r="A461" s="10"/>
      <c r="B461" s="10"/>
    </row>
    <row r="462" spans="1:2" ht="14.25" customHeight="1" x14ac:dyDescent="0.3">
      <c r="A462" s="10"/>
      <c r="B462" s="10"/>
    </row>
    <row r="463" spans="1:2" ht="14.25" customHeight="1" x14ac:dyDescent="0.3">
      <c r="A463" s="10"/>
      <c r="B463" s="10"/>
    </row>
    <row r="464" spans="1:2" ht="14.25" customHeight="1" x14ac:dyDescent="0.3">
      <c r="A464" s="10"/>
      <c r="B464" s="10"/>
    </row>
    <row r="465" spans="1:2" ht="14.25" customHeight="1" x14ac:dyDescent="0.3">
      <c r="A465" s="10"/>
      <c r="B465" s="10"/>
    </row>
    <row r="466" spans="1:2" ht="14.25" customHeight="1" x14ac:dyDescent="0.3">
      <c r="A466" s="10"/>
      <c r="B466" s="10"/>
    </row>
    <row r="467" spans="1:2" ht="14.25" customHeight="1" x14ac:dyDescent="0.3">
      <c r="A467" s="10"/>
      <c r="B467" s="10"/>
    </row>
    <row r="468" spans="1:2" ht="14.25" customHeight="1" x14ac:dyDescent="0.3">
      <c r="A468" s="10"/>
      <c r="B468" s="10"/>
    </row>
    <row r="469" spans="1:2" ht="14.25" customHeight="1" x14ac:dyDescent="0.3">
      <c r="A469" s="10"/>
      <c r="B469" s="10"/>
    </row>
    <row r="470" spans="1:2" ht="14.25" customHeight="1" x14ac:dyDescent="0.3">
      <c r="A470" s="10"/>
      <c r="B470" s="10"/>
    </row>
    <row r="471" spans="1:2" ht="14.25" customHeight="1" x14ac:dyDescent="0.3">
      <c r="A471" s="10"/>
      <c r="B471" s="10"/>
    </row>
    <row r="472" spans="1:2" ht="14.25" customHeight="1" x14ac:dyDescent="0.3">
      <c r="A472" s="10"/>
      <c r="B472" s="10"/>
    </row>
    <row r="473" spans="1:2" ht="14.25" customHeight="1" x14ac:dyDescent="0.3">
      <c r="A473" s="10"/>
      <c r="B473" s="10"/>
    </row>
    <row r="474" spans="1:2" ht="14.25" customHeight="1" x14ac:dyDescent="0.3">
      <c r="A474" s="10"/>
      <c r="B474" s="10"/>
    </row>
    <row r="475" spans="1:2" ht="14.25" customHeight="1" x14ac:dyDescent="0.3">
      <c r="A475" s="10"/>
      <c r="B475" s="10"/>
    </row>
    <row r="476" spans="1:2" ht="14.25" customHeight="1" x14ac:dyDescent="0.3">
      <c r="A476" s="10"/>
      <c r="B476" s="10"/>
    </row>
    <row r="477" spans="1:2" ht="14.25" customHeight="1" x14ac:dyDescent="0.3">
      <c r="A477" s="10"/>
      <c r="B477" s="10"/>
    </row>
    <row r="478" spans="1:2" ht="14.25" customHeight="1" x14ac:dyDescent="0.3">
      <c r="A478" s="10"/>
      <c r="B478" s="10"/>
    </row>
    <row r="479" spans="1:2" ht="14.25" customHeight="1" x14ac:dyDescent="0.3">
      <c r="A479" s="10"/>
      <c r="B479" s="10"/>
    </row>
    <row r="480" spans="1:2" ht="14.25" customHeight="1" x14ac:dyDescent="0.3">
      <c r="A480" s="10"/>
      <c r="B480" s="10"/>
    </row>
    <row r="481" spans="1:2" ht="14.25" customHeight="1" x14ac:dyDescent="0.3">
      <c r="A481" s="10"/>
      <c r="B481" s="10"/>
    </row>
    <row r="482" spans="1:2" ht="14.25" customHeight="1" x14ac:dyDescent="0.3">
      <c r="A482" s="10"/>
      <c r="B482" s="10"/>
    </row>
    <row r="483" spans="1:2" ht="14.25" customHeight="1" x14ac:dyDescent="0.3">
      <c r="A483" s="10"/>
      <c r="B483" s="10"/>
    </row>
    <row r="484" spans="1:2" ht="14.25" customHeight="1" x14ac:dyDescent="0.3">
      <c r="A484" s="10"/>
      <c r="B484" s="10"/>
    </row>
    <row r="485" spans="1:2" ht="14.25" customHeight="1" x14ac:dyDescent="0.3">
      <c r="A485" s="10"/>
      <c r="B485" s="10"/>
    </row>
    <row r="486" spans="1:2" ht="14.25" customHeight="1" x14ac:dyDescent="0.3">
      <c r="A486" s="10"/>
      <c r="B486" s="10"/>
    </row>
    <row r="487" spans="1:2" ht="14.25" customHeight="1" x14ac:dyDescent="0.3">
      <c r="A487" s="10"/>
      <c r="B487" s="10"/>
    </row>
    <row r="488" spans="1:2" ht="14.25" customHeight="1" x14ac:dyDescent="0.3">
      <c r="A488" s="10"/>
      <c r="B488" s="10"/>
    </row>
    <row r="489" spans="1:2" ht="14.25" customHeight="1" x14ac:dyDescent="0.3">
      <c r="A489" s="10"/>
      <c r="B489" s="10"/>
    </row>
    <row r="490" spans="1:2" ht="14.25" customHeight="1" x14ac:dyDescent="0.3">
      <c r="A490" s="10"/>
      <c r="B490" s="10"/>
    </row>
    <row r="491" spans="1:2" ht="14.25" customHeight="1" x14ac:dyDescent="0.3">
      <c r="A491" s="10"/>
      <c r="B491" s="10"/>
    </row>
    <row r="492" spans="1:2" ht="14.25" customHeight="1" x14ac:dyDescent="0.3">
      <c r="A492" s="10"/>
      <c r="B492" s="10"/>
    </row>
    <row r="493" spans="1:2" ht="14.25" customHeight="1" x14ac:dyDescent="0.3">
      <c r="A493" s="10"/>
      <c r="B493" s="10"/>
    </row>
    <row r="494" spans="1:2" ht="14.25" customHeight="1" x14ac:dyDescent="0.3">
      <c r="A494" s="10"/>
      <c r="B494" s="10"/>
    </row>
    <row r="495" spans="1:2" ht="14.25" customHeight="1" x14ac:dyDescent="0.3">
      <c r="A495" s="10"/>
      <c r="B495" s="10"/>
    </row>
    <row r="496" spans="1:2" ht="14.25" customHeight="1" x14ac:dyDescent="0.3">
      <c r="A496" s="10"/>
      <c r="B496" s="10"/>
    </row>
    <row r="497" spans="1:2" ht="14.25" customHeight="1" x14ac:dyDescent="0.3">
      <c r="A497" s="10"/>
      <c r="B497" s="10"/>
    </row>
    <row r="498" spans="1:2" ht="14.25" customHeight="1" x14ac:dyDescent="0.3">
      <c r="A498" s="10"/>
      <c r="B498" s="10"/>
    </row>
    <row r="499" spans="1:2" ht="14.25" customHeight="1" x14ac:dyDescent="0.3">
      <c r="A499" s="10"/>
      <c r="B499" s="10"/>
    </row>
    <row r="500" spans="1:2" ht="14.25" customHeight="1" x14ac:dyDescent="0.3">
      <c r="A500" s="10"/>
      <c r="B500" s="10"/>
    </row>
    <row r="501" spans="1:2" ht="14.25" customHeight="1" x14ac:dyDescent="0.3">
      <c r="A501" s="10"/>
      <c r="B501" s="10"/>
    </row>
    <row r="502" spans="1:2" ht="14.25" customHeight="1" x14ac:dyDescent="0.3">
      <c r="A502" s="10"/>
      <c r="B502" s="10"/>
    </row>
    <row r="503" spans="1:2" ht="14.25" customHeight="1" x14ac:dyDescent="0.3">
      <c r="A503" s="10"/>
      <c r="B503" s="10"/>
    </row>
    <row r="504" spans="1:2" ht="14.25" customHeight="1" x14ac:dyDescent="0.3">
      <c r="A504" s="10"/>
      <c r="B504" s="10"/>
    </row>
    <row r="505" spans="1:2" ht="14.25" customHeight="1" x14ac:dyDescent="0.3">
      <c r="A505" s="10"/>
      <c r="B505" s="10"/>
    </row>
    <row r="506" spans="1:2" ht="14.25" customHeight="1" x14ac:dyDescent="0.3">
      <c r="A506" s="10"/>
      <c r="B506" s="10"/>
    </row>
    <row r="507" spans="1:2" ht="14.25" customHeight="1" x14ac:dyDescent="0.3">
      <c r="A507" s="10"/>
      <c r="B507" s="10"/>
    </row>
    <row r="508" spans="1:2" ht="14.25" customHeight="1" x14ac:dyDescent="0.3">
      <c r="A508" s="10"/>
      <c r="B508" s="10"/>
    </row>
    <row r="509" spans="1:2" ht="14.25" customHeight="1" x14ac:dyDescent="0.3">
      <c r="A509" s="10"/>
      <c r="B509" s="10"/>
    </row>
    <row r="510" spans="1:2" ht="14.25" customHeight="1" x14ac:dyDescent="0.3">
      <c r="A510" s="10"/>
      <c r="B510" s="10"/>
    </row>
    <row r="511" spans="1:2" ht="14.25" customHeight="1" x14ac:dyDescent="0.3">
      <c r="A511" s="10"/>
      <c r="B511" s="10"/>
    </row>
    <row r="512" spans="1:2" ht="14.25" customHeight="1" x14ac:dyDescent="0.3">
      <c r="A512" s="10"/>
      <c r="B512" s="10"/>
    </row>
    <row r="513" spans="1:2" ht="14.25" customHeight="1" x14ac:dyDescent="0.3">
      <c r="A513" s="10"/>
      <c r="B513" s="10"/>
    </row>
    <row r="514" spans="1:2" ht="14.25" customHeight="1" x14ac:dyDescent="0.3">
      <c r="A514" s="10"/>
      <c r="B514" s="10"/>
    </row>
    <row r="515" spans="1:2" ht="14.25" customHeight="1" x14ac:dyDescent="0.3">
      <c r="A515" s="10"/>
      <c r="B515" s="10"/>
    </row>
    <row r="516" spans="1:2" ht="14.25" customHeight="1" x14ac:dyDescent="0.3">
      <c r="A516" s="10"/>
      <c r="B516" s="10"/>
    </row>
    <row r="517" spans="1:2" ht="14.25" customHeight="1" x14ac:dyDescent="0.3">
      <c r="A517" s="10"/>
      <c r="B517" s="10"/>
    </row>
    <row r="518" spans="1:2" ht="14.25" customHeight="1" x14ac:dyDescent="0.3">
      <c r="A518" s="10"/>
      <c r="B518" s="10"/>
    </row>
    <row r="519" spans="1:2" ht="14.25" customHeight="1" x14ac:dyDescent="0.3">
      <c r="A519" s="10"/>
      <c r="B519" s="10"/>
    </row>
    <row r="520" spans="1:2" ht="14.25" customHeight="1" x14ac:dyDescent="0.3">
      <c r="A520" s="10"/>
      <c r="B520" s="10"/>
    </row>
    <row r="521" spans="1:2" ht="14.25" customHeight="1" x14ac:dyDescent="0.3">
      <c r="A521" s="10"/>
      <c r="B521" s="10"/>
    </row>
    <row r="522" spans="1:2" ht="14.25" customHeight="1" x14ac:dyDescent="0.3">
      <c r="A522" s="10"/>
      <c r="B522" s="10"/>
    </row>
    <row r="523" spans="1:2" ht="14.25" customHeight="1" x14ac:dyDescent="0.3">
      <c r="A523" s="10"/>
      <c r="B523" s="10"/>
    </row>
    <row r="524" spans="1:2" ht="14.25" customHeight="1" x14ac:dyDescent="0.3">
      <c r="A524" s="10"/>
      <c r="B524" s="10"/>
    </row>
    <row r="525" spans="1:2" ht="14.25" customHeight="1" x14ac:dyDescent="0.3">
      <c r="A525" s="10"/>
      <c r="B525" s="10"/>
    </row>
    <row r="526" spans="1:2" ht="14.25" customHeight="1" x14ac:dyDescent="0.3">
      <c r="A526" s="10"/>
      <c r="B526" s="10"/>
    </row>
    <row r="527" spans="1:2" ht="14.25" customHeight="1" x14ac:dyDescent="0.3">
      <c r="A527" s="10"/>
      <c r="B527" s="10"/>
    </row>
    <row r="528" spans="1:2" ht="14.25" customHeight="1" x14ac:dyDescent="0.3">
      <c r="A528" s="10"/>
      <c r="B528" s="10"/>
    </row>
    <row r="529" spans="1:2" ht="14.25" customHeight="1" x14ac:dyDescent="0.3">
      <c r="A529" s="10"/>
      <c r="B529" s="10"/>
    </row>
    <row r="530" spans="1:2" ht="14.25" customHeight="1" x14ac:dyDescent="0.3">
      <c r="A530" s="10"/>
      <c r="B530" s="10"/>
    </row>
    <row r="531" spans="1:2" ht="14.25" customHeight="1" x14ac:dyDescent="0.3">
      <c r="A531" s="10"/>
      <c r="B531" s="10"/>
    </row>
    <row r="532" spans="1:2" ht="14.25" customHeight="1" x14ac:dyDescent="0.3">
      <c r="A532" s="10"/>
      <c r="B532" s="10"/>
    </row>
    <row r="533" spans="1:2" ht="14.25" customHeight="1" x14ac:dyDescent="0.3">
      <c r="A533" s="10"/>
      <c r="B533" s="10"/>
    </row>
    <row r="534" spans="1:2" ht="14.25" customHeight="1" x14ac:dyDescent="0.3">
      <c r="A534" s="10"/>
      <c r="B534" s="10"/>
    </row>
    <row r="535" spans="1:2" ht="14.25" customHeight="1" x14ac:dyDescent="0.3">
      <c r="A535" s="10"/>
      <c r="B535" s="10"/>
    </row>
    <row r="536" spans="1:2" ht="14.25" customHeight="1" x14ac:dyDescent="0.3">
      <c r="A536" s="10"/>
      <c r="B536" s="10"/>
    </row>
    <row r="537" spans="1:2" ht="14.25" customHeight="1" x14ac:dyDescent="0.3">
      <c r="A537" s="10"/>
      <c r="B537" s="10"/>
    </row>
    <row r="538" spans="1:2" ht="14.25" customHeight="1" x14ac:dyDescent="0.3">
      <c r="A538" s="10"/>
      <c r="B538" s="10"/>
    </row>
    <row r="539" spans="1:2" ht="14.25" customHeight="1" x14ac:dyDescent="0.3">
      <c r="A539" s="10"/>
      <c r="B539" s="10"/>
    </row>
    <row r="540" spans="1:2" ht="14.25" customHeight="1" x14ac:dyDescent="0.3">
      <c r="A540" s="10"/>
      <c r="B540" s="10"/>
    </row>
    <row r="541" spans="1:2" ht="14.25" customHeight="1" x14ac:dyDescent="0.3">
      <c r="A541" s="10"/>
      <c r="B541" s="10"/>
    </row>
    <row r="542" spans="1:2" ht="14.25" customHeight="1" x14ac:dyDescent="0.3">
      <c r="A542" s="10"/>
      <c r="B542" s="10"/>
    </row>
    <row r="543" spans="1:2" ht="14.25" customHeight="1" x14ac:dyDescent="0.3">
      <c r="A543" s="10"/>
      <c r="B543" s="10"/>
    </row>
    <row r="544" spans="1:2" ht="14.25" customHeight="1" x14ac:dyDescent="0.3">
      <c r="A544" s="10"/>
      <c r="B544" s="10"/>
    </row>
    <row r="545" spans="1:2" ht="14.25" customHeight="1" x14ac:dyDescent="0.3">
      <c r="A545" s="10"/>
      <c r="B545" s="10"/>
    </row>
    <row r="546" spans="1:2" ht="14.25" customHeight="1" x14ac:dyDescent="0.3">
      <c r="A546" s="10"/>
      <c r="B546" s="10"/>
    </row>
    <row r="547" spans="1:2" ht="14.25" customHeight="1" x14ac:dyDescent="0.3">
      <c r="A547" s="10"/>
      <c r="B547" s="10"/>
    </row>
    <row r="548" spans="1:2" ht="14.25" customHeight="1" x14ac:dyDescent="0.3">
      <c r="A548" s="10"/>
      <c r="B548" s="10"/>
    </row>
    <row r="549" spans="1:2" ht="14.25" customHeight="1" x14ac:dyDescent="0.3">
      <c r="A549" s="10"/>
      <c r="B549" s="10"/>
    </row>
    <row r="550" spans="1:2" ht="14.25" customHeight="1" x14ac:dyDescent="0.3">
      <c r="A550" s="10"/>
      <c r="B550" s="10"/>
    </row>
    <row r="551" spans="1:2" ht="14.25" customHeight="1" x14ac:dyDescent="0.3">
      <c r="A551" s="10"/>
      <c r="B551" s="10"/>
    </row>
    <row r="552" spans="1:2" ht="14.25" customHeight="1" x14ac:dyDescent="0.3">
      <c r="A552" s="10"/>
      <c r="B552" s="10"/>
    </row>
    <row r="553" spans="1:2" ht="14.25" customHeight="1" x14ac:dyDescent="0.3">
      <c r="A553" s="10"/>
      <c r="B553" s="10"/>
    </row>
    <row r="554" spans="1:2" ht="14.25" customHeight="1" x14ac:dyDescent="0.3">
      <c r="A554" s="10"/>
      <c r="B554" s="10"/>
    </row>
    <row r="555" spans="1:2" ht="14.25" customHeight="1" x14ac:dyDescent="0.3">
      <c r="A555" s="10"/>
      <c r="B555" s="10"/>
    </row>
    <row r="556" spans="1:2" ht="14.25" customHeight="1" x14ac:dyDescent="0.3">
      <c r="A556" s="10"/>
      <c r="B556" s="10"/>
    </row>
    <row r="557" spans="1:2" ht="14.25" customHeight="1" x14ac:dyDescent="0.3">
      <c r="A557" s="10"/>
      <c r="B557" s="10"/>
    </row>
    <row r="558" spans="1:2" ht="14.25" customHeight="1" x14ac:dyDescent="0.3">
      <c r="A558" s="10"/>
      <c r="B558" s="10"/>
    </row>
    <row r="559" spans="1:2" ht="14.25" customHeight="1" x14ac:dyDescent="0.3">
      <c r="A559" s="10"/>
      <c r="B559" s="10"/>
    </row>
    <row r="560" spans="1:2" ht="14.25" customHeight="1" x14ac:dyDescent="0.3">
      <c r="A560" s="10"/>
      <c r="B560" s="10"/>
    </row>
    <row r="561" spans="1:2" ht="14.25" customHeight="1" x14ac:dyDescent="0.3">
      <c r="A561" s="10"/>
      <c r="B561" s="10"/>
    </row>
    <row r="562" spans="1:2" ht="14.25" customHeight="1" x14ac:dyDescent="0.3">
      <c r="A562" s="10"/>
      <c r="B562" s="10"/>
    </row>
    <row r="563" spans="1:2" ht="14.25" customHeight="1" x14ac:dyDescent="0.3">
      <c r="A563" s="10"/>
      <c r="B563" s="10"/>
    </row>
    <row r="564" spans="1:2" ht="14.25" customHeight="1" x14ac:dyDescent="0.3">
      <c r="A564" s="10"/>
      <c r="B564" s="10"/>
    </row>
    <row r="565" spans="1:2" ht="14.25" customHeight="1" x14ac:dyDescent="0.3">
      <c r="A565" s="10"/>
      <c r="B565" s="10"/>
    </row>
    <row r="566" spans="1:2" ht="14.25" customHeight="1" x14ac:dyDescent="0.3">
      <c r="A566" s="10"/>
      <c r="B566" s="10"/>
    </row>
    <row r="567" spans="1:2" ht="14.25" customHeight="1" x14ac:dyDescent="0.3">
      <c r="A567" s="10"/>
      <c r="B567" s="10"/>
    </row>
    <row r="568" spans="1:2" ht="14.25" customHeight="1" x14ac:dyDescent="0.3">
      <c r="A568" s="10"/>
      <c r="B568" s="10"/>
    </row>
    <row r="569" spans="1:2" ht="14.25" customHeight="1" x14ac:dyDescent="0.3">
      <c r="A569" s="10"/>
      <c r="B569" s="10"/>
    </row>
    <row r="570" spans="1:2" ht="14.25" customHeight="1" x14ac:dyDescent="0.3">
      <c r="A570" s="10"/>
      <c r="B570" s="10"/>
    </row>
    <row r="571" spans="1:2" ht="14.25" customHeight="1" x14ac:dyDescent="0.3">
      <c r="A571" s="10"/>
      <c r="B571" s="10"/>
    </row>
    <row r="572" spans="1:2" ht="14.25" customHeight="1" x14ac:dyDescent="0.3">
      <c r="A572" s="10"/>
      <c r="B572" s="10"/>
    </row>
    <row r="573" spans="1:2" ht="14.25" customHeight="1" x14ac:dyDescent="0.3">
      <c r="A573" s="10"/>
      <c r="B573" s="10"/>
    </row>
    <row r="574" spans="1:2" ht="14.25" customHeight="1" x14ac:dyDescent="0.3">
      <c r="A574" s="10"/>
      <c r="B574" s="10"/>
    </row>
    <row r="575" spans="1:2" ht="14.25" customHeight="1" x14ac:dyDescent="0.3">
      <c r="A575" s="10"/>
      <c r="B575" s="10"/>
    </row>
    <row r="576" spans="1:2" ht="14.25" customHeight="1" x14ac:dyDescent="0.3">
      <c r="A576" s="10"/>
      <c r="B576" s="10"/>
    </row>
    <row r="577" spans="1:2" ht="14.25" customHeight="1" x14ac:dyDescent="0.3">
      <c r="A577" s="10"/>
      <c r="B577" s="10"/>
    </row>
    <row r="578" spans="1:2" ht="14.25" customHeight="1" x14ac:dyDescent="0.3">
      <c r="A578" s="10"/>
      <c r="B578" s="10"/>
    </row>
    <row r="579" spans="1:2" ht="14.25" customHeight="1" x14ac:dyDescent="0.3">
      <c r="A579" s="10"/>
      <c r="B579" s="10"/>
    </row>
    <row r="580" spans="1:2" ht="14.25" customHeight="1" x14ac:dyDescent="0.3">
      <c r="A580" s="10"/>
      <c r="B580" s="10"/>
    </row>
    <row r="581" spans="1:2" ht="14.25" customHeight="1" x14ac:dyDescent="0.3">
      <c r="A581" s="10"/>
      <c r="B581" s="10"/>
    </row>
    <row r="582" spans="1:2" ht="14.25" customHeight="1" x14ac:dyDescent="0.3">
      <c r="A582" s="10"/>
      <c r="B582" s="10"/>
    </row>
    <row r="583" spans="1:2" ht="14.25" customHeight="1" x14ac:dyDescent="0.3">
      <c r="A583" s="10"/>
      <c r="B583" s="10"/>
    </row>
    <row r="584" spans="1:2" ht="14.25" customHeight="1" x14ac:dyDescent="0.3">
      <c r="A584" s="10"/>
      <c r="B584" s="10"/>
    </row>
    <row r="585" spans="1:2" ht="14.25" customHeight="1" x14ac:dyDescent="0.3">
      <c r="A585" s="10"/>
      <c r="B585" s="10"/>
    </row>
    <row r="586" spans="1:2" ht="14.25" customHeight="1" x14ac:dyDescent="0.3">
      <c r="A586" s="10"/>
      <c r="B586" s="10"/>
    </row>
    <row r="587" spans="1:2" ht="14.25" customHeight="1" x14ac:dyDescent="0.3">
      <c r="A587" s="10"/>
      <c r="B587" s="10"/>
    </row>
    <row r="588" spans="1:2" ht="14.25" customHeight="1" x14ac:dyDescent="0.3">
      <c r="A588" s="10"/>
      <c r="B588" s="10"/>
    </row>
    <row r="589" spans="1:2" ht="14.25" customHeight="1" x14ac:dyDescent="0.3">
      <c r="A589" s="10"/>
      <c r="B589" s="10"/>
    </row>
    <row r="590" spans="1:2" ht="14.25" customHeight="1" x14ac:dyDescent="0.3">
      <c r="A590" s="10"/>
      <c r="B590" s="10"/>
    </row>
    <row r="591" spans="1:2" ht="14.25" customHeight="1" x14ac:dyDescent="0.3">
      <c r="A591" s="10"/>
      <c r="B591" s="10"/>
    </row>
    <row r="592" spans="1:2" ht="14.25" customHeight="1" x14ac:dyDescent="0.3">
      <c r="A592" s="10"/>
      <c r="B592" s="10"/>
    </row>
    <row r="593" spans="1:2" ht="14.25" customHeight="1" x14ac:dyDescent="0.3">
      <c r="A593" s="10"/>
      <c r="B593" s="10"/>
    </row>
    <row r="594" spans="1:2" ht="14.25" customHeight="1" x14ac:dyDescent="0.3">
      <c r="A594" s="10"/>
      <c r="B594" s="10"/>
    </row>
    <row r="595" spans="1:2" ht="14.25" customHeight="1" x14ac:dyDescent="0.3">
      <c r="A595" s="10"/>
      <c r="B595" s="10"/>
    </row>
    <row r="596" spans="1:2" ht="14.25" customHeight="1" x14ac:dyDescent="0.3">
      <c r="A596" s="10"/>
      <c r="B596" s="10"/>
    </row>
    <row r="597" spans="1:2" ht="14.25" customHeight="1" x14ac:dyDescent="0.3">
      <c r="A597" s="10"/>
      <c r="B597" s="10"/>
    </row>
    <row r="598" spans="1:2" ht="14.25" customHeight="1" x14ac:dyDescent="0.3">
      <c r="A598" s="10"/>
      <c r="B598" s="10"/>
    </row>
    <row r="599" spans="1:2" ht="14.25" customHeight="1" x14ac:dyDescent="0.3">
      <c r="A599" s="10"/>
      <c r="B599" s="10"/>
    </row>
    <row r="600" spans="1:2" ht="14.25" customHeight="1" x14ac:dyDescent="0.3">
      <c r="A600" s="10"/>
      <c r="B600" s="10"/>
    </row>
    <row r="601" spans="1:2" ht="14.25" customHeight="1" x14ac:dyDescent="0.3">
      <c r="A601" s="10"/>
      <c r="B601" s="10"/>
    </row>
    <row r="602" spans="1:2" ht="14.25" customHeight="1" x14ac:dyDescent="0.3">
      <c r="A602" s="10"/>
      <c r="B602" s="10"/>
    </row>
    <row r="603" spans="1:2" ht="14.25" customHeight="1" x14ac:dyDescent="0.3">
      <c r="A603" s="10"/>
      <c r="B603" s="10"/>
    </row>
    <row r="604" spans="1:2" ht="14.25" customHeight="1" x14ac:dyDescent="0.3">
      <c r="A604" s="10"/>
      <c r="B604" s="10"/>
    </row>
    <row r="605" spans="1:2" ht="14.25" customHeight="1" x14ac:dyDescent="0.3">
      <c r="A605" s="10"/>
      <c r="B605" s="10"/>
    </row>
    <row r="606" spans="1:2" ht="14.25" customHeight="1" x14ac:dyDescent="0.3">
      <c r="A606" s="10"/>
      <c r="B606" s="10"/>
    </row>
    <row r="607" spans="1:2" ht="14.25" customHeight="1" x14ac:dyDescent="0.3">
      <c r="A607" s="10"/>
      <c r="B607" s="10"/>
    </row>
    <row r="608" spans="1:2" ht="14.25" customHeight="1" x14ac:dyDescent="0.3">
      <c r="A608" s="10"/>
      <c r="B608" s="10"/>
    </row>
    <row r="609" spans="1:2" ht="14.25" customHeight="1" x14ac:dyDescent="0.3">
      <c r="A609" s="10"/>
      <c r="B609" s="10"/>
    </row>
    <row r="610" spans="1:2" ht="14.25" customHeight="1" x14ac:dyDescent="0.3">
      <c r="A610" s="10"/>
      <c r="B610" s="10"/>
    </row>
    <row r="611" spans="1:2" ht="14.25" customHeight="1" x14ac:dyDescent="0.3">
      <c r="A611" s="10"/>
      <c r="B611" s="10"/>
    </row>
    <row r="612" spans="1:2" ht="14.25" customHeight="1" x14ac:dyDescent="0.3">
      <c r="A612" s="10"/>
      <c r="B612" s="10"/>
    </row>
    <row r="613" spans="1:2" ht="14.25" customHeight="1" x14ac:dyDescent="0.3">
      <c r="A613" s="10"/>
      <c r="B613" s="10"/>
    </row>
    <row r="614" spans="1:2" ht="14.25" customHeight="1" x14ac:dyDescent="0.3">
      <c r="A614" s="10"/>
      <c r="B614" s="10"/>
    </row>
    <row r="615" spans="1:2" ht="14.25" customHeight="1" x14ac:dyDescent="0.3">
      <c r="A615" s="10"/>
      <c r="B615" s="10"/>
    </row>
    <row r="616" spans="1:2" ht="14.25" customHeight="1" x14ac:dyDescent="0.3">
      <c r="A616" s="10"/>
      <c r="B616" s="10"/>
    </row>
    <row r="617" spans="1:2" ht="14.25" customHeight="1" x14ac:dyDescent="0.3">
      <c r="A617" s="10"/>
      <c r="B617" s="10"/>
    </row>
    <row r="618" spans="1:2" ht="14.25" customHeight="1" x14ac:dyDescent="0.3">
      <c r="A618" s="10"/>
      <c r="B618" s="10"/>
    </row>
    <row r="619" spans="1:2" ht="14.25" customHeight="1" x14ac:dyDescent="0.3">
      <c r="A619" s="10"/>
      <c r="B619" s="10"/>
    </row>
    <row r="620" spans="1:2" ht="14.25" customHeight="1" x14ac:dyDescent="0.3">
      <c r="A620" s="10"/>
      <c r="B620" s="10"/>
    </row>
    <row r="621" spans="1:2" ht="14.25" customHeight="1" x14ac:dyDescent="0.3">
      <c r="A621" s="10"/>
      <c r="B621" s="10"/>
    </row>
    <row r="622" spans="1:2" ht="14.25" customHeight="1" x14ac:dyDescent="0.3">
      <c r="A622" s="10"/>
      <c r="B622" s="10"/>
    </row>
    <row r="623" spans="1:2" ht="14.25" customHeight="1" x14ac:dyDescent="0.3">
      <c r="A623" s="10"/>
      <c r="B623" s="10"/>
    </row>
    <row r="624" spans="1:2" ht="14.25" customHeight="1" x14ac:dyDescent="0.3">
      <c r="A624" s="10"/>
      <c r="B624" s="10"/>
    </row>
    <row r="625" spans="1:2" ht="14.25" customHeight="1" x14ac:dyDescent="0.3">
      <c r="A625" s="10"/>
      <c r="B625" s="10"/>
    </row>
    <row r="626" spans="1:2" ht="14.25" customHeight="1" x14ac:dyDescent="0.3">
      <c r="A626" s="10"/>
      <c r="B626" s="10"/>
    </row>
    <row r="627" spans="1:2" ht="14.25" customHeight="1" x14ac:dyDescent="0.3">
      <c r="A627" s="10"/>
      <c r="B627" s="10"/>
    </row>
    <row r="628" spans="1:2" ht="14.25" customHeight="1" x14ac:dyDescent="0.3">
      <c r="A628" s="10"/>
      <c r="B628" s="10"/>
    </row>
    <row r="629" spans="1:2" ht="14.25" customHeight="1" x14ac:dyDescent="0.3">
      <c r="A629" s="10"/>
      <c r="B629" s="10"/>
    </row>
    <row r="630" spans="1:2" ht="14.25" customHeight="1" x14ac:dyDescent="0.3">
      <c r="A630" s="10"/>
      <c r="B630" s="10"/>
    </row>
    <row r="631" spans="1:2" ht="14.25" customHeight="1" x14ac:dyDescent="0.3">
      <c r="A631" s="10"/>
      <c r="B631" s="10"/>
    </row>
    <row r="632" spans="1:2" ht="14.25" customHeight="1" x14ac:dyDescent="0.3">
      <c r="A632" s="10"/>
      <c r="B632" s="10"/>
    </row>
    <row r="633" spans="1:2" ht="14.25" customHeight="1" x14ac:dyDescent="0.3">
      <c r="A633" s="10"/>
      <c r="B633" s="10"/>
    </row>
    <row r="634" spans="1:2" ht="14.25" customHeight="1" x14ac:dyDescent="0.3">
      <c r="A634" s="10"/>
      <c r="B634" s="10"/>
    </row>
    <row r="635" spans="1:2" ht="14.25" customHeight="1" x14ac:dyDescent="0.3">
      <c r="A635" s="10"/>
      <c r="B635" s="10"/>
    </row>
    <row r="636" spans="1:2" ht="14.25" customHeight="1" x14ac:dyDescent="0.3">
      <c r="A636" s="10"/>
      <c r="B636" s="10"/>
    </row>
    <row r="637" spans="1:2" ht="14.25" customHeight="1" x14ac:dyDescent="0.3">
      <c r="A637" s="10"/>
      <c r="B637" s="10"/>
    </row>
    <row r="638" spans="1:2" ht="14.25" customHeight="1" x14ac:dyDescent="0.3">
      <c r="A638" s="10"/>
      <c r="B638" s="10"/>
    </row>
    <row r="639" spans="1:2" ht="14.25" customHeight="1" x14ac:dyDescent="0.3">
      <c r="A639" s="10"/>
      <c r="B639" s="10"/>
    </row>
    <row r="640" spans="1:2" ht="14.25" customHeight="1" x14ac:dyDescent="0.3">
      <c r="A640" s="10"/>
      <c r="B640" s="10"/>
    </row>
    <row r="641" spans="1:2" ht="14.25" customHeight="1" x14ac:dyDescent="0.3">
      <c r="A641" s="10"/>
      <c r="B641" s="10"/>
    </row>
    <row r="642" spans="1:2" ht="14.25" customHeight="1" x14ac:dyDescent="0.3">
      <c r="A642" s="10"/>
      <c r="B642" s="10"/>
    </row>
    <row r="643" spans="1:2" ht="14.25" customHeight="1" x14ac:dyDescent="0.3">
      <c r="A643" s="10"/>
      <c r="B643" s="10"/>
    </row>
    <row r="644" spans="1:2" ht="14.25" customHeight="1" x14ac:dyDescent="0.3">
      <c r="A644" s="10"/>
      <c r="B644" s="10"/>
    </row>
    <row r="645" spans="1:2" ht="14.25" customHeight="1" x14ac:dyDescent="0.3">
      <c r="A645" s="10"/>
      <c r="B645" s="10"/>
    </row>
    <row r="646" spans="1:2" ht="14.25" customHeight="1" x14ac:dyDescent="0.3">
      <c r="A646" s="10"/>
      <c r="B646" s="10"/>
    </row>
    <row r="647" spans="1:2" ht="14.25" customHeight="1" x14ac:dyDescent="0.3">
      <c r="A647" s="10"/>
      <c r="B647" s="10"/>
    </row>
    <row r="648" spans="1:2" ht="14.25" customHeight="1" x14ac:dyDescent="0.3">
      <c r="A648" s="10"/>
      <c r="B648" s="10"/>
    </row>
    <row r="649" spans="1:2" ht="14.25" customHeight="1" x14ac:dyDescent="0.3">
      <c r="A649" s="10"/>
      <c r="B649" s="10"/>
    </row>
    <row r="650" spans="1:2" ht="14.25" customHeight="1" x14ac:dyDescent="0.3">
      <c r="A650" s="10"/>
      <c r="B650" s="10"/>
    </row>
    <row r="651" spans="1:2" ht="14.25" customHeight="1" x14ac:dyDescent="0.3">
      <c r="A651" s="10"/>
      <c r="B651" s="10"/>
    </row>
    <row r="652" spans="1:2" ht="14.25" customHeight="1" x14ac:dyDescent="0.3">
      <c r="A652" s="10"/>
      <c r="B652" s="10"/>
    </row>
    <row r="653" spans="1:2" ht="14.25" customHeight="1" x14ac:dyDescent="0.3">
      <c r="A653" s="10"/>
      <c r="B653" s="10"/>
    </row>
    <row r="654" spans="1:2" ht="14.25" customHeight="1" x14ac:dyDescent="0.3">
      <c r="A654" s="10"/>
      <c r="B654" s="10"/>
    </row>
    <row r="655" spans="1:2" ht="14.25" customHeight="1" x14ac:dyDescent="0.3">
      <c r="A655" s="10"/>
      <c r="B655" s="10"/>
    </row>
    <row r="656" spans="1:2" ht="14.25" customHeight="1" x14ac:dyDescent="0.3">
      <c r="A656" s="10"/>
      <c r="B656" s="10"/>
    </row>
    <row r="657" spans="1:2" ht="14.25" customHeight="1" x14ac:dyDescent="0.3">
      <c r="A657" s="10"/>
      <c r="B657" s="10"/>
    </row>
    <row r="658" spans="1:2" ht="14.25" customHeight="1" x14ac:dyDescent="0.3">
      <c r="A658" s="10"/>
      <c r="B658" s="10"/>
    </row>
    <row r="659" spans="1:2" ht="14.25" customHeight="1" x14ac:dyDescent="0.3">
      <c r="A659" s="10"/>
      <c r="B659" s="10"/>
    </row>
    <row r="660" spans="1:2" ht="14.25" customHeight="1" x14ac:dyDescent="0.3">
      <c r="A660" s="10"/>
      <c r="B660" s="10"/>
    </row>
    <row r="661" spans="1:2" ht="14.25" customHeight="1" x14ac:dyDescent="0.3">
      <c r="A661" s="10"/>
      <c r="B661" s="10"/>
    </row>
    <row r="662" spans="1:2" ht="14.25" customHeight="1" x14ac:dyDescent="0.3">
      <c r="A662" s="10"/>
      <c r="B662" s="10"/>
    </row>
    <row r="663" spans="1:2" ht="14.25" customHeight="1" x14ac:dyDescent="0.3">
      <c r="A663" s="10"/>
      <c r="B663" s="10"/>
    </row>
    <row r="664" spans="1:2" ht="14.25" customHeight="1" x14ac:dyDescent="0.3">
      <c r="A664" s="10"/>
      <c r="B664" s="10"/>
    </row>
    <row r="665" spans="1:2" ht="14.25" customHeight="1" x14ac:dyDescent="0.3">
      <c r="A665" s="10"/>
      <c r="B665" s="10"/>
    </row>
    <row r="666" spans="1:2" ht="14.25" customHeight="1" x14ac:dyDescent="0.3">
      <c r="A666" s="10"/>
      <c r="B666" s="10"/>
    </row>
    <row r="667" spans="1:2" ht="14.25" customHeight="1" x14ac:dyDescent="0.3">
      <c r="A667" s="10"/>
      <c r="B667" s="10"/>
    </row>
    <row r="668" spans="1:2" ht="14.25" customHeight="1" x14ac:dyDescent="0.3">
      <c r="A668" s="10"/>
      <c r="B668" s="10"/>
    </row>
    <row r="669" spans="1:2" ht="14.25" customHeight="1" x14ac:dyDescent="0.3">
      <c r="A669" s="10"/>
      <c r="B669" s="10"/>
    </row>
    <row r="670" spans="1:2" ht="14.25" customHeight="1" x14ac:dyDescent="0.3">
      <c r="A670" s="10"/>
      <c r="B670" s="10"/>
    </row>
    <row r="671" spans="1:2" ht="14.25" customHeight="1" x14ac:dyDescent="0.3">
      <c r="A671" s="10"/>
      <c r="B671" s="10"/>
    </row>
    <row r="672" spans="1:2" ht="14.25" customHeight="1" x14ac:dyDescent="0.3">
      <c r="A672" s="10"/>
      <c r="B672" s="10"/>
    </row>
    <row r="673" spans="1:2" ht="14.25" customHeight="1" x14ac:dyDescent="0.3">
      <c r="A673" s="10"/>
      <c r="B673" s="10"/>
    </row>
    <row r="674" spans="1:2" ht="14.25" customHeight="1" x14ac:dyDescent="0.3">
      <c r="A674" s="10"/>
      <c r="B674" s="10"/>
    </row>
    <row r="675" spans="1:2" ht="14.25" customHeight="1" x14ac:dyDescent="0.3">
      <c r="A675" s="10"/>
      <c r="B675" s="10"/>
    </row>
    <row r="676" spans="1:2" ht="14.25" customHeight="1" x14ac:dyDescent="0.3">
      <c r="A676" s="10"/>
      <c r="B676" s="10"/>
    </row>
    <row r="677" spans="1:2" ht="14.25" customHeight="1" x14ac:dyDescent="0.3">
      <c r="A677" s="10"/>
      <c r="B677" s="10"/>
    </row>
    <row r="678" spans="1:2" ht="14.25" customHeight="1" x14ac:dyDescent="0.3">
      <c r="A678" s="10"/>
      <c r="B678" s="10"/>
    </row>
    <row r="679" spans="1:2" ht="14.25" customHeight="1" x14ac:dyDescent="0.3">
      <c r="A679" s="10"/>
      <c r="B679" s="10"/>
    </row>
    <row r="680" spans="1:2" ht="14.25" customHeight="1" x14ac:dyDescent="0.3">
      <c r="A680" s="10"/>
      <c r="B680" s="10"/>
    </row>
    <row r="681" spans="1:2" ht="14.25" customHeight="1" x14ac:dyDescent="0.3">
      <c r="A681" s="10"/>
      <c r="B681" s="10"/>
    </row>
    <row r="682" spans="1:2" ht="14.25" customHeight="1" x14ac:dyDescent="0.3">
      <c r="A682" s="10"/>
      <c r="B682" s="10"/>
    </row>
    <row r="683" spans="1:2" ht="14.25" customHeight="1" x14ac:dyDescent="0.3">
      <c r="A683" s="10"/>
      <c r="B683" s="10"/>
    </row>
    <row r="684" spans="1:2" ht="14.25" customHeight="1" x14ac:dyDescent="0.3">
      <c r="A684" s="10"/>
      <c r="B684" s="10"/>
    </row>
    <row r="685" spans="1:2" ht="14.25" customHeight="1" x14ac:dyDescent="0.3">
      <c r="A685" s="10"/>
      <c r="B685" s="10"/>
    </row>
    <row r="686" spans="1:2" ht="14.25" customHeight="1" x14ac:dyDescent="0.3">
      <c r="A686" s="10"/>
      <c r="B686" s="10"/>
    </row>
    <row r="687" spans="1:2" ht="14.25" customHeight="1" x14ac:dyDescent="0.3">
      <c r="A687" s="10"/>
      <c r="B687" s="10"/>
    </row>
    <row r="688" spans="1:2" ht="14.25" customHeight="1" x14ac:dyDescent="0.3">
      <c r="A688" s="10"/>
      <c r="B688" s="10"/>
    </row>
    <row r="689" spans="1:2" ht="14.25" customHeight="1" x14ac:dyDescent="0.3">
      <c r="A689" s="10"/>
      <c r="B689" s="10"/>
    </row>
    <row r="690" spans="1:2" ht="14.25" customHeight="1" x14ac:dyDescent="0.3">
      <c r="A690" s="10"/>
      <c r="B690" s="10"/>
    </row>
    <row r="691" spans="1:2" ht="14.25" customHeight="1" x14ac:dyDescent="0.3">
      <c r="A691" s="10"/>
      <c r="B691" s="10"/>
    </row>
    <row r="692" spans="1:2" ht="14.25" customHeight="1" x14ac:dyDescent="0.3">
      <c r="A692" s="10"/>
      <c r="B692" s="10"/>
    </row>
    <row r="693" spans="1:2" ht="14.25" customHeight="1" x14ac:dyDescent="0.3">
      <c r="A693" s="10"/>
      <c r="B693" s="10"/>
    </row>
    <row r="694" spans="1:2" ht="14.25" customHeight="1" x14ac:dyDescent="0.3">
      <c r="A694" s="10"/>
      <c r="B694" s="10"/>
    </row>
    <row r="695" spans="1:2" ht="14.25" customHeight="1" x14ac:dyDescent="0.3">
      <c r="A695" s="10"/>
      <c r="B695" s="10"/>
    </row>
    <row r="696" spans="1:2" ht="14.25" customHeight="1" x14ac:dyDescent="0.3">
      <c r="A696" s="10"/>
      <c r="B696" s="10"/>
    </row>
    <row r="697" spans="1:2" ht="14.25" customHeight="1" x14ac:dyDescent="0.3">
      <c r="A697" s="10"/>
      <c r="B697" s="10"/>
    </row>
    <row r="698" spans="1:2" ht="14.25" customHeight="1" x14ac:dyDescent="0.3">
      <c r="A698" s="10"/>
      <c r="B698" s="10"/>
    </row>
    <row r="699" spans="1:2" ht="14.25" customHeight="1" x14ac:dyDescent="0.3">
      <c r="A699" s="10"/>
      <c r="B699" s="10"/>
    </row>
    <row r="700" spans="1:2" ht="14.25" customHeight="1" x14ac:dyDescent="0.3">
      <c r="A700" s="10"/>
      <c r="B700" s="10"/>
    </row>
    <row r="701" spans="1:2" ht="14.25" customHeight="1" x14ac:dyDescent="0.3">
      <c r="A701" s="10"/>
      <c r="B701" s="10"/>
    </row>
    <row r="702" spans="1:2" ht="14.25" customHeight="1" x14ac:dyDescent="0.3">
      <c r="A702" s="10"/>
      <c r="B702" s="10"/>
    </row>
    <row r="703" spans="1:2" ht="14.25" customHeight="1" x14ac:dyDescent="0.3">
      <c r="A703" s="10"/>
      <c r="B703" s="10"/>
    </row>
    <row r="704" spans="1:2" ht="14.25" customHeight="1" x14ac:dyDescent="0.3">
      <c r="A704" s="10"/>
      <c r="B704" s="10"/>
    </row>
    <row r="705" spans="1:2" ht="14.25" customHeight="1" x14ac:dyDescent="0.3">
      <c r="A705" s="10"/>
      <c r="B705" s="10"/>
    </row>
    <row r="706" spans="1:2" ht="14.25" customHeight="1" x14ac:dyDescent="0.3">
      <c r="A706" s="10"/>
      <c r="B706" s="10"/>
    </row>
    <row r="707" spans="1:2" ht="14.25" customHeight="1" x14ac:dyDescent="0.3">
      <c r="A707" s="10"/>
      <c r="B707" s="10"/>
    </row>
    <row r="708" spans="1:2" ht="14.25" customHeight="1" x14ac:dyDescent="0.3">
      <c r="A708" s="10"/>
      <c r="B708" s="10"/>
    </row>
    <row r="709" spans="1:2" ht="14.25" customHeight="1" x14ac:dyDescent="0.3">
      <c r="A709" s="10"/>
      <c r="B709" s="10"/>
    </row>
    <row r="710" spans="1:2" ht="14.25" customHeight="1" x14ac:dyDescent="0.3">
      <c r="A710" s="10"/>
      <c r="B710" s="10"/>
    </row>
    <row r="711" spans="1:2" ht="14.25" customHeight="1" x14ac:dyDescent="0.3">
      <c r="A711" s="10"/>
      <c r="B711" s="10"/>
    </row>
    <row r="712" spans="1:2" ht="14.25" customHeight="1" x14ac:dyDescent="0.3">
      <c r="A712" s="10"/>
      <c r="B712" s="10"/>
    </row>
    <row r="713" spans="1:2" ht="14.25" customHeight="1" x14ac:dyDescent="0.3">
      <c r="A713" s="10"/>
      <c r="B713" s="10"/>
    </row>
    <row r="714" spans="1:2" ht="14.25" customHeight="1" x14ac:dyDescent="0.3">
      <c r="A714" s="10"/>
      <c r="B714" s="10"/>
    </row>
    <row r="715" spans="1:2" ht="14.25" customHeight="1" x14ac:dyDescent="0.3">
      <c r="A715" s="10"/>
      <c r="B715" s="10"/>
    </row>
    <row r="716" spans="1:2" ht="14.25" customHeight="1" x14ac:dyDescent="0.3">
      <c r="A716" s="10"/>
      <c r="B716" s="10"/>
    </row>
    <row r="717" spans="1:2" ht="14.25" customHeight="1" x14ac:dyDescent="0.3">
      <c r="A717" s="10"/>
      <c r="B717" s="10"/>
    </row>
    <row r="718" spans="1:2" ht="14.25" customHeight="1" x14ac:dyDescent="0.3">
      <c r="A718" s="10"/>
      <c r="B718" s="10"/>
    </row>
    <row r="719" spans="1:2" ht="14.25" customHeight="1" x14ac:dyDescent="0.3">
      <c r="A719" s="10"/>
      <c r="B719" s="10"/>
    </row>
    <row r="720" spans="1:2" ht="14.25" customHeight="1" x14ac:dyDescent="0.3">
      <c r="A720" s="10"/>
      <c r="B720" s="10"/>
    </row>
    <row r="721" spans="1:2" ht="14.25" customHeight="1" x14ac:dyDescent="0.3">
      <c r="A721" s="10"/>
      <c r="B721" s="10"/>
    </row>
    <row r="722" spans="1:2" ht="14.25" customHeight="1" x14ac:dyDescent="0.3">
      <c r="A722" s="10"/>
      <c r="B722" s="10"/>
    </row>
    <row r="723" spans="1:2" ht="14.25" customHeight="1" x14ac:dyDescent="0.3">
      <c r="A723" s="10"/>
      <c r="B723" s="10"/>
    </row>
    <row r="724" spans="1:2" ht="14.25" customHeight="1" x14ac:dyDescent="0.3">
      <c r="A724" s="10"/>
      <c r="B724" s="10"/>
    </row>
    <row r="725" spans="1:2" ht="14.25" customHeight="1" x14ac:dyDescent="0.3">
      <c r="A725" s="10"/>
      <c r="B725" s="10"/>
    </row>
    <row r="726" spans="1:2" ht="14.25" customHeight="1" x14ac:dyDescent="0.3">
      <c r="A726" s="10"/>
      <c r="B726" s="10"/>
    </row>
    <row r="727" spans="1:2" ht="14.25" customHeight="1" x14ac:dyDescent="0.3">
      <c r="A727" s="10"/>
      <c r="B727" s="10"/>
    </row>
    <row r="728" spans="1:2" ht="14.25" customHeight="1" x14ac:dyDescent="0.3">
      <c r="A728" s="10"/>
      <c r="B728" s="10"/>
    </row>
    <row r="729" spans="1:2" ht="14.25" customHeight="1" x14ac:dyDescent="0.3">
      <c r="A729" s="10"/>
      <c r="B729" s="10"/>
    </row>
    <row r="730" spans="1:2" ht="14.25" customHeight="1" x14ac:dyDescent="0.3">
      <c r="A730" s="10"/>
      <c r="B730" s="10"/>
    </row>
    <row r="731" spans="1:2" ht="14.25" customHeight="1" x14ac:dyDescent="0.3">
      <c r="A731" s="10"/>
      <c r="B731" s="10"/>
    </row>
    <row r="732" spans="1:2" ht="14.25" customHeight="1" x14ac:dyDescent="0.3">
      <c r="A732" s="10"/>
      <c r="B732" s="10"/>
    </row>
    <row r="733" spans="1:2" ht="14.25" customHeight="1" x14ac:dyDescent="0.3">
      <c r="A733" s="10"/>
      <c r="B733" s="10"/>
    </row>
    <row r="734" spans="1:2" ht="14.25" customHeight="1" x14ac:dyDescent="0.3">
      <c r="A734" s="10"/>
      <c r="B734" s="10"/>
    </row>
    <row r="735" spans="1:2" ht="14.25" customHeight="1" x14ac:dyDescent="0.3">
      <c r="A735" s="10"/>
      <c r="B735" s="10"/>
    </row>
    <row r="736" spans="1:2" ht="14.25" customHeight="1" x14ac:dyDescent="0.3">
      <c r="A736" s="10"/>
      <c r="B736" s="10"/>
    </row>
    <row r="737" spans="1:2" ht="14.25" customHeight="1" x14ac:dyDescent="0.3">
      <c r="A737" s="10"/>
      <c r="B737" s="10"/>
    </row>
    <row r="738" spans="1:2" ht="14.25" customHeight="1" x14ac:dyDescent="0.3">
      <c r="A738" s="10"/>
      <c r="B738" s="10"/>
    </row>
    <row r="739" spans="1:2" ht="14.25" customHeight="1" x14ac:dyDescent="0.3">
      <c r="A739" s="10"/>
      <c r="B739" s="10"/>
    </row>
    <row r="740" spans="1:2" ht="14.25" customHeight="1" x14ac:dyDescent="0.3">
      <c r="A740" s="10"/>
      <c r="B740" s="10"/>
    </row>
    <row r="741" spans="1:2" ht="14.25" customHeight="1" x14ac:dyDescent="0.3">
      <c r="A741" s="10"/>
      <c r="B741" s="10"/>
    </row>
    <row r="742" spans="1:2" ht="14.25" customHeight="1" x14ac:dyDescent="0.3">
      <c r="A742" s="10"/>
      <c r="B742" s="10"/>
    </row>
    <row r="743" spans="1:2" ht="14.25" customHeight="1" x14ac:dyDescent="0.3">
      <c r="A743" s="10"/>
      <c r="B743" s="10"/>
    </row>
    <row r="744" spans="1:2" ht="14.25" customHeight="1" x14ac:dyDescent="0.3">
      <c r="A744" s="10"/>
      <c r="B744" s="10"/>
    </row>
    <row r="745" spans="1:2" ht="14.25" customHeight="1" x14ac:dyDescent="0.3">
      <c r="A745" s="10"/>
      <c r="B745" s="10"/>
    </row>
    <row r="746" spans="1:2" ht="14.25" customHeight="1" x14ac:dyDescent="0.3">
      <c r="A746" s="10"/>
      <c r="B746" s="10"/>
    </row>
    <row r="747" spans="1:2" ht="14.25" customHeight="1" x14ac:dyDescent="0.3">
      <c r="A747" s="10"/>
      <c r="B747" s="10"/>
    </row>
    <row r="748" spans="1:2" ht="14.25" customHeight="1" x14ac:dyDescent="0.3">
      <c r="A748" s="10"/>
      <c r="B748" s="10"/>
    </row>
    <row r="749" spans="1:2" ht="14.25" customHeight="1" x14ac:dyDescent="0.3">
      <c r="A749" s="10"/>
      <c r="B749" s="10"/>
    </row>
    <row r="750" spans="1:2" ht="14.25" customHeight="1" x14ac:dyDescent="0.3">
      <c r="A750" s="10"/>
      <c r="B750" s="10"/>
    </row>
    <row r="751" spans="1:2" ht="14.25" customHeight="1" x14ac:dyDescent="0.3">
      <c r="A751" s="10"/>
      <c r="B751" s="10"/>
    </row>
    <row r="752" spans="1:2" ht="14.25" customHeight="1" x14ac:dyDescent="0.3">
      <c r="A752" s="10"/>
      <c r="B752" s="10"/>
    </row>
    <row r="753" spans="1:2" ht="14.25" customHeight="1" x14ac:dyDescent="0.3">
      <c r="A753" s="10"/>
      <c r="B753" s="10"/>
    </row>
    <row r="754" spans="1:2" ht="14.25" customHeight="1" x14ac:dyDescent="0.3">
      <c r="A754" s="10"/>
      <c r="B754" s="10"/>
    </row>
    <row r="755" spans="1:2" ht="14.25" customHeight="1" x14ac:dyDescent="0.3">
      <c r="A755" s="10"/>
      <c r="B755" s="10"/>
    </row>
    <row r="756" spans="1:2" ht="14.25" customHeight="1" x14ac:dyDescent="0.3">
      <c r="A756" s="10"/>
      <c r="B756" s="10"/>
    </row>
    <row r="757" spans="1:2" ht="14.25" customHeight="1" x14ac:dyDescent="0.3">
      <c r="A757" s="10"/>
      <c r="B757" s="10"/>
    </row>
    <row r="758" spans="1:2" ht="14.25" customHeight="1" x14ac:dyDescent="0.3">
      <c r="A758" s="10"/>
      <c r="B758" s="10"/>
    </row>
    <row r="759" spans="1:2" ht="14.25" customHeight="1" x14ac:dyDescent="0.3">
      <c r="A759" s="10"/>
      <c r="B759" s="10"/>
    </row>
    <row r="760" spans="1:2" ht="14.25" customHeight="1" x14ac:dyDescent="0.3">
      <c r="A760" s="10"/>
      <c r="B760" s="10"/>
    </row>
    <row r="761" spans="1:2" ht="14.25" customHeight="1" x14ac:dyDescent="0.3">
      <c r="A761" s="10"/>
      <c r="B761" s="10"/>
    </row>
    <row r="762" spans="1:2" ht="14.25" customHeight="1" x14ac:dyDescent="0.3">
      <c r="A762" s="10"/>
      <c r="B762" s="10"/>
    </row>
    <row r="763" spans="1:2" ht="14.25" customHeight="1" x14ac:dyDescent="0.3">
      <c r="A763" s="10"/>
      <c r="B763" s="10"/>
    </row>
    <row r="764" spans="1:2" ht="14.25" customHeight="1" x14ac:dyDescent="0.3">
      <c r="A764" s="10"/>
      <c r="B764" s="10"/>
    </row>
    <row r="765" spans="1:2" ht="14.25" customHeight="1" x14ac:dyDescent="0.3">
      <c r="A765" s="10"/>
      <c r="B765" s="10"/>
    </row>
    <row r="766" spans="1:2" ht="14.25" customHeight="1" x14ac:dyDescent="0.3">
      <c r="A766" s="10"/>
      <c r="B766" s="10"/>
    </row>
    <row r="767" spans="1:2" ht="14.25" customHeight="1" x14ac:dyDescent="0.3">
      <c r="A767" s="10"/>
      <c r="B767" s="10"/>
    </row>
    <row r="768" spans="1:2" ht="14.25" customHeight="1" x14ac:dyDescent="0.3">
      <c r="A768" s="10"/>
      <c r="B768" s="10"/>
    </row>
    <row r="769" spans="1:2" ht="14.25" customHeight="1" x14ac:dyDescent="0.3">
      <c r="A769" s="10"/>
      <c r="B769" s="10"/>
    </row>
    <row r="770" spans="1:2" ht="14.25" customHeight="1" x14ac:dyDescent="0.3">
      <c r="A770" s="10"/>
      <c r="B770" s="10"/>
    </row>
    <row r="771" spans="1:2" ht="14.25" customHeight="1" x14ac:dyDescent="0.3">
      <c r="A771" s="10"/>
      <c r="B771" s="10"/>
    </row>
    <row r="772" spans="1:2" ht="14.25" customHeight="1" x14ac:dyDescent="0.3">
      <c r="A772" s="10"/>
      <c r="B772" s="10"/>
    </row>
    <row r="773" spans="1:2" ht="14.25" customHeight="1" x14ac:dyDescent="0.3">
      <c r="A773" s="10"/>
      <c r="B773" s="10"/>
    </row>
    <row r="774" spans="1:2" ht="14.25" customHeight="1" x14ac:dyDescent="0.3">
      <c r="A774" s="10"/>
      <c r="B774" s="10"/>
    </row>
    <row r="775" spans="1:2" ht="14.25" customHeight="1" x14ac:dyDescent="0.3">
      <c r="A775" s="10"/>
      <c r="B775" s="10"/>
    </row>
    <row r="776" spans="1:2" ht="14.25" customHeight="1" x14ac:dyDescent="0.3">
      <c r="A776" s="10"/>
      <c r="B776" s="10"/>
    </row>
    <row r="777" spans="1:2" ht="14.25" customHeight="1" x14ac:dyDescent="0.3">
      <c r="A777" s="10"/>
      <c r="B777" s="10"/>
    </row>
    <row r="778" spans="1:2" ht="14.25" customHeight="1" x14ac:dyDescent="0.3">
      <c r="A778" s="10"/>
      <c r="B778" s="10"/>
    </row>
    <row r="779" spans="1:2" ht="14.25" customHeight="1" x14ac:dyDescent="0.3">
      <c r="A779" s="10"/>
      <c r="B779" s="10"/>
    </row>
    <row r="780" spans="1:2" ht="14.25" customHeight="1" x14ac:dyDescent="0.3">
      <c r="A780" s="10"/>
      <c r="B780" s="10"/>
    </row>
    <row r="781" spans="1:2" ht="14.25" customHeight="1" x14ac:dyDescent="0.3">
      <c r="A781" s="10"/>
      <c r="B781" s="10"/>
    </row>
    <row r="782" spans="1:2" ht="14.25" customHeight="1" x14ac:dyDescent="0.3">
      <c r="A782" s="10"/>
      <c r="B782" s="10"/>
    </row>
    <row r="783" spans="1:2" ht="14.25" customHeight="1" x14ac:dyDescent="0.3">
      <c r="A783" s="10"/>
      <c r="B783" s="10"/>
    </row>
    <row r="784" spans="1:2" ht="14.25" customHeight="1" x14ac:dyDescent="0.3">
      <c r="A784" s="10"/>
      <c r="B784" s="10"/>
    </row>
    <row r="785" spans="1:2" ht="14.25" customHeight="1" x14ac:dyDescent="0.3">
      <c r="A785" s="10"/>
      <c r="B785" s="10"/>
    </row>
    <row r="786" spans="1:2" ht="14.25" customHeight="1" x14ac:dyDescent="0.3">
      <c r="A786" s="10"/>
      <c r="B786" s="10"/>
    </row>
    <row r="787" spans="1:2" ht="14.25" customHeight="1" x14ac:dyDescent="0.3">
      <c r="A787" s="10"/>
      <c r="B787" s="10"/>
    </row>
    <row r="788" spans="1:2" ht="14.25" customHeight="1" x14ac:dyDescent="0.3">
      <c r="A788" s="10"/>
      <c r="B788" s="10"/>
    </row>
    <row r="789" spans="1:2" ht="14.25" customHeight="1" x14ac:dyDescent="0.3">
      <c r="A789" s="10"/>
      <c r="B789" s="10"/>
    </row>
    <row r="790" spans="1:2" ht="14.25" customHeight="1" x14ac:dyDescent="0.3">
      <c r="A790" s="10"/>
      <c r="B790" s="10"/>
    </row>
    <row r="791" spans="1:2" ht="14.25" customHeight="1" x14ac:dyDescent="0.3">
      <c r="A791" s="10"/>
      <c r="B791" s="10"/>
    </row>
    <row r="792" spans="1:2" ht="14.25" customHeight="1" x14ac:dyDescent="0.3">
      <c r="A792" s="10"/>
      <c r="B792" s="10"/>
    </row>
    <row r="793" spans="1:2" ht="14.25" customHeight="1" x14ac:dyDescent="0.3">
      <c r="A793" s="10"/>
      <c r="B793" s="10"/>
    </row>
    <row r="794" spans="1:2" ht="14.25" customHeight="1" x14ac:dyDescent="0.3">
      <c r="A794" s="10"/>
      <c r="B794" s="10"/>
    </row>
    <row r="795" spans="1:2" ht="14.25" customHeight="1" x14ac:dyDescent="0.3">
      <c r="A795" s="10"/>
      <c r="B795" s="10"/>
    </row>
    <row r="796" spans="1:2" ht="14.25" customHeight="1" x14ac:dyDescent="0.3">
      <c r="A796" s="10"/>
      <c r="B796" s="10"/>
    </row>
    <row r="797" spans="1:2" ht="14.25" customHeight="1" x14ac:dyDescent="0.3">
      <c r="A797" s="10"/>
      <c r="B797" s="10"/>
    </row>
    <row r="798" spans="1:2" ht="14.25" customHeight="1" x14ac:dyDescent="0.3">
      <c r="A798" s="10"/>
      <c r="B798" s="10"/>
    </row>
    <row r="799" spans="1:2" ht="14.25" customHeight="1" x14ac:dyDescent="0.3">
      <c r="A799" s="10"/>
      <c r="B799" s="10"/>
    </row>
    <row r="800" spans="1:2" ht="14.25" customHeight="1" x14ac:dyDescent="0.3">
      <c r="A800" s="10"/>
      <c r="B800" s="10"/>
    </row>
    <row r="801" spans="1:2" ht="14.25" customHeight="1" x14ac:dyDescent="0.3">
      <c r="A801" s="10"/>
      <c r="B801" s="10"/>
    </row>
    <row r="802" spans="1:2" ht="14.25" customHeight="1" x14ac:dyDescent="0.3">
      <c r="A802" s="10"/>
      <c r="B802" s="10"/>
    </row>
    <row r="803" spans="1:2" ht="14.25" customHeight="1" x14ac:dyDescent="0.3">
      <c r="A803" s="10"/>
      <c r="B803" s="10"/>
    </row>
    <row r="804" spans="1:2" ht="14.25" customHeight="1" x14ac:dyDescent="0.3">
      <c r="A804" s="10"/>
      <c r="B804" s="10"/>
    </row>
    <row r="805" spans="1:2" ht="14.25" customHeight="1" x14ac:dyDescent="0.3">
      <c r="A805" s="10"/>
      <c r="B805" s="10"/>
    </row>
    <row r="806" spans="1:2" ht="14.25" customHeight="1" x14ac:dyDescent="0.3">
      <c r="A806" s="10"/>
      <c r="B806" s="10"/>
    </row>
    <row r="807" spans="1:2" ht="14.25" customHeight="1" x14ac:dyDescent="0.3">
      <c r="A807" s="10"/>
      <c r="B807" s="10"/>
    </row>
    <row r="808" spans="1:2" ht="14.25" customHeight="1" x14ac:dyDescent="0.3">
      <c r="A808" s="10"/>
      <c r="B808" s="10"/>
    </row>
    <row r="809" spans="1:2" ht="14.25" customHeight="1" x14ac:dyDescent="0.3">
      <c r="A809" s="10"/>
      <c r="B809" s="10"/>
    </row>
    <row r="810" spans="1:2" ht="14.25" customHeight="1" x14ac:dyDescent="0.3">
      <c r="A810" s="10"/>
      <c r="B810" s="10"/>
    </row>
    <row r="811" spans="1:2" ht="14.25" customHeight="1" x14ac:dyDescent="0.3">
      <c r="A811" s="10"/>
      <c r="B811" s="10"/>
    </row>
    <row r="812" spans="1:2" ht="14.25" customHeight="1" x14ac:dyDescent="0.3">
      <c r="A812" s="10"/>
      <c r="B812" s="10"/>
    </row>
    <row r="813" spans="1:2" ht="14.25" customHeight="1" x14ac:dyDescent="0.3">
      <c r="A813" s="10"/>
      <c r="B813" s="10"/>
    </row>
    <row r="814" spans="1:2" ht="14.25" customHeight="1" x14ac:dyDescent="0.3">
      <c r="A814" s="10"/>
      <c r="B814" s="10"/>
    </row>
    <row r="815" spans="1:2" ht="14.25" customHeight="1" x14ac:dyDescent="0.3">
      <c r="A815" s="10"/>
      <c r="B815" s="10"/>
    </row>
    <row r="816" spans="1:2" ht="14.25" customHeight="1" x14ac:dyDescent="0.3">
      <c r="A816" s="10"/>
      <c r="B816" s="10"/>
    </row>
    <row r="817" spans="1:2" ht="14.25" customHeight="1" x14ac:dyDescent="0.3">
      <c r="A817" s="10"/>
      <c r="B817" s="10"/>
    </row>
    <row r="818" spans="1:2" ht="14.25" customHeight="1" x14ac:dyDescent="0.3">
      <c r="A818" s="10"/>
      <c r="B818" s="10"/>
    </row>
    <row r="819" spans="1:2" ht="14.25" customHeight="1" x14ac:dyDescent="0.3">
      <c r="A819" s="10"/>
      <c r="B819" s="10"/>
    </row>
    <row r="820" spans="1:2" ht="14.25" customHeight="1" x14ac:dyDescent="0.3">
      <c r="A820" s="10"/>
      <c r="B820" s="10"/>
    </row>
    <row r="821" spans="1:2" ht="14.25" customHeight="1" x14ac:dyDescent="0.3">
      <c r="A821" s="10"/>
      <c r="B821" s="10"/>
    </row>
    <row r="822" spans="1:2" ht="14.25" customHeight="1" x14ac:dyDescent="0.3">
      <c r="A822" s="10"/>
      <c r="B822" s="10"/>
    </row>
    <row r="823" spans="1:2" ht="14.25" customHeight="1" x14ac:dyDescent="0.3">
      <c r="A823" s="10"/>
      <c r="B823" s="10"/>
    </row>
    <row r="824" spans="1:2" ht="14.25" customHeight="1" x14ac:dyDescent="0.3">
      <c r="A824" s="10"/>
      <c r="B824" s="10"/>
    </row>
    <row r="825" spans="1:2" ht="14.25" customHeight="1" x14ac:dyDescent="0.3">
      <c r="A825" s="10"/>
      <c r="B825" s="10"/>
    </row>
    <row r="826" spans="1:2" ht="14.25" customHeight="1" x14ac:dyDescent="0.3">
      <c r="A826" s="10"/>
      <c r="B826" s="10"/>
    </row>
    <row r="827" spans="1:2" ht="14.25" customHeight="1" x14ac:dyDescent="0.3">
      <c r="A827" s="10"/>
      <c r="B827" s="10"/>
    </row>
    <row r="828" spans="1:2" ht="14.25" customHeight="1" x14ac:dyDescent="0.3">
      <c r="A828" s="10"/>
      <c r="B828" s="10"/>
    </row>
    <row r="829" spans="1:2" ht="14.25" customHeight="1" x14ac:dyDescent="0.3">
      <c r="A829" s="10"/>
      <c r="B829" s="10"/>
    </row>
    <row r="830" spans="1:2" ht="14.25" customHeight="1" x14ac:dyDescent="0.3">
      <c r="A830" s="10"/>
      <c r="B830" s="10"/>
    </row>
    <row r="831" spans="1:2" ht="14.25" customHeight="1" x14ac:dyDescent="0.3">
      <c r="A831" s="10"/>
      <c r="B831" s="10"/>
    </row>
    <row r="832" spans="1:2" ht="14.25" customHeight="1" x14ac:dyDescent="0.3">
      <c r="A832" s="10"/>
      <c r="B832" s="10"/>
    </row>
    <row r="833" spans="1:2" ht="14.25" customHeight="1" x14ac:dyDescent="0.3">
      <c r="A833" s="10"/>
      <c r="B833" s="10"/>
    </row>
    <row r="834" spans="1:2" ht="14.25" customHeight="1" x14ac:dyDescent="0.3">
      <c r="A834" s="10"/>
      <c r="B834" s="10"/>
    </row>
    <row r="835" spans="1:2" ht="14.25" customHeight="1" x14ac:dyDescent="0.3">
      <c r="A835" s="10"/>
      <c r="B835" s="10"/>
    </row>
    <row r="836" spans="1:2" ht="14.25" customHeight="1" x14ac:dyDescent="0.3">
      <c r="A836" s="10"/>
      <c r="B836" s="10"/>
    </row>
    <row r="837" spans="1:2" ht="14.25" customHeight="1" x14ac:dyDescent="0.3">
      <c r="A837" s="10"/>
      <c r="B837" s="10"/>
    </row>
    <row r="838" spans="1:2" ht="14.25" customHeight="1" x14ac:dyDescent="0.3">
      <c r="A838" s="10"/>
      <c r="B838" s="10"/>
    </row>
    <row r="839" spans="1:2" ht="14.25" customHeight="1" x14ac:dyDescent="0.3">
      <c r="A839" s="10"/>
      <c r="B839" s="10"/>
    </row>
    <row r="840" spans="1:2" ht="14.25" customHeight="1" x14ac:dyDescent="0.3">
      <c r="A840" s="10"/>
      <c r="B840" s="10"/>
    </row>
    <row r="841" spans="1:2" ht="14.25" customHeight="1" x14ac:dyDescent="0.3">
      <c r="A841" s="10"/>
      <c r="B841" s="10"/>
    </row>
    <row r="842" spans="1:2" ht="14.25" customHeight="1" x14ac:dyDescent="0.3">
      <c r="A842" s="10"/>
      <c r="B842" s="10"/>
    </row>
    <row r="843" spans="1:2" ht="14.25" customHeight="1" x14ac:dyDescent="0.3">
      <c r="A843" s="10"/>
      <c r="B843" s="10"/>
    </row>
    <row r="844" spans="1:2" ht="14.25" customHeight="1" x14ac:dyDescent="0.3">
      <c r="A844" s="10"/>
      <c r="B844" s="10"/>
    </row>
    <row r="845" spans="1:2" ht="14.25" customHeight="1" x14ac:dyDescent="0.3">
      <c r="A845" s="10"/>
      <c r="B845" s="10"/>
    </row>
    <row r="846" spans="1:2" ht="14.25" customHeight="1" x14ac:dyDescent="0.3">
      <c r="A846" s="10"/>
      <c r="B846" s="10"/>
    </row>
    <row r="847" spans="1:2" ht="14.25" customHeight="1" x14ac:dyDescent="0.3">
      <c r="A847" s="10"/>
      <c r="B847" s="10"/>
    </row>
    <row r="848" spans="1:2" ht="14.25" customHeight="1" x14ac:dyDescent="0.3">
      <c r="A848" s="10"/>
      <c r="B848" s="10"/>
    </row>
    <row r="849" spans="1:2" ht="14.25" customHeight="1" x14ac:dyDescent="0.3">
      <c r="A849" s="10"/>
      <c r="B849" s="10"/>
    </row>
    <row r="850" spans="1:2" ht="14.25" customHeight="1" x14ac:dyDescent="0.3">
      <c r="A850" s="10"/>
      <c r="B850" s="10"/>
    </row>
    <row r="851" spans="1:2" ht="14.25" customHeight="1" x14ac:dyDescent="0.3">
      <c r="A851" s="10"/>
      <c r="B851" s="10"/>
    </row>
    <row r="852" spans="1:2" ht="14.25" customHeight="1" x14ac:dyDescent="0.3">
      <c r="A852" s="10"/>
      <c r="B852" s="10"/>
    </row>
    <row r="853" spans="1:2" ht="14.25" customHeight="1" x14ac:dyDescent="0.3">
      <c r="A853" s="10"/>
      <c r="B853" s="10"/>
    </row>
    <row r="854" spans="1:2" ht="14.25" customHeight="1" x14ac:dyDescent="0.3">
      <c r="A854" s="10"/>
      <c r="B854" s="10"/>
    </row>
    <row r="855" spans="1:2" ht="14.25" customHeight="1" x14ac:dyDescent="0.3">
      <c r="A855" s="10"/>
      <c r="B855" s="10"/>
    </row>
    <row r="856" spans="1:2" ht="14.25" customHeight="1" x14ac:dyDescent="0.3">
      <c r="A856" s="10"/>
      <c r="B856" s="10"/>
    </row>
    <row r="857" spans="1:2" ht="14.25" customHeight="1" x14ac:dyDescent="0.3">
      <c r="A857" s="10"/>
      <c r="B857" s="10"/>
    </row>
    <row r="858" spans="1:2" ht="14.25" customHeight="1" x14ac:dyDescent="0.3">
      <c r="A858" s="10"/>
      <c r="B858" s="10"/>
    </row>
    <row r="859" spans="1:2" ht="14.25" customHeight="1" x14ac:dyDescent="0.3">
      <c r="A859" s="10"/>
      <c r="B859" s="10"/>
    </row>
    <row r="860" spans="1:2" ht="14.25" customHeight="1" x14ac:dyDescent="0.3">
      <c r="A860" s="10"/>
      <c r="B860" s="10"/>
    </row>
    <row r="861" spans="1:2" ht="14.25" customHeight="1" x14ac:dyDescent="0.3">
      <c r="A861" s="10"/>
      <c r="B861" s="10"/>
    </row>
    <row r="862" spans="1:2" ht="14.25" customHeight="1" x14ac:dyDescent="0.3">
      <c r="A862" s="10"/>
      <c r="B862" s="10"/>
    </row>
    <row r="863" spans="1:2" ht="14.25" customHeight="1" x14ac:dyDescent="0.3">
      <c r="A863" s="10"/>
      <c r="B863" s="10"/>
    </row>
    <row r="864" spans="1:2" ht="14.25" customHeight="1" x14ac:dyDescent="0.3">
      <c r="A864" s="10"/>
      <c r="B864" s="10"/>
    </row>
    <row r="865" spans="1:2" ht="14.25" customHeight="1" x14ac:dyDescent="0.3">
      <c r="A865" s="10"/>
      <c r="B865" s="10"/>
    </row>
    <row r="866" spans="1:2" ht="14.25" customHeight="1" x14ac:dyDescent="0.3">
      <c r="A866" s="10"/>
      <c r="B866" s="10"/>
    </row>
    <row r="867" spans="1:2" ht="14.25" customHeight="1" x14ac:dyDescent="0.3">
      <c r="A867" s="10"/>
      <c r="B867" s="10"/>
    </row>
    <row r="868" spans="1:2" ht="14.25" customHeight="1" x14ac:dyDescent="0.3">
      <c r="A868" s="10"/>
      <c r="B868" s="10"/>
    </row>
    <row r="869" spans="1:2" ht="14.25" customHeight="1" x14ac:dyDescent="0.3">
      <c r="A869" s="10"/>
      <c r="B869" s="10"/>
    </row>
    <row r="870" spans="1:2" ht="14.25" customHeight="1" x14ac:dyDescent="0.3">
      <c r="A870" s="10"/>
      <c r="B870" s="10"/>
    </row>
    <row r="871" spans="1:2" ht="14.25" customHeight="1" x14ac:dyDescent="0.3">
      <c r="A871" s="10"/>
      <c r="B871" s="10"/>
    </row>
    <row r="872" spans="1:2" ht="14.25" customHeight="1" x14ac:dyDescent="0.3">
      <c r="A872" s="10"/>
      <c r="B872" s="10"/>
    </row>
    <row r="873" spans="1:2" ht="14.25" customHeight="1" x14ac:dyDescent="0.3">
      <c r="A873" s="10"/>
      <c r="B873" s="10"/>
    </row>
    <row r="874" spans="1:2" ht="14.25" customHeight="1" x14ac:dyDescent="0.3">
      <c r="A874" s="10"/>
      <c r="B874" s="10"/>
    </row>
    <row r="875" spans="1:2" ht="14.25" customHeight="1" x14ac:dyDescent="0.3">
      <c r="A875" s="10"/>
      <c r="B875" s="10"/>
    </row>
    <row r="876" spans="1:2" ht="14.25" customHeight="1" x14ac:dyDescent="0.3">
      <c r="A876" s="10"/>
      <c r="B876" s="10"/>
    </row>
    <row r="877" spans="1:2" ht="14.25" customHeight="1" x14ac:dyDescent="0.3">
      <c r="A877" s="10"/>
      <c r="B877" s="10"/>
    </row>
    <row r="878" spans="1:2" ht="14.25" customHeight="1" x14ac:dyDescent="0.3">
      <c r="A878" s="10"/>
      <c r="B878" s="10"/>
    </row>
    <row r="879" spans="1:2" ht="14.25" customHeight="1" x14ac:dyDescent="0.3">
      <c r="A879" s="10"/>
      <c r="B879" s="10"/>
    </row>
    <row r="880" spans="1:2" ht="14.25" customHeight="1" x14ac:dyDescent="0.3">
      <c r="A880" s="10"/>
      <c r="B880" s="10"/>
    </row>
    <row r="881" spans="1:2" ht="14.25" customHeight="1" x14ac:dyDescent="0.3">
      <c r="A881" s="10"/>
      <c r="B881" s="10"/>
    </row>
    <row r="882" spans="1:2" ht="14.25" customHeight="1" x14ac:dyDescent="0.3">
      <c r="A882" s="10"/>
      <c r="B882" s="10"/>
    </row>
    <row r="883" spans="1:2" ht="14.25" customHeight="1" x14ac:dyDescent="0.3">
      <c r="A883" s="10"/>
      <c r="B883" s="10"/>
    </row>
    <row r="884" spans="1:2" ht="14.25" customHeight="1" x14ac:dyDescent="0.3">
      <c r="A884" s="10"/>
      <c r="B884" s="10"/>
    </row>
    <row r="885" spans="1:2" ht="14.25" customHeight="1" x14ac:dyDescent="0.3">
      <c r="A885" s="10"/>
      <c r="B885" s="10"/>
    </row>
    <row r="886" spans="1:2" ht="14.25" customHeight="1" x14ac:dyDescent="0.3">
      <c r="A886" s="10"/>
      <c r="B886" s="10"/>
    </row>
    <row r="887" spans="1:2" ht="14.25" customHeight="1" x14ac:dyDescent="0.3">
      <c r="A887" s="10"/>
      <c r="B887" s="10"/>
    </row>
    <row r="888" spans="1:2" ht="14.25" customHeight="1" x14ac:dyDescent="0.3">
      <c r="A888" s="10"/>
      <c r="B888" s="10"/>
    </row>
    <row r="889" spans="1:2" ht="14.25" customHeight="1" x14ac:dyDescent="0.3">
      <c r="A889" s="10"/>
      <c r="B889" s="10"/>
    </row>
    <row r="890" spans="1:2" ht="14.25" customHeight="1" x14ac:dyDescent="0.3">
      <c r="A890" s="10"/>
      <c r="B890" s="10"/>
    </row>
    <row r="891" spans="1:2" ht="14.25" customHeight="1" x14ac:dyDescent="0.3">
      <c r="A891" s="10"/>
      <c r="B891" s="10"/>
    </row>
    <row r="892" spans="1:2" ht="14.25" customHeight="1" x14ac:dyDescent="0.3">
      <c r="A892" s="10"/>
      <c r="B892" s="10"/>
    </row>
    <row r="893" spans="1:2" ht="14.25" customHeight="1" x14ac:dyDescent="0.3">
      <c r="A893" s="10"/>
      <c r="B893" s="10"/>
    </row>
    <row r="894" spans="1:2" ht="14.25" customHeight="1" x14ac:dyDescent="0.3">
      <c r="A894" s="10"/>
      <c r="B894" s="10"/>
    </row>
    <row r="895" spans="1:2" ht="14.25" customHeight="1" x14ac:dyDescent="0.3">
      <c r="A895" s="10"/>
      <c r="B895" s="10"/>
    </row>
    <row r="896" spans="1:2" ht="14.25" customHeight="1" x14ac:dyDescent="0.3">
      <c r="A896" s="10"/>
      <c r="B896" s="10"/>
    </row>
    <row r="897" spans="1:2" ht="14.25" customHeight="1" x14ac:dyDescent="0.3">
      <c r="A897" s="10"/>
      <c r="B897" s="10"/>
    </row>
    <row r="898" spans="1:2" ht="14.25" customHeight="1" x14ac:dyDescent="0.3">
      <c r="A898" s="10"/>
      <c r="B898" s="10"/>
    </row>
    <row r="899" spans="1:2" ht="14.25" customHeight="1" x14ac:dyDescent="0.3">
      <c r="A899" s="10"/>
      <c r="B899" s="10"/>
    </row>
    <row r="900" spans="1:2" ht="14.25" customHeight="1" x14ac:dyDescent="0.3">
      <c r="A900" s="10"/>
      <c r="B900" s="10"/>
    </row>
    <row r="901" spans="1:2" ht="14.25" customHeight="1" x14ac:dyDescent="0.3">
      <c r="A901" s="10"/>
      <c r="B901" s="10"/>
    </row>
    <row r="902" spans="1:2" ht="14.25" customHeight="1" x14ac:dyDescent="0.3">
      <c r="A902" s="10"/>
      <c r="B902" s="10"/>
    </row>
    <row r="903" spans="1:2" ht="14.25" customHeight="1" x14ac:dyDescent="0.3">
      <c r="A903" s="10"/>
      <c r="B903" s="10"/>
    </row>
    <row r="904" spans="1:2" ht="14.25" customHeight="1" x14ac:dyDescent="0.3">
      <c r="A904" s="10"/>
      <c r="B904" s="10"/>
    </row>
    <row r="905" spans="1:2" ht="14.25" customHeight="1" x14ac:dyDescent="0.3">
      <c r="A905" s="10"/>
      <c r="B905" s="10"/>
    </row>
    <row r="906" spans="1:2" ht="14.25" customHeight="1" x14ac:dyDescent="0.3">
      <c r="A906" s="10"/>
      <c r="B906" s="10"/>
    </row>
    <row r="907" spans="1:2" ht="14.25" customHeight="1" x14ac:dyDescent="0.3">
      <c r="A907" s="10"/>
      <c r="B907" s="10"/>
    </row>
    <row r="908" spans="1:2" ht="14.25" customHeight="1" x14ac:dyDescent="0.3">
      <c r="A908" s="10"/>
      <c r="B908" s="10"/>
    </row>
    <row r="909" spans="1:2" ht="14.25" customHeight="1" x14ac:dyDescent="0.3">
      <c r="A909" s="10"/>
      <c r="B909" s="10"/>
    </row>
    <row r="910" spans="1:2" ht="14.25" customHeight="1" x14ac:dyDescent="0.3">
      <c r="A910" s="10"/>
      <c r="B910" s="10"/>
    </row>
    <row r="911" spans="1:2" ht="14.25" customHeight="1" x14ac:dyDescent="0.3">
      <c r="A911" s="10"/>
      <c r="B911" s="10"/>
    </row>
    <row r="912" spans="1:2" ht="14.25" customHeight="1" x14ac:dyDescent="0.3">
      <c r="A912" s="10"/>
      <c r="B912" s="10"/>
    </row>
    <row r="913" spans="1:2" ht="14.25" customHeight="1" x14ac:dyDescent="0.3">
      <c r="A913" s="10"/>
      <c r="B913" s="10"/>
    </row>
    <row r="914" spans="1:2" ht="14.25" customHeight="1" x14ac:dyDescent="0.3">
      <c r="A914" s="10"/>
      <c r="B914" s="10"/>
    </row>
    <row r="915" spans="1:2" ht="14.25" customHeight="1" x14ac:dyDescent="0.3">
      <c r="A915" s="10"/>
      <c r="B915" s="10"/>
    </row>
    <row r="916" spans="1:2" ht="14.25" customHeight="1" x14ac:dyDescent="0.3">
      <c r="A916" s="10"/>
      <c r="B916" s="10"/>
    </row>
    <row r="917" spans="1:2" ht="14.25" customHeight="1" x14ac:dyDescent="0.3">
      <c r="A917" s="10"/>
      <c r="B917" s="10"/>
    </row>
    <row r="918" spans="1:2" ht="14.25" customHeight="1" x14ac:dyDescent="0.3">
      <c r="A918" s="10"/>
      <c r="B918" s="10"/>
    </row>
    <row r="919" spans="1:2" ht="14.25" customHeight="1" x14ac:dyDescent="0.3">
      <c r="A919" s="10"/>
      <c r="B919" s="10"/>
    </row>
    <row r="920" spans="1:2" ht="14.25" customHeight="1" x14ac:dyDescent="0.3">
      <c r="A920" s="10"/>
      <c r="B920" s="10"/>
    </row>
    <row r="921" spans="1:2" ht="14.25" customHeight="1" x14ac:dyDescent="0.3">
      <c r="A921" s="10"/>
      <c r="B921" s="10"/>
    </row>
    <row r="922" spans="1:2" ht="14.25" customHeight="1" x14ac:dyDescent="0.3">
      <c r="A922" s="10"/>
      <c r="B922" s="10"/>
    </row>
    <row r="923" spans="1:2" ht="14.25" customHeight="1" x14ac:dyDescent="0.3">
      <c r="A923" s="10"/>
      <c r="B923" s="10"/>
    </row>
    <row r="924" spans="1:2" ht="14.25" customHeight="1" x14ac:dyDescent="0.3">
      <c r="A924" s="10"/>
      <c r="B924" s="10"/>
    </row>
    <row r="925" spans="1:2" ht="14.25" customHeight="1" x14ac:dyDescent="0.3">
      <c r="A925" s="10"/>
      <c r="B925" s="10"/>
    </row>
    <row r="926" spans="1:2" ht="14.25" customHeight="1" x14ac:dyDescent="0.3">
      <c r="A926" s="10"/>
      <c r="B926" s="10"/>
    </row>
    <row r="927" spans="1:2" ht="14.25" customHeight="1" x14ac:dyDescent="0.3">
      <c r="A927" s="10"/>
      <c r="B927" s="10"/>
    </row>
    <row r="928" spans="1:2" ht="14.25" customHeight="1" x14ac:dyDescent="0.3">
      <c r="A928" s="10"/>
      <c r="B928" s="10"/>
    </row>
    <row r="929" spans="1:2" ht="14.25" customHeight="1" x14ac:dyDescent="0.3">
      <c r="A929" s="10"/>
      <c r="B929" s="10"/>
    </row>
    <row r="930" spans="1:2" ht="14.25" customHeight="1" x14ac:dyDescent="0.3">
      <c r="A930" s="10"/>
      <c r="B930" s="10"/>
    </row>
    <row r="931" spans="1:2" ht="14.25" customHeight="1" x14ac:dyDescent="0.3">
      <c r="A931" s="10"/>
      <c r="B931" s="10"/>
    </row>
    <row r="932" spans="1:2" ht="14.25" customHeight="1" x14ac:dyDescent="0.3">
      <c r="A932" s="10"/>
      <c r="B932" s="10"/>
    </row>
    <row r="933" spans="1:2" ht="14.25" customHeight="1" x14ac:dyDescent="0.3">
      <c r="A933" s="10"/>
      <c r="B933" s="10"/>
    </row>
    <row r="934" spans="1:2" ht="14.25" customHeight="1" x14ac:dyDescent="0.3">
      <c r="A934" s="10"/>
      <c r="B934" s="10"/>
    </row>
    <row r="935" spans="1:2" ht="14.25" customHeight="1" x14ac:dyDescent="0.3">
      <c r="A935" s="10"/>
      <c r="B935" s="10"/>
    </row>
    <row r="936" spans="1:2" ht="14.25" customHeight="1" x14ac:dyDescent="0.3">
      <c r="A936" s="10"/>
      <c r="B936" s="10"/>
    </row>
    <row r="937" spans="1:2" ht="14.25" customHeight="1" x14ac:dyDescent="0.3">
      <c r="A937" s="10"/>
      <c r="B937" s="10"/>
    </row>
    <row r="938" spans="1:2" ht="14.25" customHeight="1" x14ac:dyDescent="0.3">
      <c r="A938" s="10"/>
      <c r="B938" s="10"/>
    </row>
    <row r="939" spans="1:2" ht="14.25" customHeight="1" x14ac:dyDescent="0.3">
      <c r="A939" s="10"/>
      <c r="B939" s="10"/>
    </row>
    <row r="940" spans="1:2" ht="14.25" customHeight="1" x14ac:dyDescent="0.3">
      <c r="A940" s="10"/>
      <c r="B940" s="10"/>
    </row>
    <row r="941" spans="1:2" ht="14.25" customHeight="1" x14ac:dyDescent="0.3">
      <c r="A941" s="10"/>
      <c r="B941" s="10"/>
    </row>
    <row r="942" spans="1:2" ht="14.25" customHeight="1" x14ac:dyDescent="0.3">
      <c r="A942" s="10"/>
      <c r="B942" s="10"/>
    </row>
    <row r="943" spans="1:2" ht="14.25" customHeight="1" x14ac:dyDescent="0.3">
      <c r="A943" s="10"/>
      <c r="B943" s="10"/>
    </row>
    <row r="944" spans="1:2" ht="14.25" customHeight="1" x14ac:dyDescent="0.3">
      <c r="A944" s="10"/>
      <c r="B944" s="10"/>
    </row>
    <row r="945" spans="1:2" ht="14.25" customHeight="1" x14ac:dyDescent="0.3">
      <c r="A945" s="10"/>
      <c r="B945" s="10"/>
    </row>
    <row r="946" spans="1:2" ht="14.25" customHeight="1" x14ac:dyDescent="0.3">
      <c r="A946" s="10"/>
      <c r="B946" s="10"/>
    </row>
    <row r="947" spans="1:2" ht="14.25" customHeight="1" x14ac:dyDescent="0.3">
      <c r="A947" s="10"/>
      <c r="B947" s="10"/>
    </row>
    <row r="948" spans="1:2" ht="14.25" customHeight="1" x14ac:dyDescent="0.3">
      <c r="A948" s="10"/>
      <c r="B948" s="10"/>
    </row>
    <row r="949" spans="1:2" ht="14.25" customHeight="1" x14ac:dyDescent="0.3">
      <c r="A949" s="10"/>
      <c r="B949" s="10"/>
    </row>
    <row r="950" spans="1:2" ht="14.25" customHeight="1" x14ac:dyDescent="0.3">
      <c r="A950" s="10"/>
      <c r="B950" s="10"/>
    </row>
    <row r="951" spans="1:2" ht="14.25" customHeight="1" x14ac:dyDescent="0.3">
      <c r="A951" s="10"/>
      <c r="B951" s="10"/>
    </row>
    <row r="952" spans="1:2" ht="14.25" customHeight="1" x14ac:dyDescent="0.3">
      <c r="A952" s="10"/>
      <c r="B952" s="10"/>
    </row>
    <row r="953" spans="1:2" ht="14.25" customHeight="1" x14ac:dyDescent="0.3">
      <c r="A953" s="10"/>
      <c r="B953" s="10"/>
    </row>
    <row r="954" spans="1:2" ht="14.25" customHeight="1" x14ac:dyDescent="0.3">
      <c r="A954" s="10"/>
      <c r="B954" s="10"/>
    </row>
    <row r="955" spans="1:2" ht="14.25" customHeight="1" x14ac:dyDescent="0.3">
      <c r="A955" s="10"/>
      <c r="B955" s="10"/>
    </row>
    <row r="956" spans="1:2" ht="14.25" customHeight="1" x14ac:dyDescent="0.3">
      <c r="A956" s="10"/>
      <c r="B956" s="10"/>
    </row>
    <row r="957" spans="1:2" ht="14.25" customHeight="1" x14ac:dyDescent="0.3">
      <c r="A957" s="10"/>
      <c r="B957" s="10"/>
    </row>
    <row r="958" spans="1:2" ht="14.25" customHeight="1" x14ac:dyDescent="0.3">
      <c r="A958" s="10"/>
      <c r="B958" s="10"/>
    </row>
    <row r="959" spans="1:2" ht="14.25" customHeight="1" x14ac:dyDescent="0.3">
      <c r="A959" s="10"/>
      <c r="B959" s="10"/>
    </row>
    <row r="960" spans="1:2" ht="14.25" customHeight="1" x14ac:dyDescent="0.3">
      <c r="A960" s="10"/>
      <c r="B960" s="10"/>
    </row>
    <row r="961" spans="1:2" ht="14.25" customHeight="1" x14ac:dyDescent="0.3">
      <c r="A961" s="10"/>
      <c r="B961" s="10"/>
    </row>
    <row r="962" spans="1:2" ht="14.25" customHeight="1" x14ac:dyDescent="0.3">
      <c r="A962" s="10"/>
      <c r="B962" s="10"/>
    </row>
    <row r="963" spans="1:2" ht="14.25" customHeight="1" x14ac:dyDescent="0.3">
      <c r="A963" s="10"/>
      <c r="B963" s="10"/>
    </row>
    <row r="964" spans="1:2" ht="14.25" customHeight="1" x14ac:dyDescent="0.3">
      <c r="A964" s="10"/>
      <c r="B964" s="10"/>
    </row>
    <row r="965" spans="1:2" ht="14.25" customHeight="1" x14ac:dyDescent="0.3">
      <c r="A965" s="10"/>
      <c r="B965" s="10"/>
    </row>
    <row r="966" spans="1:2" ht="14.25" customHeight="1" x14ac:dyDescent="0.3">
      <c r="A966" s="10"/>
      <c r="B966" s="10"/>
    </row>
    <row r="967" spans="1:2" ht="14.25" customHeight="1" x14ac:dyDescent="0.3">
      <c r="A967" s="10"/>
      <c r="B967" s="10"/>
    </row>
    <row r="968" spans="1:2" ht="14.25" customHeight="1" x14ac:dyDescent="0.3">
      <c r="A968" s="10"/>
      <c r="B968" s="10"/>
    </row>
    <row r="969" spans="1:2" ht="14.25" customHeight="1" x14ac:dyDescent="0.3">
      <c r="A969" s="10"/>
      <c r="B969" s="10"/>
    </row>
    <row r="970" spans="1:2" ht="14.25" customHeight="1" x14ac:dyDescent="0.3">
      <c r="A970" s="10"/>
      <c r="B970" s="10"/>
    </row>
    <row r="971" spans="1:2" ht="14.25" customHeight="1" x14ac:dyDescent="0.3">
      <c r="A971" s="10"/>
      <c r="B971" s="10"/>
    </row>
    <row r="972" spans="1:2" ht="14.25" customHeight="1" x14ac:dyDescent="0.3">
      <c r="A972" s="10"/>
      <c r="B972" s="10"/>
    </row>
    <row r="973" spans="1:2" ht="14.25" customHeight="1" x14ac:dyDescent="0.3">
      <c r="A973" s="10"/>
      <c r="B973" s="10"/>
    </row>
    <row r="974" spans="1:2" ht="14.25" customHeight="1" x14ac:dyDescent="0.3">
      <c r="A974" s="10"/>
      <c r="B974" s="10"/>
    </row>
    <row r="975" spans="1:2" ht="14.25" customHeight="1" x14ac:dyDescent="0.3">
      <c r="A975" s="10"/>
      <c r="B975" s="10"/>
    </row>
    <row r="976" spans="1:2" ht="14.25" customHeight="1" x14ac:dyDescent="0.3">
      <c r="A976" s="10"/>
      <c r="B976" s="10"/>
    </row>
    <row r="977" spans="1:2" ht="14.25" customHeight="1" x14ac:dyDescent="0.3">
      <c r="A977" s="10"/>
      <c r="B977" s="10"/>
    </row>
    <row r="978" spans="1:2" ht="14.25" customHeight="1" x14ac:dyDescent="0.3">
      <c r="A978" s="10"/>
      <c r="B978" s="10"/>
    </row>
    <row r="979" spans="1:2" ht="14.25" customHeight="1" x14ac:dyDescent="0.3">
      <c r="A979" s="10"/>
      <c r="B979" s="10"/>
    </row>
    <row r="980" spans="1:2" ht="14.25" customHeight="1" x14ac:dyDescent="0.3">
      <c r="A980" s="10"/>
      <c r="B980" s="10"/>
    </row>
    <row r="981" spans="1:2" ht="14.25" customHeight="1" x14ac:dyDescent="0.3">
      <c r="A981" s="10"/>
      <c r="B981" s="10"/>
    </row>
    <row r="982" spans="1:2" ht="14.25" customHeight="1" x14ac:dyDescent="0.3">
      <c r="A982" s="10"/>
      <c r="B982" s="10"/>
    </row>
    <row r="983" spans="1:2" ht="14.25" customHeight="1" x14ac:dyDescent="0.3">
      <c r="A983" s="10"/>
      <c r="B983" s="10"/>
    </row>
    <row r="984" spans="1:2" ht="14.25" customHeight="1" x14ac:dyDescent="0.3">
      <c r="A984" s="10"/>
      <c r="B984" s="10"/>
    </row>
    <row r="985" spans="1:2" ht="14.25" customHeight="1" x14ac:dyDescent="0.3">
      <c r="A985" s="10"/>
      <c r="B985" s="10"/>
    </row>
    <row r="986" spans="1:2" ht="14.25" customHeight="1" x14ac:dyDescent="0.3">
      <c r="A986" s="10"/>
      <c r="B986" s="10"/>
    </row>
    <row r="987" spans="1:2" ht="14.25" customHeight="1" x14ac:dyDescent="0.3">
      <c r="A987" s="10"/>
      <c r="B987" s="10"/>
    </row>
    <row r="988" spans="1:2" ht="14.25" customHeight="1" x14ac:dyDescent="0.3">
      <c r="A988" s="10"/>
      <c r="B988" s="10"/>
    </row>
    <row r="989" spans="1:2" ht="14.25" customHeight="1" x14ac:dyDescent="0.3">
      <c r="A989" s="10"/>
      <c r="B989" s="10"/>
    </row>
    <row r="990" spans="1:2" ht="14.25" customHeight="1" x14ac:dyDescent="0.3">
      <c r="A990" s="10"/>
      <c r="B990" s="10"/>
    </row>
    <row r="991" spans="1:2" ht="14.25" customHeight="1" x14ac:dyDescent="0.3">
      <c r="A991" s="10"/>
      <c r="B991" s="10"/>
    </row>
    <row r="992" spans="1:2" ht="14.25" customHeight="1" x14ac:dyDescent="0.3">
      <c r="A992" s="10"/>
      <c r="B992" s="10"/>
    </row>
    <row r="993" spans="1:2" ht="14.25" customHeight="1" x14ac:dyDescent="0.3">
      <c r="A993" s="10"/>
      <c r="B993" s="10"/>
    </row>
    <row r="994" spans="1:2" ht="14.25" customHeight="1" x14ac:dyDescent="0.3">
      <c r="A994" s="10"/>
      <c r="B994" s="10"/>
    </row>
    <row r="995" spans="1:2" ht="14.25" customHeight="1" x14ac:dyDescent="0.3">
      <c r="A995" s="10"/>
      <c r="B995" s="10"/>
    </row>
    <row r="996" spans="1:2" ht="14.25" customHeight="1" x14ac:dyDescent="0.3">
      <c r="A996" s="10"/>
      <c r="B996" s="10"/>
    </row>
    <row r="997" spans="1:2" ht="14.25" customHeight="1" x14ac:dyDescent="0.3">
      <c r="A997" s="10"/>
      <c r="B997" s="10"/>
    </row>
    <row r="998" spans="1:2" ht="14.25" customHeight="1" x14ac:dyDescent="0.3">
      <c r="A998" s="10"/>
      <c r="B998" s="10"/>
    </row>
    <row r="999" spans="1:2" ht="14.25" customHeight="1" x14ac:dyDescent="0.3">
      <c r="A999" s="10"/>
      <c r="B999" s="10"/>
    </row>
    <row r="1000" spans="1:2" ht="14.25" customHeight="1" x14ac:dyDescent="0.3">
      <c r="A1000" s="10"/>
      <c r="B1000" s="10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98"/>
  <sheetViews>
    <sheetView workbookViewId="0">
      <selection activeCell="E17" sqref="E17"/>
    </sheetView>
  </sheetViews>
  <sheetFormatPr baseColWidth="10" defaultColWidth="12.6640625" defaultRowHeight="15" customHeight="1" x14ac:dyDescent="0.3"/>
  <cols>
    <col min="1" max="1" width="7.33203125" customWidth="1"/>
    <col min="2" max="2" width="10.6640625" customWidth="1"/>
    <col min="3" max="4" width="8.88671875" customWidth="1"/>
    <col min="5" max="5" width="15" customWidth="1"/>
    <col min="6" max="26" width="8.88671875" customWidth="1"/>
  </cols>
  <sheetData>
    <row r="1" spans="1:5" ht="14.25" customHeight="1" x14ac:dyDescent="0.3">
      <c r="A1" s="9" t="s">
        <v>399</v>
      </c>
    </row>
    <row r="2" spans="1:5" ht="14.25" customHeight="1" x14ac:dyDescent="0.3"/>
    <row r="3" spans="1:5" ht="13.8" customHeight="1" x14ac:dyDescent="0.3">
      <c r="A3" s="9" t="s">
        <v>389</v>
      </c>
      <c r="B3" s="9" t="s">
        <v>390</v>
      </c>
    </row>
    <row r="4" spans="1:5" s="52" customFormat="1" ht="14.25" customHeight="1" x14ac:dyDescent="0.3">
      <c r="A4" s="50" t="s">
        <v>1718</v>
      </c>
      <c r="B4" s="51" t="s">
        <v>477</v>
      </c>
      <c r="C4" s="51"/>
      <c r="E4" s="48" t="s">
        <v>49</v>
      </c>
    </row>
    <row r="5" spans="1:5" s="52" customFormat="1" ht="14.25" customHeight="1" x14ac:dyDescent="0.3">
      <c r="A5" s="50" t="s">
        <v>1719</v>
      </c>
      <c r="B5" s="51" t="s">
        <v>479</v>
      </c>
      <c r="C5" s="51"/>
      <c r="E5" s="48" t="s">
        <v>478</v>
      </c>
    </row>
    <row r="6" spans="1:5" s="52" customFormat="1" ht="14.25" customHeight="1" x14ac:dyDescent="0.3">
      <c r="A6" s="51" t="s">
        <v>1720</v>
      </c>
      <c r="B6" s="53" t="s">
        <v>482</v>
      </c>
      <c r="C6" s="51"/>
      <c r="E6" s="49" t="s">
        <v>481</v>
      </c>
    </row>
    <row r="7" spans="1:5" s="52" customFormat="1" ht="14.25" customHeight="1" x14ac:dyDescent="0.3">
      <c r="A7" s="51" t="s">
        <v>1682</v>
      </c>
      <c r="B7" s="51" t="s">
        <v>475</v>
      </c>
      <c r="C7" s="51"/>
      <c r="E7" s="48" t="s">
        <v>24</v>
      </c>
    </row>
    <row r="8" spans="1:5" ht="14.25" customHeight="1" x14ac:dyDescent="0.3">
      <c r="A8" s="12" t="s">
        <v>1683</v>
      </c>
      <c r="B8" s="12" t="s">
        <v>476</v>
      </c>
      <c r="C8" s="12"/>
      <c r="E8" s="48" t="s">
        <v>30</v>
      </c>
    </row>
    <row r="9" spans="1:5" ht="14.25" customHeight="1" x14ac:dyDescent="0.3">
      <c r="A9" s="12" t="s">
        <v>1325</v>
      </c>
      <c r="B9" s="12" t="s">
        <v>1684</v>
      </c>
      <c r="C9" s="12"/>
    </row>
    <row r="10" spans="1:5" ht="14.25" customHeight="1" x14ac:dyDescent="0.3">
      <c r="A10" s="12" t="s">
        <v>1327</v>
      </c>
      <c r="B10" s="12" t="s">
        <v>1685</v>
      </c>
      <c r="C10" s="12"/>
    </row>
    <row r="11" spans="1:5" ht="14.25" customHeight="1" x14ac:dyDescent="0.3">
      <c r="A11" s="12" t="s">
        <v>1330</v>
      </c>
      <c r="B11" s="12" t="s">
        <v>1686</v>
      </c>
      <c r="C11" s="12"/>
    </row>
    <row r="12" spans="1:5" ht="14.25" customHeight="1" x14ac:dyDescent="0.3">
      <c r="A12" s="12" t="s">
        <v>29</v>
      </c>
      <c r="B12" s="12" t="s">
        <v>1687</v>
      </c>
      <c r="C12" s="12"/>
    </row>
    <row r="13" spans="1:5" ht="14.25" customHeight="1" x14ac:dyDescent="0.3">
      <c r="A13" s="12" t="s">
        <v>1340</v>
      </c>
      <c r="B13" s="12" t="s">
        <v>1688</v>
      </c>
    </row>
    <row r="14" spans="1:5" ht="14.25" customHeight="1" x14ac:dyDescent="0.3">
      <c r="A14" s="12" t="s">
        <v>1342</v>
      </c>
      <c r="B14" s="12" t="s">
        <v>1689</v>
      </c>
    </row>
    <row r="15" spans="1:5" ht="14.25" customHeight="1" x14ac:dyDescent="0.3">
      <c r="A15" s="12" t="s">
        <v>1345</v>
      </c>
      <c r="B15" s="12" t="s">
        <v>1345</v>
      </c>
    </row>
    <row r="16" spans="1:5" ht="14.25" customHeight="1" x14ac:dyDescent="0.3">
      <c r="A16" s="12" t="s">
        <v>1352</v>
      </c>
      <c r="B16" s="12" t="s">
        <v>1690</v>
      </c>
    </row>
    <row r="17" spans="1:2" ht="14.25" customHeight="1" x14ac:dyDescent="0.3">
      <c r="A17" s="12" t="s">
        <v>1354</v>
      </c>
      <c r="B17" s="12" t="s">
        <v>1691</v>
      </c>
    </row>
    <row r="18" spans="1:2" ht="14.25" customHeight="1" x14ac:dyDescent="0.3">
      <c r="A18" s="12" t="s">
        <v>1357</v>
      </c>
      <c r="B18" s="12" t="s">
        <v>1692</v>
      </c>
    </row>
    <row r="19" spans="1:2" ht="14.25" customHeight="1" x14ac:dyDescent="0.3">
      <c r="A19" s="12" t="s">
        <v>1364</v>
      </c>
      <c r="B19" s="12" t="s">
        <v>1693</v>
      </c>
    </row>
    <row r="20" spans="1:2" ht="14.25" customHeight="1" x14ac:dyDescent="0.3">
      <c r="A20" s="12" t="s">
        <v>1373</v>
      </c>
      <c r="B20" s="12" t="s">
        <v>1694</v>
      </c>
    </row>
    <row r="21" spans="1:2" ht="14.25" customHeight="1" x14ac:dyDescent="0.3">
      <c r="A21" s="12" t="s">
        <v>1375</v>
      </c>
      <c r="B21" s="12" t="s">
        <v>1695</v>
      </c>
    </row>
    <row r="22" spans="1:2" ht="14.25" customHeight="1" x14ac:dyDescent="0.3">
      <c r="A22" s="12" t="s">
        <v>1380</v>
      </c>
      <c r="B22" s="12" t="s">
        <v>1696</v>
      </c>
    </row>
    <row r="23" spans="1:2" ht="14.25" customHeight="1" x14ac:dyDescent="0.3">
      <c r="A23" s="12" t="s">
        <v>1382</v>
      </c>
      <c r="B23" s="12" t="s">
        <v>1697</v>
      </c>
    </row>
    <row r="24" spans="1:2" ht="14.25" customHeight="1" x14ac:dyDescent="0.3">
      <c r="A24" s="12" t="s">
        <v>1385</v>
      </c>
      <c r="B24" s="12" t="s">
        <v>1698</v>
      </c>
    </row>
    <row r="25" spans="1:2" ht="14.25" customHeight="1" x14ac:dyDescent="0.3">
      <c r="A25" s="12" t="s">
        <v>1391</v>
      </c>
      <c r="B25" s="12" t="s">
        <v>1699</v>
      </c>
    </row>
    <row r="26" spans="1:2" ht="14.25" customHeight="1" x14ac:dyDescent="0.3">
      <c r="A26" s="12" t="s">
        <v>1394</v>
      </c>
      <c r="B26" s="12" t="s">
        <v>1700</v>
      </c>
    </row>
    <row r="27" spans="1:2" ht="14.25" customHeight="1" x14ac:dyDescent="0.3">
      <c r="A27" s="12" t="s">
        <v>1398</v>
      </c>
      <c r="B27" s="12" t="s">
        <v>1701</v>
      </c>
    </row>
    <row r="28" spans="1:2" ht="14.25" customHeight="1" x14ac:dyDescent="0.3">
      <c r="A28" s="12" t="s">
        <v>1405</v>
      </c>
      <c r="B28" s="12" t="s">
        <v>1702</v>
      </c>
    </row>
    <row r="29" spans="1:2" ht="14.25" customHeight="1" x14ac:dyDescent="0.3">
      <c r="A29" s="12" t="s">
        <v>1408</v>
      </c>
      <c r="B29" s="12" t="s">
        <v>1703</v>
      </c>
    </row>
    <row r="30" spans="1:2" ht="14.25" customHeight="1" x14ac:dyDescent="0.3">
      <c r="A30" s="12" t="s">
        <v>1411</v>
      </c>
      <c r="B30" s="12" t="s">
        <v>1704</v>
      </c>
    </row>
    <row r="31" spans="1:2" ht="14.25" customHeight="1" x14ac:dyDescent="0.3">
      <c r="A31" s="12" t="s">
        <v>1347</v>
      </c>
      <c r="B31" s="12" t="s">
        <v>1705</v>
      </c>
    </row>
    <row r="32" spans="1:2" ht="14.25" customHeight="1" x14ac:dyDescent="0.3">
      <c r="A32" s="12" t="s">
        <v>1425</v>
      </c>
      <c r="B32" s="12" t="s">
        <v>1706</v>
      </c>
    </row>
    <row r="33" spans="1:2" ht="14.25" customHeight="1" x14ac:dyDescent="0.3">
      <c r="A33" s="12" t="s">
        <v>1427</v>
      </c>
      <c r="B33" s="12" t="s">
        <v>1707</v>
      </c>
    </row>
    <row r="34" spans="1:2" ht="14.25" customHeight="1" x14ac:dyDescent="0.3">
      <c r="A34" s="12" t="s">
        <v>1430</v>
      </c>
      <c r="B34" s="12" t="s">
        <v>1708</v>
      </c>
    </row>
    <row r="35" spans="1:2" ht="14.25" customHeight="1" x14ac:dyDescent="0.3">
      <c r="A35" s="12" t="s">
        <v>1433</v>
      </c>
      <c r="B35" s="12" t="s">
        <v>1709</v>
      </c>
    </row>
    <row r="36" spans="1:2" ht="14.25" customHeight="1" x14ac:dyDescent="0.3">
      <c r="A36" s="12" t="s">
        <v>1323</v>
      </c>
      <c r="B36" s="12" t="s">
        <v>1323</v>
      </c>
    </row>
    <row r="37" spans="1:2" ht="14.25" customHeight="1" x14ac:dyDescent="0.3">
      <c r="A37" s="12" t="s">
        <v>1335</v>
      </c>
      <c r="B37" s="12" t="s">
        <v>1710</v>
      </c>
    </row>
    <row r="38" spans="1:2" ht="14.25" customHeight="1" x14ac:dyDescent="0.3">
      <c r="A38" s="12" t="s">
        <v>1371</v>
      </c>
      <c r="B38" s="12" t="s">
        <v>1711</v>
      </c>
    </row>
    <row r="39" spans="1:2" ht="14.25" customHeight="1" x14ac:dyDescent="0.3">
      <c r="A39" s="12" t="s">
        <v>1413</v>
      </c>
      <c r="B39" s="12" t="s">
        <v>1712</v>
      </c>
    </row>
    <row r="40" spans="1:2" ht="14.25" customHeight="1" x14ac:dyDescent="0.3">
      <c r="A40" s="12" t="s">
        <v>1439</v>
      </c>
      <c r="B40" s="12" t="s">
        <v>1713</v>
      </c>
    </row>
    <row r="41" spans="1:2" ht="14.25" customHeight="1" x14ac:dyDescent="0.3">
      <c r="A41" s="12" t="s">
        <v>1714</v>
      </c>
      <c r="B41" s="12" t="s">
        <v>1715</v>
      </c>
    </row>
    <row r="42" spans="1:2" ht="14.25" customHeight="1" x14ac:dyDescent="0.3">
      <c r="A42" s="12" t="s">
        <v>1446</v>
      </c>
      <c r="B42" s="12" t="s">
        <v>1446</v>
      </c>
    </row>
    <row r="43" spans="1:2" ht="14.25" customHeight="1" x14ac:dyDescent="0.3">
      <c r="A43" s="12" t="s">
        <v>1463</v>
      </c>
      <c r="B43" s="12" t="s">
        <v>1716</v>
      </c>
    </row>
    <row r="44" spans="1:2" ht="14.25" customHeight="1" x14ac:dyDescent="0.3">
      <c r="A44" s="12" t="s">
        <v>1446</v>
      </c>
      <c r="B44" s="12" t="s">
        <v>1717</v>
      </c>
    </row>
    <row r="45" spans="1:2" ht="14.25" customHeight="1" x14ac:dyDescent="0.3">
      <c r="A45" s="10"/>
      <c r="B45" s="10"/>
    </row>
    <row r="46" spans="1:2" ht="14.25" customHeight="1" x14ac:dyDescent="0.3">
      <c r="A46" s="10"/>
      <c r="B46" s="10"/>
    </row>
    <row r="47" spans="1:2" ht="14.25" customHeight="1" x14ac:dyDescent="0.3">
      <c r="A47" s="10"/>
      <c r="B47" s="10"/>
    </row>
    <row r="48" spans="1:2" ht="14.25" customHeight="1" x14ac:dyDescent="0.3">
      <c r="A48" s="10"/>
      <c r="B48" s="10"/>
    </row>
    <row r="49" spans="1:2" ht="14.25" customHeight="1" x14ac:dyDescent="0.3">
      <c r="A49" s="10"/>
      <c r="B49" s="10"/>
    </row>
    <row r="50" spans="1:2" ht="14.25" customHeight="1" x14ac:dyDescent="0.3">
      <c r="A50" s="10"/>
      <c r="B50" s="10"/>
    </row>
    <row r="51" spans="1:2" ht="14.25" customHeight="1" x14ac:dyDescent="0.3">
      <c r="A51" s="10"/>
      <c r="B51" s="10"/>
    </row>
    <row r="52" spans="1:2" ht="14.25" customHeight="1" x14ac:dyDescent="0.3">
      <c r="A52" s="10"/>
      <c r="B52" s="10"/>
    </row>
    <row r="53" spans="1:2" ht="14.25" customHeight="1" x14ac:dyDescent="0.3">
      <c r="A53" s="10"/>
      <c r="B53" s="10"/>
    </row>
    <row r="54" spans="1:2" ht="14.25" customHeight="1" x14ac:dyDescent="0.3">
      <c r="A54" s="10"/>
      <c r="B54" s="10"/>
    </row>
    <row r="55" spans="1:2" ht="14.25" customHeight="1" x14ac:dyDescent="0.3">
      <c r="A55" s="10"/>
      <c r="B55" s="10"/>
    </row>
    <row r="56" spans="1:2" ht="14.25" customHeight="1" x14ac:dyDescent="0.3">
      <c r="A56" s="10"/>
      <c r="B56" s="10"/>
    </row>
    <row r="57" spans="1:2" ht="14.25" customHeight="1" x14ac:dyDescent="0.3">
      <c r="A57" s="10"/>
      <c r="B57" s="10"/>
    </row>
    <row r="58" spans="1:2" ht="14.25" customHeight="1" x14ac:dyDescent="0.3">
      <c r="A58" s="10"/>
      <c r="B58" s="10"/>
    </row>
    <row r="59" spans="1:2" ht="14.25" customHeight="1" x14ac:dyDescent="0.3">
      <c r="A59" s="10"/>
      <c r="B59" s="10"/>
    </row>
    <row r="60" spans="1:2" ht="14.25" customHeight="1" x14ac:dyDescent="0.3">
      <c r="A60" s="10"/>
      <c r="B60" s="10"/>
    </row>
    <row r="61" spans="1:2" ht="14.25" customHeight="1" x14ac:dyDescent="0.3">
      <c r="A61" s="10"/>
      <c r="B61" s="10"/>
    </row>
    <row r="62" spans="1:2" ht="14.25" customHeight="1" x14ac:dyDescent="0.3">
      <c r="A62" s="10"/>
      <c r="B62" s="10"/>
    </row>
    <row r="63" spans="1:2" ht="14.25" customHeight="1" x14ac:dyDescent="0.3">
      <c r="A63" s="10"/>
      <c r="B63" s="10"/>
    </row>
    <row r="64" spans="1:2" ht="14.25" customHeight="1" x14ac:dyDescent="0.3">
      <c r="A64" s="10"/>
      <c r="B64" s="10"/>
    </row>
    <row r="65" spans="1:2" ht="14.25" customHeight="1" x14ac:dyDescent="0.3">
      <c r="A65" s="10"/>
      <c r="B65" s="10"/>
    </row>
    <row r="66" spans="1:2" ht="14.25" customHeight="1" x14ac:dyDescent="0.3">
      <c r="A66" s="10"/>
      <c r="B66" s="10"/>
    </row>
    <row r="67" spans="1:2" ht="14.25" customHeight="1" x14ac:dyDescent="0.3">
      <c r="A67" s="10"/>
      <c r="B67" s="10"/>
    </row>
    <row r="68" spans="1:2" ht="14.25" customHeight="1" x14ac:dyDescent="0.3">
      <c r="A68" s="10"/>
      <c r="B68" s="10"/>
    </row>
    <row r="69" spans="1:2" ht="14.25" customHeight="1" x14ac:dyDescent="0.3">
      <c r="A69" s="10"/>
      <c r="B69" s="10"/>
    </row>
    <row r="70" spans="1:2" ht="14.25" customHeight="1" x14ac:dyDescent="0.3">
      <c r="A70" s="10"/>
      <c r="B70" s="10"/>
    </row>
    <row r="71" spans="1:2" ht="14.25" customHeight="1" x14ac:dyDescent="0.3">
      <c r="A71" s="10"/>
      <c r="B71" s="10"/>
    </row>
    <row r="72" spans="1:2" ht="14.25" customHeight="1" x14ac:dyDescent="0.3">
      <c r="A72" s="10"/>
      <c r="B72" s="10"/>
    </row>
    <row r="73" spans="1:2" ht="14.25" customHeight="1" x14ac:dyDescent="0.3">
      <c r="A73" s="10"/>
      <c r="B73" s="10"/>
    </row>
    <row r="74" spans="1:2" ht="14.25" customHeight="1" x14ac:dyDescent="0.3">
      <c r="A74" s="10"/>
      <c r="B74" s="10"/>
    </row>
    <row r="75" spans="1:2" ht="14.25" customHeight="1" x14ac:dyDescent="0.3">
      <c r="A75" s="10"/>
      <c r="B75" s="10"/>
    </row>
    <row r="76" spans="1:2" ht="14.25" customHeight="1" x14ac:dyDescent="0.3">
      <c r="A76" s="10"/>
      <c r="B76" s="10"/>
    </row>
    <row r="77" spans="1:2" ht="14.25" customHeight="1" x14ac:dyDescent="0.3">
      <c r="A77" s="10"/>
      <c r="B77" s="10"/>
    </row>
    <row r="78" spans="1:2" ht="14.25" customHeight="1" x14ac:dyDescent="0.3">
      <c r="A78" s="10"/>
      <c r="B78" s="10"/>
    </row>
    <row r="79" spans="1:2" ht="14.25" customHeight="1" x14ac:dyDescent="0.3">
      <c r="A79" s="10"/>
      <c r="B79" s="10"/>
    </row>
    <row r="80" spans="1:2" ht="14.25" customHeight="1" x14ac:dyDescent="0.3">
      <c r="A80" s="10"/>
      <c r="B80" s="10"/>
    </row>
    <row r="81" spans="1:2" ht="14.25" customHeight="1" x14ac:dyDescent="0.3">
      <c r="A81" s="10"/>
      <c r="B81" s="10"/>
    </row>
    <row r="82" spans="1:2" ht="14.25" customHeight="1" x14ac:dyDescent="0.3">
      <c r="A82" s="10"/>
      <c r="B82" s="10"/>
    </row>
    <row r="83" spans="1:2" ht="14.25" customHeight="1" x14ac:dyDescent="0.3">
      <c r="A83" s="10"/>
      <c r="B83" s="10"/>
    </row>
    <row r="84" spans="1:2" ht="14.25" customHeight="1" x14ac:dyDescent="0.3">
      <c r="A84" s="10"/>
      <c r="B84" s="10"/>
    </row>
    <row r="85" spans="1:2" ht="14.25" customHeight="1" x14ac:dyDescent="0.3">
      <c r="A85" s="10"/>
      <c r="B85" s="10"/>
    </row>
    <row r="86" spans="1:2" ht="14.25" customHeight="1" x14ac:dyDescent="0.3">
      <c r="A86" s="10"/>
      <c r="B86" s="10"/>
    </row>
    <row r="87" spans="1:2" ht="14.25" customHeight="1" x14ac:dyDescent="0.3">
      <c r="A87" s="10"/>
      <c r="B87" s="10"/>
    </row>
    <row r="88" spans="1:2" ht="14.25" customHeight="1" x14ac:dyDescent="0.3">
      <c r="A88" s="10"/>
      <c r="B88" s="10"/>
    </row>
    <row r="89" spans="1:2" ht="14.25" customHeight="1" x14ac:dyDescent="0.3">
      <c r="A89" s="10"/>
      <c r="B89" s="10"/>
    </row>
    <row r="90" spans="1:2" ht="14.25" customHeight="1" x14ac:dyDescent="0.3">
      <c r="A90" s="10"/>
      <c r="B90" s="10"/>
    </row>
    <row r="91" spans="1:2" ht="14.25" customHeight="1" x14ac:dyDescent="0.3">
      <c r="A91" s="10"/>
      <c r="B91" s="10"/>
    </row>
    <row r="92" spans="1:2" ht="14.25" customHeight="1" x14ac:dyDescent="0.3">
      <c r="A92" s="10"/>
      <c r="B92" s="10"/>
    </row>
    <row r="93" spans="1:2" ht="14.25" customHeight="1" x14ac:dyDescent="0.3">
      <c r="A93" s="10"/>
      <c r="B93" s="10"/>
    </row>
    <row r="94" spans="1:2" ht="14.25" customHeight="1" x14ac:dyDescent="0.3">
      <c r="A94" s="10"/>
      <c r="B94" s="10"/>
    </row>
    <row r="95" spans="1:2" ht="14.25" customHeight="1" x14ac:dyDescent="0.3">
      <c r="A95" s="10"/>
      <c r="B95" s="10"/>
    </row>
    <row r="96" spans="1:2" ht="14.25" customHeight="1" x14ac:dyDescent="0.3">
      <c r="A96" s="10"/>
      <c r="B96" s="10"/>
    </row>
    <row r="97" spans="1:2" ht="14.25" customHeight="1" x14ac:dyDescent="0.3">
      <c r="A97" s="10"/>
      <c r="B97" s="10"/>
    </row>
    <row r="98" spans="1:2" ht="14.25" customHeight="1" x14ac:dyDescent="0.3">
      <c r="A98" s="10"/>
      <c r="B98" s="10"/>
    </row>
    <row r="99" spans="1:2" ht="14.25" customHeight="1" x14ac:dyDescent="0.3">
      <c r="A99" s="10"/>
      <c r="B99" s="10"/>
    </row>
    <row r="100" spans="1:2" ht="14.25" customHeight="1" x14ac:dyDescent="0.3">
      <c r="A100" s="10"/>
      <c r="B100" s="10"/>
    </row>
    <row r="101" spans="1:2" ht="14.25" customHeight="1" x14ac:dyDescent="0.3">
      <c r="A101" s="10"/>
      <c r="B101" s="10"/>
    </row>
    <row r="102" spans="1:2" ht="14.25" customHeight="1" x14ac:dyDescent="0.3">
      <c r="A102" s="10"/>
      <c r="B102" s="10"/>
    </row>
    <row r="103" spans="1:2" ht="14.25" customHeight="1" x14ac:dyDescent="0.3">
      <c r="A103" s="10"/>
      <c r="B103" s="10"/>
    </row>
    <row r="104" spans="1:2" ht="14.25" customHeight="1" x14ac:dyDescent="0.3">
      <c r="A104" s="10"/>
      <c r="B104" s="10"/>
    </row>
    <row r="105" spans="1:2" ht="14.25" customHeight="1" x14ac:dyDescent="0.3">
      <c r="A105" s="10"/>
      <c r="B105" s="10"/>
    </row>
    <row r="106" spans="1:2" ht="14.25" customHeight="1" x14ac:dyDescent="0.3">
      <c r="A106" s="10"/>
      <c r="B106" s="10"/>
    </row>
    <row r="107" spans="1:2" ht="14.25" customHeight="1" x14ac:dyDescent="0.3">
      <c r="A107" s="10"/>
      <c r="B107" s="10"/>
    </row>
    <row r="108" spans="1:2" ht="14.25" customHeight="1" x14ac:dyDescent="0.3">
      <c r="A108" s="10"/>
      <c r="B108" s="10"/>
    </row>
    <row r="109" spans="1:2" ht="14.25" customHeight="1" x14ac:dyDescent="0.3">
      <c r="A109" s="10"/>
      <c r="B109" s="10"/>
    </row>
    <row r="110" spans="1:2" ht="14.25" customHeight="1" x14ac:dyDescent="0.3">
      <c r="A110" s="10"/>
      <c r="B110" s="10"/>
    </row>
    <row r="111" spans="1:2" ht="14.25" customHeight="1" x14ac:dyDescent="0.3">
      <c r="A111" s="10"/>
      <c r="B111" s="10"/>
    </row>
    <row r="112" spans="1:2" ht="14.25" customHeight="1" x14ac:dyDescent="0.3">
      <c r="A112" s="10"/>
      <c r="B112" s="10"/>
    </row>
    <row r="113" spans="1:2" ht="14.25" customHeight="1" x14ac:dyDescent="0.3">
      <c r="A113" s="10"/>
      <c r="B113" s="10"/>
    </row>
    <row r="114" spans="1:2" ht="14.25" customHeight="1" x14ac:dyDescent="0.3">
      <c r="A114" s="10"/>
      <c r="B114" s="10"/>
    </row>
    <row r="115" spans="1:2" ht="14.25" customHeight="1" x14ac:dyDescent="0.3">
      <c r="A115" s="10"/>
      <c r="B115" s="10"/>
    </row>
    <row r="116" spans="1:2" ht="14.25" customHeight="1" x14ac:dyDescent="0.3">
      <c r="A116" s="10"/>
      <c r="B116" s="10"/>
    </row>
    <row r="117" spans="1:2" ht="14.25" customHeight="1" x14ac:dyDescent="0.3">
      <c r="A117" s="10"/>
      <c r="B117" s="10"/>
    </row>
    <row r="118" spans="1:2" ht="14.25" customHeight="1" x14ac:dyDescent="0.3">
      <c r="A118" s="10"/>
      <c r="B118" s="10"/>
    </row>
    <row r="119" spans="1:2" ht="14.25" customHeight="1" x14ac:dyDescent="0.3">
      <c r="A119" s="10"/>
      <c r="B119" s="10"/>
    </row>
    <row r="120" spans="1:2" ht="14.25" customHeight="1" x14ac:dyDescent="0.3">
      <c r="A120" s="10"/>
      <c r="B120" s="10"/>
    </row>
    <row r="121" spans="1:2" ht="14.25" customHeight="1" x14ac:dyDescent="0.3">
      <c r="A121" s="10"/>
      <c r="B121" s="10"/>
    </row>
    <row r="122" spans="1:2" ht="14.25" customHeight="1" x14ac:dyDescent="0.3">
      <c r="A122" s="10"/>
      <c r="B122" s="10"/>
    </row>
    <row r="123" spans="1:2" ht="14.25" customHeight="1" x14ac:dyDescent="0.3">
      <c r="A123" s="10"/>
      <c r="B123" s="10"/>
    </row>
    <row r="124" spans="1:2" ht="14.25" customHeight="1" x14ac:dyDescent="0.3">
      <c r="A124" s="10"/>
      <c r="B124" s="10"/>
    </row>
    <row r="125" spans="1:2" ht="14.25" customHeight="1" x14ac:dyDescent="0.3">
      <c r="A125" s="10"/>
      <c r="B125" s="10"/>
    </row>
    <row r="126" spans="1:2" ht="14.25" customHeight="1" x14ac:dyDescent="0.3">
      <c r="A126" s="10"/>
      <c r="B126" s="10"/>
    </row>
    <row r="127" spans="1:2" ht="14.25" customHeight="1" x14ac:dyDescent="0.3">
      <c r="A127" s="10"/>
      <c r="B127" s="10"/>
    </row>
    <row r="128" spans="1:2" ht="14.25" customHeight="1" x14ac:dyDescent="0.3">
      <c r="A128" s="10"/>
      <c r="B128" s="10"/>
    </row>
    <row r="129" spans="1:2" ht="14.25" customHeight="1" x14ac:dyDescent="0.3">
      <c r="A129" s="10"/>
      <c r="B129" s="10"/>
    </row>
    <row r="130" spans="1:2" ht="14.25" customHeight="1" x14ac:dyDescent="0.3">
      <c r="A130" s="10"/>
      <c r="B130" s="10"/>
    </row>
    <row r="131" spans="1:2" ht="14.25" customHeight="1" x14ac:dyDescent="0.3">
      <c r="A131" s="10"/>
      <c r="B131" s="10"/>
    </row>
    <row r="132" spans="1:2" ht="14.25" customHeight="1" x14ac:dyDescent="0.3">
      <c r="A132" s="10"/>
      <c r="B132" s="10"/>
    </row>
    <row r="133" spans="1:2" ht="14.25" customHeight="1" x14ac:dyDescent="0.3">
      <c r="A133" s="10"/>
      <c r="B133" s="10"/>
    </row>
    <row r="134" spans="1:2" ht="14.25" customHeight="1" x14ac:dyDescent="0.3">
      <c r="A134" s="10"/>
      <c r="B134" s="10"/>
    </row>
    <row r="135" spans="1:2" ht="14.25" customHeight="1" x14ac:dyDescent="0.3">
      <c r="A135" s="10"/>
      <c r="B135" s="10"/>
    </row>
    <row r="136" spans="1:2" ht="14.25" customHeight="1" x14ac:dyDescent="0.3">
      <c r="A136" s="10"/>
      <c r="B136" s="10"/>
    </row>
    <row r="137" spans="1:2" ht="14.25" customHeight="1" x14ac:dyDescent="0.3">
      <c r="A137" s="10"/>
      <c r="B137" s="10"/>
    </row>
    <row r="138" spans="1:2" ht="14.25" customHeight="1" x14ac:dyDescent="0.3">
      <c r="A138" s="10"/>
      <c r="B138" s="10"/>
    </row>
    <row r="139" spans="1:2" ht="14.25" customHeight="1" x14ac:dyDescent="0.3">
      <c r="A139" s="10"/>
      <c r="B139" s="10"/>
    </row>
    <row r="140" spans="1:2" ht="14.25" customHeight="1" x14ac:dyDescent="0.3">
      <c r="A140" s="10"/>
      <c r="B140" s="10"/>
    </row>
    <row r="141" spans="1:2" ht="14.25" customHeight="1" x14ac:dyDescent="0.3">
      <c r="A141" s="10"/>
      <c r="B141" s="10"/>
    </row>
    <row r="142" spans="1:2" ht="14.25" customHeight="1" x14ac:dyDescent="0.3">
      <c r="A142" s="10"/>
      <c r="B142" s="10"/>
    </row>
    <row r="143" spans="1:2" ht="14.25" customHeight="1" x14ac:dyDescent="0.3">
      <c r="A143" s="10"/>
      <c r="B143" s="10"/>
    </row>
    <row r="144" spans="1:2" ht="14.25" customHeight="1" x14ac:dyDescent="0.3">
      <c r="A144" s="10"/>
      <c r="B144" s="10"/>
    </row>
    <row r="145" spans="1:2" ht="14.25" customHeight="1" x14ac:dyDescent="0.3">
      <c r="A145" s="10"/>
      <c r="B145" s="10"/>
    </row>
    <row r="146" spans="1:2" ht="14.25" customHeight="1" x14ac:dyDescent="0.3">
      <c r="A146" s="10"/>
      <c r="B146" s="10"/>
    </row>
    <row r="147" spans="1:2" ht="14.25" customHeight="1" x14ac:dyDescent="0.3">
      <c r="A147" s="10"/>
      <c r="B147" s="10"/>
    </row>
    <row r="148" spans="1:2" ht="14.25" customHeight="1" x14ac:dyDescent="0.3">
      <c r="A148" s="10"/>
      <c r="B148" s="10"/>
    </row>
    <row r="149" spans="1:2" ht="14.25" customHeight="1" x14ac:dyDescent="0.3">
      <c r="A149" s="10"/>
      <c r="B149" s="10"/>
    </row>
    <row r="150" spans="1:2" ht="14.25" customHeight="1" x14ac:dyDescent="0.3">
      <c r="A150" s="10"/>
      <c r="B150" s="10"/>
    </row>
    <row r="151" spans="1:2" ht="14.25" customHeight="1" x14ac:dyDescent="0.3">
      <c r="A151" s="10"/>
      <c r="B151" s="10"/>
    </row>
    <row r="152" spans="1:2" ht="14.25" customHeight="1" x14ac:dyDescent="0.3">
      <c r="A152" s="10"/>
      <c r="B152" s="10"/>
    </row>
    <row r="153" spans="1:2" ht="14.25" customHeight="1" x14ac:dyDescent="0.3">
      <c r="A153" s="10"/>
      <c r="B153" s="10"/>
    </row>
    <row r="154" spans="1:2" ht="14.25" customHeight="1" x14ac:dyDescent="0.3">
      <c r="A154" s="10"/>
      <c r="B154" s="10"/>
    </row>
    <row r="155" spans="1:2" ht="14.25" customHeight="1" x14ac:dyDescent="0.3">
      <c r="A155" s="10"/>
      <c r="B155" s="10"/>
    </row>
    <row r="156" spans="1:2" ht="14.25" customHeight="1" x14ac:dyDescent="0.3">
      <c r="A156" s="10"/>
      <c r="B156" s="10"/>
    </row>
    <row r="157" spans="1:2" ht="14.25" customHeight="1" x14ac:dyDescent="0.3">
      <c r="A157" s="10"/>
      <c r="B157" s="10"/>
    </row>
    <row r="158" spans="1:2" ht="14.25" customHeight="1" x14ac:dyDescent="0.3">
      <c r="A158" s="10"/>
      <c r="B158" s="10"/>
    </row>
    <row r="159" spans="1:2" ht="14.25" customHeight="1" x14ac:dyDescent="0.3">
      <c r="A159" s="10"/>
      <c r="B159" s="10"/>
    </row>
    <row r="160" spans="1:2" ht="14.25" customHeight="1" x14ac:dyDescent="0.3">
      <c r="A160" s="10"/>
      <c r="B160" s="10"/>
    </row>
    <row r="161" spans="1:2" ht="14.25" customHeight="1" x14ac:dyDescent="0.3">
      <c r="A161" s="10"/>
      <c r="B161" s="10"/>
    </row>
    <row r="162" spans="1:2" ht="14.25" customHeight="1" x14ac:dyDescent="0.3">
      <c r="A162" s="10"/>
      <c r="B162" s="10"/>
    </row>
    <row r="163" spans="1:2" ht="14.25" customHeight="1" x14ac:dyDescent="0.3">
      <c r="A163" s="10"/>
      <c r="B163" s="10"/>
    </row>
    <row r="164" spans="1:2" ht="14.25" customHeight="1" x14ac:dyDescent="0.3">
      <c r="A164" s="10"/>
      <c r="B164" s="10"/>
    </row>
    <row r="165" spans="1:2" ht="14.25" customHeight="1" x14ac:dyDescent="0.3">
      <c r="A165" s="10"/>
      <c r="B165" s="10"/>
    </row>
    <row r="166" spans="1:2" ht="14.25" customHeight="1" x14ac:dyDescent="0.3">
      <c r="A166" s="10"/>
      <c r="B166" s="10"/>
    </row>
    <row r="167" spans="1:2" ht="14.25" customHeight="1" x14ac:dyDescent="0.3">
      <c r="A167" s="10"/>
      <c r="B167" s="10"/>
    </row>
    <row r="168" spans="1:2" ht="14.25" customHeight="1" x14ac:dyDescent="0.3">
      <c r="A168" s="10"/>
      <c r="B168" s="10"/>
    </row>
    <row r="169" spans="1:2" ht="14.25" customHeight="1" x14ac:dyDescent="0.3">
      <c r="A169" s="10"/>
      <c r="B169" s="10"/>
    </row>
    <row r="170" spans="1:2" ht="14.25" customHeight="1" x14ac:dyDescent="0.3">
      <c r="A170" s="10"/>
      <c r="B170" s="10"/>
    </row>
    <row r="171" spans="1:2" ht="14.25" customHeight="1" x14ac:dyDescent="0.3">
      <c r="A171" s="10"/>
      <c r="B171" s="10"/>
    </row>
    <row r="172" spans="1:2" ht="14.25" customHeight="1" x14ac:dyDescent="0.3">
      <c r="A172" s="10"/>
      <c r="B172" s="10"/>
    </row>
    <row r="173" spans="1:2" ht="14.25" customHeight="1" x14ac:dyDescent="0.3">
      <c r="A173" s="10"/>
      <c r="B173" s="10"/>
    </row>
    <row r="174" spans="1:2" ht="14.25" customHeight="1" x14ac:dyDescent="0.3">
      <c r="A174" s="10"/>
      <c r="B174" s="10"/>
    </row>
    <row r="175" spans="1:2" ht="14.25" customHeight="1" x14ac:dyDescent="0.3">
      <c r="A175" s="10"/>
      <c r="B175" s="10"/>
    </row>
    <row r="176" spans="1:2" ht="14.25" customHeight="1" x14ac:dyDescent="0.3">
      <c r="A176" s="10"/>
      <c r="B176" s="10"/>
    </row>
    <row r="177" spans="1:2" ht="14.25" customHeight="1" x14ac:dyDescent="0.3">
      <c r="A177" s="10"/>
      <c r="B177" s="10"/>
    </row>
    <row r="178" spans="1:2" ht="14.25" customHeight="1" x14ac:dyDescent="0.3">
      <c r="A178" s="10"/>
      <c r="B178" s="10"/>
    </row>
    <row r="179" spans="1:2" ht="14.25" customHeight="1" x14ac:dyDescent="0.3">
      <c r="A179" s="10"/>
      <c r="B179" s="10"/>
    </row>
    <row r="180" spans="1:2" ht="14.25" customHeight="1" x14ac:dyDescent="0.3">
      <c r="A180" s="10"/>
      <c r="B180" s="10"/>
    </row>
    <row r="181" spans="1:2" ht="14.25" customHeight="1" x14ac:dyDescent="0.3">
      <c r="A181" s="10"/>
      <c r="B181" s="10"/>
    </row>
    <row r="182" spans="1:2" ht="14.25" customHeight="1" x14ac:dyDescent="0.3">
      <c r="A182" s="10"/>
      <c r="B182" s="10"/>
    </row>
    <row r="183" spans="1:2" ht="14.25" customHeight="1" x14ac:dyDescent="0.3">
      <c r="A183" s="10"/>
      <c r="B183" s="10"/>
    </row>
    <row r="184" spans="1:2" ht="14.25" customHeight="1" x14ac:dyDescent="0.3">
      <c r="A184" s="10"/>
      <c r="B184" s="10"/>
    </row>
    <row r="185" spans="1:2" ht="14.25" customHeight="1" x14ac:dyDescent="0.3">
      <c r="A185" s="10"/>
      <c r="B185" s="10"/>
    </row>
    <row r="186" spans="1:2" ht="14.25" customHeight="1" x14ac:dyDescent="0.3">
      <c r="A186" s="10"/>
      <c r="B186" s="10"/>
    </row>
    <row r="187" spans="1:2" ht="14.25" customHeight="1" x14ac:dyDescent="0.3">
      <c r="A187" s="10"/>
      <c r="B187" s="10"/>
    </row>
    <row r="188" spans="1:2" ht="14.25" customHeight="1" x14ac:dyDescent="0.3">
      <c r="A188" s="10"/>
      <c r="B188" s="10"/>
    </row>
    <row r="189" spans="1:2" ht="14.25" customHeight="1" x14ac:dyDescent="0.3">
      <c r="A189" s="10"/>
      <c r="B189" s="10"/>
    </row>
    <row r="190" spans="1:2" ht="14.25" customHeight="1" x14ac:dyDescent="0.3">
      <c r="A190" s="10"/>
      <c r="B190" s="10"/>
    </row>
    <row r="191" spans="1:2" ht="14.25" customHeight="1" x14ac:dyDescent="0.3">
      <c r="A191" s="10"/>
      <c r="B191" s="10"/>
    </row>
    <row r="192" spans="1:2" ht="14.25" customHeight="1" x14ac:dyDescent="0.3">
      <c r="A192" s="10"/>
      <c r="B192" s="10"/>
    </row>
    <row r="193" spans="1:2" ht="14.25" customHeight="1" x14ac:dyDescent="0.3">
      <c r="A193" s="10"/>
      <c r="B193" s="10"/>
    </row>
    <row r="194" spans="1:2" ht="14.25" customHeight="1" x14ac:dyDescent="0.3">
      <c r="A194" s="10"/>
      <c r="B194" s="10"/>
    </row>
    <row r="195" spans="1:2" ht="14.25" customHeight="1" x14ac:dyDescent="0.3">
      <c r="A195" s="10"/>
      <c r="B195" s="10"/>
    </row>
    <row r="196" spans="1:2" ht="14.25" customHeight="1" x14ac:dyDescent="0.3">
      <c r="A196" s="10"/>
      <c r="B196" s="10"/>
    </row>
    <row r="197" spans="1:2" ht="14.25" customHeight="1" x14ac:dyDescent="0.3">
      <c r="A197" s="10"/>
      <c r="B197" s="10"/>
    </row>
    <row r="198" spans="1:2" ht="14.25" customHeight="1" x14ac:dyDescent="0.3">
      <c r="A198" s="10"/>
      <c r="B198" s="10"/>
    </row>
    <row r="199" spans="1:2" ht="14.25" customHeight="1" x14ac:dyDescent="0.3">
      <c r="A199" s="10"/>
      <c r="B199" s="10"/>
    </row>
    <row r="200" spans="1:2" ht="14.25" customHeight="1" x14ac:dyDescent="0.3">
      <c r="A200" s="10"/>
      <c r="B200" s="10"/>
    </row>
    <row r="201" spans="1:2" ht="14.25" customHeight="1" x14ac:dyDescent="0.3">
      <c r="A201" s="10"/>
      <c r="B201" s="10"/>
    </row>
    <row r="202" spans="1:2" ht="14.25" customHeight="1" x14ac:dyDescent="0.3">
      <c r="A202" s="10"/>
      <c r="B202" s="10"/>
    </row>
    <row r="203" spans="1:2" ht="14.25" customHeight="1" x14ac:dyDescent="0.3">
      <c r="A203" s="10"/>
      <c r="B203" s="10"/>
    </row>
    <row r="204" spans="1:2" ht="14.25" customHeight="1" x14ac:dyDescent="0.3">
      <c r="A204" s="10"/>
      <c r="B204" s="10"/>
    </row>
    <row r="205" spans="1:2" ht="14.25" customHeight="1" x14ac:dyDescent="0.3">
      <c r="A205" s="10"/>
      <c r="B205" s="10"/>
    </row>
    <row r="206" spans="1:2" ht="14.25" customHeight="1" x14ac:dyDescent="0.3">
      <c r="A206" s="10"/>
      <c r="B206" s="10"/>
    </row>
    <row r="207" spans="1:2" ht="14.25" customHeight="1" x14ac:dyDescent="0.3">
      <c r="A207" s="10"/>
      <c r="B207" s="10"/>
    </row>
    <row r="208" spans="1:2" ht="14.25" customHeight="1" x14ac:dyDescent="0.3">
      <c r="A208" s="10"/>
      <c r="B208" s="10"/>
    </row>
    <row r="209" spans="1:2" ht="14.25" customHeight="1" x14ac:dyDescent="0.3">
      <c r="A209" s="10"/>
      <c r="B209" s="10"/>
    </row>
    <row r="210" spans="1:2" ht="14.25" customHeight="1" x14ac:dyDescent="0.3">
      <c r="A210" s="10"/>
      <c r="B210" s="10"/>
    </row>
    <row r="211" spans="1:2" ht="14.25" customHeight="1" x14ac:dyDescent="0.3">
      <c r="A211" s="10"/>
      <c r="B211" s="10"/>
    </row>
    <row r="212" spans="1:2" ht="14.25" customHeight="1" x14ac:dyDescent="0.3">
      <c r="A212" s="10"/>
      <c r="B212" s="10"/>
    </row>
    <row r="213" spans="1:2" ht="14.25" customHeight="1" x14ac:dyDescent="0.3">
      <c r="A213" s="10"/>
      <c r="B213" s="10"/>
    </row>
    <row r="214" spans="1:2" ht="14.25" customHeight="1" x14ac:dyDescent="0.3">
      <c r="A214" s="10"/>
      <c r="B214" s="10"/>
    </row>
    <row r="215" spans="1:2" ht="14.25" customHeight="1" x14ac:dyDescent="0.3">
      <c r="A215" s="10"/>
      <c r="B215" s="10"/>
    </row>
    <row r="216" spans="1:2" ht="14.25" customHeight="1" x14ac:dyDescent="0.3">
      <c r="A216" s="10"/>
      <c r="B216" s="10"/>
    </row>
    <row r="217" spans="1:2" ht="14.25" customHeight="1" x14ac:dyDescent="0.3">
      <c r="A217" s="10"/>
      <c r="B217" s="10"/>
    </row>
    <row r="218" spans="1:2" ht="14.25" customHeight="1" x14ac:dyDescent="0.3">
      <c r="A218" s="10"/>
      <c r="B218" s="10"/>
    </row>
    <row r="219" spans="1:2" ht="14.25" customHeight="1" x14ac:dyDescent="0.3">
      <c r="A219" s="10"/>
      <c r="B219" s="10"/>
    </row>
    <row r="220" spans="1:2" ht="14.25" customHeight="1" x14ac:dyDescent="0.3">
      <c r="A220" s="10"/>
      <c r="B220" s="10"/>
    </row>
    <row r="221" spans="1:2" ht="14.25" customHeight="1" x14ac:dyDescent="0.3">
      <c r="A221" s="10"/>
      <c r="B221" s="10"/>
    </row>
    <row r="222" spans="1:2" ht="14.25" customHeight="1" x14ac:dyDescent="0.3">
      <c r="A222" s="10"/>
      <c r="B222" s="10"/>
    </row>
    <row r="223" spans="1:2" ht="14.25" customHeight="1" x14ac:dyDescent="0.3">
      <c r="A223" s="10"/>
      <c r="B223" s="10"/>
    </row>
    <row r="224" spans="1:2" ht="14.25" customHeight="1" x14ac:dyDescent="0.3">
      <c r="A224" s="10"/>
      <c r="B224" s="10"/>
    </row>
    <row r="225" spans="1:2" ht="14.25" customHeight="1" x14ac:dyDescent="0.3">
      <c r="A225" s="10"/>
      <c r="B225" s="10"/>
    </row>
    <row r="226" spans="1:2" ht="14.25" customHeight="1" x14ac:dyDescent="0.3">
      <c r="A226" s="10"/>
      <c r="B226" s="10"/>
    </row>
    <row r="227" spans="1:2" ht="14.25" customHeight="1" x14ac:dyDescent="0.3">
      <c r="A227" s="10"/>
      <c r="B227" s="10"/>
    </row>
    <row r="228" spans="1:2" ht="14.25" customHeight="1" x14ac:dyDescent="0.3">
      <c r="A228" s="10"/>
      <c r="B228" s="10"/>
    </row>
    <row r="229" spans="1:2" ht="14.25" customHeight="1" x14ac:dyDescent="0.3">
      <c r="A229" s="10"/>
      <c r="B229" s="10"/>
    </row>
    <row r="230" spans="1:2" ht="14.25" customHeight="1" x14ac:dyDescent="0.3">
      <c r="A230" s="10"/>
      <c r="B230" s="10"/>
    </row>
    <row r="231" spans="1:2" ht="14.25" customHeight="1" x14ac:dyDescent="0.3">
      <c r="A231" s="10"/>
      <c r="B231" s="10"/>
    </row>
    <row r="232" spans="1:2" ht="14.25" customHeight="1" x14ac:dyDescent="0.3">
      <c r="A232" s="10"/>
      <c r="B232" s="10"/>
    </row>
    <row r="233" spans="1:2" ht="14.25" customHeight="1" x14ac:dyDescent="0.3">
      <c r="A233" s="10"/>
      <c r="B233" s="10"/>
    </row>
    <row r="234" spans="1:2" ht="14.25" customHeight="1" x14ac:dyDescent="0.3">
      <c r="A234" s="10"/>
      <c r="B234" s="10"/>
    </row>
    <row r="235" spans="1:2" ht="14.25" customHeight="1" x14ac:dyDescent="0.3">
      <c r="A235" s="10"/>
      <c r="B235" s="10"/>
    </row>
    <row r="236" spans="1:2" ht="14.25" customHeight="1" x14ac:dyDescent="0.3">
      <c r="A236" s="10"/>
      <c r="B236" s="10"/>
    </row>
    <row r="237" spans="1:2" ht="14.25" customHeight="1" x14ac:dyDescent="0.3">
      <c r="A237" s="10"/>
      <c r="B237" s="10"/>
    </row>
    <row r="238" spans="1:2" ht="14.25" customHeight="1" x14ac:dyDescent="0.3">
      <c r="A238" s="10"/>
      <c r="B238" s="10"/>
    </row>
    <row r="239" spans="1:2" ht="14.25" customHeight="1" x14ac:dyDescent="0.3">
      <c r="A239" s="10"/>
      <c r="B239" s="10"/>
    </row>
    <row r="240" spans="1:2" ht="14.25" customHeight="1" x14ac:dyDescent="0.3">
      <c r="A240" s="10"/>
      <c r="B240" s="10"/>
    </row>
    <row r="241" spans="1:2" ht="14.25" customHeight="1" x14ac:dyDescent="0.3">
      <c r="A241" s="10"/>
      <c r="B241" s="10"/>
    </row>
    <row r="242" spans="1:2" ht="14.25" customHeight="1" x14ac:dyDescent="0.3">
      <c r="A242" s="10"/>
      <c r="B242" s="10"/>
    </row>
    <row r="243" spans="1:2" ht="14.25" customHeight="1" x14ac:dyDescent="0.3">
      <c r="A243" s="10"/>
      <c r="B243" s="10"/>
    </row>
    <row r="244" spans="1:2" ht="14.25" customHeight="1" x14ac:dyDescent="0.3">
      <c r="A244" s="10"/>
      <c r="B244" s="10"/>
    </row>
    <row r="245" spans="1:2" ht="14.25" customHeight="1" x14ac:dyDescent="0.3">
      <c r="A245" s="10"/>
      <c r="B245" s="10"/>
    </row>
    <row r="246" spans="1:2" ht="14.25" customHeight="1" x14ac:dyDescent="0.3">
      <c r="A246" s="10"/>
      <c r="B246" s="10"/>
    </row>
    <row r="247" spans="1:2" ht="14.25" customHeight="1" x14ac:dyDescent="0.3">
      <c r="A247" s="10"/>
      <c r="B247" s="10"/>
    </row>
    <row r="248" spans="1:2" ht="14.25" customHeight="1" x14ac:dyDescent="0.3">
      <c r="A248" s="10"/>
      <c r="B248" s="10"/>
    </row>
    <row r="249" spans="1:2" ht="14.25" customHeight="1" x14ac:dyDescent="0.3">
      <c r="A249" s="10"/>
      <c r="B249" s="10"/>
    </row>
    <row r="250" spans="1:2" ht="14.25" customHeight="1" x14ac:dyDescent="0.3">
      <c r="A250" s="10"/>
      <c r="B250" s="10"/>
    </row>
    <row r="251" spans="1:2" ht="14.25" customHeight="1" x14ac:dyDescent="0.3">
      <c r="A251" s="10"/>
      <c r="B251" s="10"/>
    </row>
    <row r="252" spans="1:2" ht="14.25" customHeight="1" x14ac:dyDescent="0.3">
      <c r="A252" s="10"/>
      <c r="B252" s="10"/>
    </row>
    <row r="253" spans="1:2" ht="14.25" customHeight="1" x14ac:dyDescent="0.3">
      <c r="A253" s="10"/>
      <c r="B253" s="10"/>
    </row>
    <row r="254" spans="1:2" ht="14.25" customHeight="1" x14ac:dyDescent="0.3">
      <c r="A254" s="10"/>
      <c r="B254" s="10"/>
    </row>
    <row r="255" spans="1:2" ht="14.25" customHeight="1" x14ac:dyDescent="0.3">
      <c r="A255" s="10"/>
      <c r="B255" s="10"/>
    </row>
    <row r="256" spans="1:2" ht="14.25" customHeight="1" x14ac:dyDescent="0.3">
      <c r="A256" s="10"/>
      <c r="B256" s="10"/>
    </row>
    <row r="257" spans="1:2" ht="14.25" customHeight="1" x14ac:dyDescent="0.3">
      <c r="A257" s="10"/>
      <c r="B257" s="10"/>
    </row>
    <row r="258" spans="1:2" ht="14.25" customHeight="1" x14ac:dyDescent="0.3">
      <c r="A258" s="10"/>
      <c r="B258" s="10"/>
    </row>
    <row r="259" spans="1:2" ht="14.25" customHeight="1" x14ac:dyDescent="0.3">
      <c r="A259" s="10"/>
      <c r="B259" s="10"/>
    </row>
    <row r="260" spans="1:2" ht="14.25" customHeight="1" x14ac:dyDescent="0.3">
      <c r="A260" s="10"/>
      <c r="B260" s="10"/>
    </row>
    <row r="261" spans="1:2" ht="14.25" customHeight="1" x14ac:dyDescent="0.3">
      <c r="A261" s="10"/>
      <c r="B261" s="10"/>
    </row>
    <row r="262" spans="1:2" ht="14.25" customHeight="1" x14ac:dyDescent="0.3">
      <c r="A262" s="10"/>
      <c r="B262" s="10"/>
    </row>
    <row r="263" spans="1:2" ht="14.25" customHeight="1" x14ac:dyDescent="0.3">
      <c r="A263" s="10"/>
      <c r="B263" s="10"/>
    </row>
    <row r="264" spans="1:2" ht="14.25" customHeight="1" x14ac:dyDescent="0.3">
      <c r="A264" s="10"/>
      <c r="B264" s="10"/>
    </row>
    <row r="265" spans="1:2" ht="14.25" customHeight="1" x14ac:dyDescent="0.3">
      <c r="A265" s="10"/>
      <c r="B265" s="10"/>
    </row>
    <row r="266" spans="1:2" ht="14.25" customHeight="1" x14ac:dyDescent="0.3">
      <c r="A266" s="10"/>
      <c r="B266" s="10"/>
    </row>
    <row r="267" spans="1:2" ht="14.25" customHeight="1" x14ac:dyDescent="0.3">
      <c r="A267" s="10"/>
      <c r="B267" s="10"/>
    </row>
    <row r="268" spans="1:2" ht="14.25" customHeight="1" x14ac:dyDescent="0.3">
      <c r="A268" s="10"/>
      <c r="B268" s="10"/>
    </row>
    <row r="269" spans="1:2" ht="14.25" customHeight="1" x14ac:dyDescent="0.3">
      <c r="A269" s="10"/>
      <c r="B269" s="10"/>
    </row>
    <row r="270" spans="1:2" ht="14.25" customHeight="1" x14ac:dyDescent="0.3">
      <c r="A270" s="10"/>
      <c r="B270" s="10"/>
    </row>
    <row r="271" spans="1:2" ht="14.25" customHeight="1" x14ac:dyDescent="0.3">
      <c r="A271" s="10"/>
      <c r="B271" s="10"/>
    </row>
    <row r="272" spans="1:2" ht="14.25" customHeight="1" x14ac:dyDescent="0.3">
      <c r="A272" s="10"/>
      <c r="B272" s="10"/>
    </row>
    <row r="273" spans="1:2" ht="14.25" customHeight="1" x14ac:dyDescent="0.3">
      <c r="A273" s="10"/>
      <c r="B273" s="10"/>
    </row>
    <row r="274" spans="1:2" ht="14.25" customHeight="1" x14ac:dyDescent="0.3">
      <c r="A274" s="10"/>
      <c r="B274" s="10"/>
    </row>
    <row r="275" spans="1:2" ht="14.25" customHeight="1" x14ac:dyDescent="0.3">
      <c r="A275" s="10"/>
      <c r="B275" s="10"/>
    </row>
    <row r="276" spans="1:2" ht="14.25" customHeight="1" x14ac:dyDescent="0.3">
      <c r="A276" s="10"/>
      <c r="B276" s="10"/>
    </row>
    <row r="277" spans="1:2" ht="14.25" customHeight="1" x14ac:dyDescent="0.3">
      <c r="A277" s="10"/>
      <c r="B277" s="10"/>
    </row>
    <row r="278" spans="1:2" ht="14.25" customHeight="1" x14ac:dyDescent="0.3">
      <c r="A278" s="10"/>
      <c r="B278" s="10"/>
    </row>
    <row r="279" spans="1:2" ht="14.25" customHeight="1" x14ac:dyDescent="0.3">
      <c r="A279" s="10"/>
      <c r="B279" s="10"/>
    </row>
    <row r="280" spans="1:2" ht="14.25" customHeight="1" x14ac:dyDescent="0.3">
      <c r="A280" s="10"/>
      <c r="B280" s="10"/>
    </row>
    <row r="281" spans="1:2" ht="14.25" customHeight="1" x14ac:dyDescent="0.3">
      <c r="A281" s="10"/>
      <c r="B281" s="10"/>
    </row>
    <row r="282" spans="1:2" ht="14.25" customHeight="1" x14ac:dyDescent="0.3">
      <c r="A282" s="10"/>
      <c r="B282" s="10"/>
    </row>
    <row r="283" spans="1:2" ht="14.25" customHeight="1" x14ac:dyDescent="0.3">
      <c r="A283" s="10"/>
      <c r="B283" s="10"/>
    </row>
    <row r="284" spans="1:2" ht="14.25" customHeight="1" x14ac:dyDescent="0.3">
      <c r="A284" s="10"/>
      <c r="B284" s="10"/>
    </row>
    <row r="285" spans="1:2" ht="14.25" customHeight="1" x14ac:dyDescent="0.3">
      <c r="A285" s="10"/>
      <c r="B285" s="10"/>
    </row>
    <row r="286" spans="1:2" ht="14.25" customHeight="1" x14ac:dyDescent="0.3">
      <c r="A286" s="10"/>
      <c r="B286" s="10"/>
    </row>
    <row r="287" spans="1:2" ht="14.25" customHeight="1" x14ac:dyDescent="0.3">
      <c r="A287" s="10"/>
      <c r="B287" s="10"/>
    </row>
    <row r="288" spans="1:2" ht="14.25" customHeight="1" x14ac:dyDescent="0.3">
      <c r="A288" s="10"/>
      <c r="B288" s="10"/>
    </row>
    <row r="289" spans="1:2" ht="14.25" customHeight="1" x14ac:dyDescent="0.3">
      <c r="A289" s="10"/>
      <c r="B289" s="10"/>
    </row>
    <row r="290" spans="1:2" ht="14.25" customHeight="1" x14ac:dyDescent="0.3">
      <c r="A290" s="10"/>
      <c r="B290" s="10"/>
    </row>
    <row r="291" spans="1:2" ht="14.25" customHeight="1" x14ac:dyDescent="0.3">
      <c r="A291" s="10"/>
      <c r="B291" s="10"/>
    </row>
    <row r="292" spans="1:2" ht="14.25" customHeight="1" x14ac:dyDescent="0.3">
      <c r="A292" s="10"/>
      <c r="B292" s="10"/>
    </row>
    <row r="293" spans="1:2" ht="14.25" customHeight="1" x14ac:dyDescent="0.3">
      <c r="A293" s="10"/>
      <c r="B293" s="10"/>
    </row>
    <row r="294" spans="1:2" ht="14.25" customHeight="1" x14ac:dyDescent="0.3">
      <c r="A294" s="10"/>
      <c r="B294" s="10"/>
    </row>
    <row r="295" spans="1:2" ht="14.25" customHeight="1" x14ac:dyDescent="0.3">
      <c r="A295" s="10"/>
      <c r="B295" s="10"/>
    </row>
    <row r="296" spans="1:2" ht="14.25" customHeight="1" x14ac:dyDescent="0.3">
      <c r="A296" s="10"/>
      <c r="B296" s="10"/>
    </row>
    <row r="297" spans="1:2" ht="14.25" customHeight="1" x14ac:dyDescent="0.3">
      <c r="A297" s="10"/>
      <c r="B297" s="10"/>
    </row>
    <row r="298" spans="1:2" ht="14.25" customHeight="1" x14ac:dyDescent="0.3">
      <c r="A298" s="10"/>
      <c r="B298" s="10"/>
    </row>
    <row r="299" spans="1:2" ht="14.25" customHeight="1" x14ac:dyDescent="0.3">
      <c r="A299" s="10"/>
      <c r="B299" s="10"/>
    </row>
    <row r="300" spans="1:2" ht="14.25" customHeight="1" x14ac:dyDescent="0.3">
      <c r="A300" s="10"/>
      <c r="B300" s="10"/>
    </row>
    <row r="301" spans="1:2" ht="14.25" customHeight="1" x14ac:dyDescent="0.3">
      <c r="A301" s="10"/>
      <c r="B301" s="10"/>
    </row>
    <row r="302" spans="1:2" ht="14.25" customHeight="1" x14ac:dyDescent="0.3">
      <c r="A302" s="10"/>
      <c r="B302" s="10"/>
    </row>
    <row r="303" spans="1:2" ht="14.25" customHeight="1" x14ac:dyDescent="0.3">
      <c r="A303" s="10"/>
      <c r="B303" s="10"/>
    </row>
    <row r="304" spans="1:2" ht="14.25" customHeight="1" x14ac:dyDescent="0.3">
      <c r="A304" s="10"/>
      <c r="B304" s="10"/>
    </row>
    <row r="305" spans="1:2" ht="14.25" customHeight="1" x14ac:dyDescent="0.3">
      <c r="A305" s="10"/>
      <c r="B305" s="10"/>
    </row>
    <row r="306" spans="1:2" ht="14.25" customHeight="1" x14ac:dyDescent="0.3">
      <c r="A306" s="10"/>
      <c r="B306" s="10"/>
    </row>
    <row r="307" spans="1:2" ht="14.25" customHeight="1" x14ac:dyDescent="0.3">
      <c r="A307" s="10"/>
      <c r="B307" s="10"/>
    </row>
    <row r="308" spans="1:2" ht="14.25" customHeight="1" x14ac:dyDescent="0.3">
      <c r="A308" s="10"/>
      <c r="B308" s="10"/>
    </row>
    <row r="309" spans="1:2" ht="14.25" customHeight="1" x14ac:dyDescent="0.3">
      <c r="A309" s="10"/>
      <c r="B309" s="10"/>
    </row>
    <row r="310" spans="1:2" ht="14.25" customHeight="1" x14ac:dyDescent="0.3">
      <c r="A310" s="10"/>
      <c r="B310" s="10"/>
    </row>
    <row r="311" spans="1:2" ht="14.25" customHeight="1" x14ac:dyDescent="0.3">
      <c r="A311" s="10"/>
      <c r="B311" s="10"/>
    </row>
    <row r="312" spans="1:2" ht="14.25" customHeight="1" x14ac:dyDescent="0.3">
      <c r="A312" s="10"/>
      <c r="B312" s="10"/>
    </row>
    <row r="313" spans="1:2" ht="14.25" customHeight="1" x14ac:dyDescent="0.3">
      <c r="A313" s="10"/>
      <c r="B313" s="10"/>
    </row>
    <row r="314" spans="1:2" ht="14.25" customHeight="1" x14ac:dyDescent="0.3">
      <c r="A314" s="10"/>
      <c r="B314" s="10"/>
    </row>
    <row r="315" spans="1:2" ht="14.25" customHeight="1" x14ac:dyDescent="0.3">
      <c r="A315" s="10"/>
      <c r="B315" s="10"/>
    </row>
    <row r="316" spans="1:2" ht="14.25" customHeight="1" x14ac:dyDescent="0.3">
      <c r="A316" s="10"/>
      <c r="B316" s="10"/>
    </row>
    <row r="317" spans="1:2" ht="14.25" customHeight="1" x14ac:dyDescent="0.3">
      <c r="A317" s="10"/>
      <c r="B317" s="10"/>
    </row>
    <row r="318" spans="1:2" ht="14.25" customHeight="1" x14ac:dyDescent="0.3">
      <c r="A318" s="10"/>
      <c r="B318" s="10"/>
    </row>
    <row r="319" spans="1:2" ht="14.25" customHeight="1" x14ac:dyDescent="0.3">
      <c r="A319" s="10"/>
      <c r="B319" s="10"/>
    </row>
    <row r="320" spans="1:2" ht="14.25" customHeight="1" x14ac:dyDescent="0.3">
      <c r="A320" s="10"/>
      <c r="B320" s="10"/>
    </row>
    <row r="321" spans="1:2" ht="14.25" customHeight="1" x14ac:dyDescent="0.3">
      <c r="A321" s="10"/>
      <c r="B321" s="10"/>
    </row>
    <row r="322" spans="1:2" ht="14.25" customHeight="1" x14ac:dyDescent="0.3">
      <c r="A322" s="10"/>
      <c r="B322" s="10"/>
    </row>
    <row r="323" spans="1:2" ht="14.25" customHeight="1" x14ac:dyDescent="0.3">
      <c r="A323" s="10"/>
      <c r="B323" s="10"/>
    </row>
    <row r="324" spans="1:2" ht="14.25" customHeight="1" x14ac:dyDescent="0.3">
      <c r="A324" s="10"/>
      <c r="B324" s="10"/>
    </row>
    <row r="325" spans="1:2" ht="14.25" customHeight="1" x14ac:dyDescent="0.3">
      <c r="A325" s="10"/>
      <c r="B325" s="10"/>
    </row>
    <row r="326" spans="1:2" ht="14.25" customHeight="1" x14ac:dyDescent="0.3">
      <c r="A326" s="10"/>
      <c r="B326" s="10"/>
    </row>
    <row r="327" spans="1:2" ht="14.25" customHeight="1" x14ac:dyDescent="0.3">
      <c r="A327" s="10"/>
      <c r="B327" s="10"/>
    </row>
    <row r="328" spans="1:2" ht="14.25" customHeight="1" x14ac:dyDescent="0.3">
      <c r="A328" s="10"/>
      <c r="B328" s="10"/>
    </row>
    <row r="329" spans="1:2" ht="14.25" customHeight="1" x14ac:dyDescent="0.3">
      <c r="A329" s="10"/>
      <c r="B329" s="10"/>
    </row>
    <row r="330" spans="1:2" ht="14.25" customHeight="1" x14ac:dyDescent="0.3">
      <c r="A330" s="10"/>
      <c r="B330" s="10"/>
    </row>
    <row r="331" spans="1:2" ht="14.25" customHeight="1" x14ac:dyDescent="0.3">
      <c r="A331" s="10"/>
      <c r="B331" s="10"/>
    </row>
    <row r="332" spans="1:2" ht="14.25" customHeight="1" x14ac:dyDescent="0.3">
      <c r="A332" s="10"/>
      <c r="B332" s="10"/>
    </row>
    <row r="333" spans="1:2" ht="14.25" customHeight="1" x14ac:dyDescent="0.3">
      <c r="A333" s="10"/>
      <c r="B333" s="10"/>
    </row>
    <row r="334" spans="1:2" ht="14.25" customHeight="1" x14ac:dyDescent="0.3">
      <c r="A334" s="10"/>
      <c r="B334" s="10"/>
    </row>
    <row r="335" spans="1:2" ht="14.25" customHeight="1" x14ac:dyDescent="0.3">
      <c r="A335" s="10"/>
      <c r="B335" s="10"/>
    </row>
    <row r="336" spans="1:2" ht="14.25" customHeight="1" x14ac:dyDescent="0.3">
      <c r="A336" s="10"/>
      <c r="B336" s="10"/>
    </row>
    <row r="337" spans="1:2" ht="14.25" customHeight="1" x14ac:dyDescent="0.3">
      <c r="A337" s="10"/>
      <c r="B337" s="10"/>
    </row>
    <row r="338" spans="1:2" ht="14.25" customHeight="1" x14ac:dyDescent="0.3">
      <c r="A338" s="10"/>
      <c r="B338" s="10"/>
    </row>
    <row r="339" spans="1:2" ht="14.25" customHeight="1" x14ac:dyDescent="0.3">
      <c r="A339" s="10"/>
      <c r="B339" s="10"/>
    </row>
    <row r="340" spans="1:2" ht="14.25" customHeight="1" x14ac:dyDescent="0.3">
      <c r="A340" s="10"/>
      <c r="B340" s="10"/>
    </row>
    <row r="341" spans="1:2" ht="14.25" customHeight="1" x14ac:dyDescent="0.3">
      <c r="A341" s="10"/>
      <c r="B341" s="10"/>
    </row>
    <row r="342" spans="1:2" ht="14.25" customHeight="1" x14ac:dyDescent="0.3">
      <c r="A342" s="10"/>
      <c r="B342" s="10"/>
    </row>
    <row r="343" spans="1:2" ht="14.25" customHeight="1" x14ac:dyDescent="0.3">
      <c r="A343" s="10"/>
      <c r="B343" s="10"/>
    </row>
    <row r="344" spans="1:2" ht="14.25" customHeight="1" x14ac:dyDescent="0.3">
      <c r="A344" s="10"/>
      <c r="B344" s="10"/>
    </row>
    <row r="345" spans="1:2" ht="14.25" customHeight="1" x14ac:dyDescent="0.3">
      <c r="A345" s="10"/>
      <c r="B345" s="10"/>
    </row>
    <row r="346" spans="1:2" ht="14.25" customHeight="1" x14ac:dyDescent="0.3">
      <c r="A346" s="10"/>
      <c r="B346" s="10"/>
    </row>
    <row r="347" spans="1:2" ht="14.25" customHeight="1" x14ac:dyDescent="0.3">
      <c r="A347" s="10"/>
      <c r="B347" s="10"/>
    </row>
    <row r="348" spans="1:2" ht="14.25" customHeight="1" x14ac:dyDescent="0.3">
      <c r="A348" s="10"/>
      <c r="B348" s="10"/>
    </row>
    <row r="349" spans="1:2" ht="14.25" customHeight="1" x14ac:dyDescent="0.3">
      <c r="A349" s="10"/>
      <c r="B349" s="10"/>
    </row>
    <row r="350" spans="1:2" ht="14.25" customHeight="1" x14ac:dyDescent="0.3">
      <c r="A350" s="10"/>
      <c r="B350" s="10"/>
    </row>
    <row r="351" spans="1:2" ht="14.25" customHeight="1" x14ac:dyDescent="0.3">
      <c r="A351" s="10"/>
      <c r="B351" s="10"/>
    </row>
    <row r="352" spans="1:2" ht="14.25" customHeight="1" x14ac:dyDescent="0.3">
      <c r="A352" s="10"/>
      <c r="B352" s="10"/>
    </row>
    <row r="353" spans="1:2" ht="14.25" customHeight="1" x14ac:dyDescent="0.3">
      <c r="A353" s="10"/>
      <c r="B353" s="10"/>
    </row>
    <row r="354" spans="1:2" ht="14.25" customHeight="1" x14ac:dyDescent="0.3">
      <c r="A354" s="10"/>
      <c r="B354" s="10"/>
    </row>
    <row r="355" spans="1:2" ht="14.25" customHeight="1" x14ac:dyDescent="0.3">
      <c r="A355" s="10"/>
      <c r="B355" s="10"/>
    </row>
    <row r="356" spans="1:2" ht="14.25" customHeight="1" x14ac:dyDescent="0.3">
      <c r="A356" s="10"/>
      <c r="B356" s="10"/>
    </row>
    <row r="357" spans="1:2" ht="14.25" customHeight="1" x14ac:dyDescent="0.3">
      <c r="A357" s="10"/>
      <c r="B357" s="10"/>
    </row>
    <row r="358" spans="1:2" ht="14.25" customHeight="1" x14ac:dyDescent="0.3">
      <c r="A358" s="10"/>
      <c r="B358" s="10"/>
    </row>
    <row r="359" spans="1:2" ht="14.25" customHeight="1" x14ac:dyDescent="0.3">
      <c r="A359" s="10"/>
      <c r="B359" s="10"/>
    </row>
    <row r="360" spans="1:2" ht="14.25" customHeight="1" x14ac:dyDescent="0.3">
      <c r="A360" s="10"/>
      <c r="B360" s="10"/>
    </row>
    <row r="361" spans="1:2" ht="14.25" customHeight="1" x14ac:dyDescent="0.3">
      <c r="A361" s="10"/>
      <c r="B361" s="10"/>
    </row>
    <row r="362" spans="1:2" ht="14.25" customHeight="1" x14ac:dyDescent="0.3">
      <c r="A362" s="10"/>
      <c r="B362" s="10"/>
    </row>
    <row r="363" spans="1:2" ht="14.25" customHeight="1" x14ac:dyDescent="0.3">
      <c r="A363" s="10"/>
      <c r="B363" s="10"/>
    </row>
    <row r="364" spans="1:2" ht="14.25" customHeight="1" x14ac:dyDescent="0.3">
      <c r="A364" s="10"/>
      <c r="B364" s="10"/>
    </row>
    <row r="365" spans="1:2" ht="14.25" customHeight="1" x14ac:dyDescent="0.3">
      <c r="A365" s="10"/>
      <c r="B365" s="10"/>
    </row>
    <row r="366" spans="1:2" ht="14.25" customHeight="1" x14ac:dyDescent="0.3">
      <c r="A366" s="10"/>
      <c r="B366" s="10"/>
    </row>
    <row r="367" spans="1:2" ht="14.25" customHeight="1" x14ac:dyDescent="0.3">
      <c r="A367" s="10"/>
      <c r="B367" s="10"/>
    </row>
    <row r="368" spans="1:2" ht="14.25" customHeight="1" x14ac:dyDescent="0.3">
      <c r="A368" s="10"/>
      <c r="B368" s="10"/>
    </row>
    <row r="369" spans="1:2" ht="14.25" customHeight="1" x14ac:dyDescent="0.3">
      <c r="A369" s="10"/>
      <c r="B369" s="10"/>
    </row>
    <row r="370" spans="1:2" ht="14.25" customHeight="1" x14ac:dyDescent="0.3">
      <c r="A370" s="10"/>
      <c r="B370" s="10"/>
    </row>
    <row r="371" spans="1:2" ht="14.25" customHeight="1" x14ac:dyDescent="0.3">
      <c r="A371" s="10"/>
      <c r="B371" s="10"/>
    </row>
    <row r="372" spans="1:2" ht="14.25" customHeight="1" x14ac:dyDescent="0.3">
      <c r="A372" s="10"/>
      <c r="B372" s="10"/>
    </row>
    <row r="373" spans="1:2" ht="14.25" customHeight="1" x14ac:dyDescent="0.3">
      <c r="A373" s="10"/>
      <c r="B373" s="10"/>
    </row>
    <row r="374" spans="1:2" ht="14.25" customHeight="1" x14ac:dyDescent="0.3">
      <c r="A374" s="10"/>
      <c r="B374" s="10"/>
    </row>
    <row r="375" spans="1:2" ht="14.25" customHeight="1" x14ac:dyDescent="0.3">
      <c r="A375" s="10"/>
      <c r="B375" s="10"/>
    </row>
    <row r="376" spans="1:2" ht="14.25" customHeight="1" x14ac:dyDescent="0.3">
      <c r="A376" s="10"/>
      <c r="B376" s="10"/>
    </row>
    <row r="377" spans="1:2" ht="14.25" customHeight="1" x14ac:dyDescent="0.3">
      <c r="A377" s="10"/>
      <c r="B377" s="10"/>
    </row>
    <row r="378" spans="1:2" ht="14.25" customHeight="1" x14ac:dyDescent="0.3">
      <c r="A378" s="10"/>
      <c r="B378" s="10"/>
    </row>
    <row r="379" spans="1:2" ht="14.25" customHeight="1" x14ac:dyDescent="0.3">
      <c r="A379" s="10"/>
      <c r="B379" s="10"/>
    </row>
    <row r="380" spans="1:2" ht="14.25" customHeight="1" x14ac:dyDescent="0.3">
      <c r="A380" s="10"/>
      <c r="B380" s="10"/>
    </row>
    <row r="381" spans="1:2" ht="14.25" customHeight="1" x14ac:dyDescent="0.3">
      <c r="A381" s="10"/>
      <c r="B381" s="10"/>
    </row>
    <row r="382" spans="1:2" ht="14.25" customHeight="1" x14ac:dyDescent="0.3">
      <c r="A382" s="10"/>
      <c r="B382" s="10"/>
    </row>
    <row r="383" spans="1:2" ht="14.25" customHeight="1" x14ac:dyDescent="0.3">
      <c r="A383" s="10"/>
      <c r="B383" s="10"/>
    </row>
    <row r="384" spans="1:2" ht="14.25" customHeight="1" x14ac:dyDescent="0.3">
      <c r="A384" s="10"/>
      <c r="B384" s="10"/>
    </row>
    <row r="385" spans="1:2" ht="14.25" customHeight="1" x14ac:dyDescent="0.3">
      <c r="A385" s="10"/>
      <c r="B385" s="10"/>
    </row>
    <row r="386" spans="1:2" ht="14.25" customHeight="1" x14ac:dyDescent="0.3">
      <c r="A386" s="10"/>
      <c r="B386" s="10"/>
    </row>
    <row r="387" spans="1:2" ht="14.25" customHeight="1" x14ac:dyDescent="0.3">
      <c r="A387" s="10"/>
      <c r="B387" s="10"/>
    </row>
    <row r="388" spans="1:2" ht="14.25" customHeight="1" x14ac:dyDescent="0.3">
      <c r="A388" s="10"/>
      <c r="B388" s="10"/>
    </row>
    <row r="389" spans="1:2" ht="14.25" customHeight="1" x14ac:dyDescent="0.3">
      <c r="A389" s="10"/>
      <c r="B389" s="10"/>
    </row>
    <row r="390" spans="1:2" ht="14.25" customHeight="1" x14ac:dyDescent="0.3">
      <c r="A390" s="10"/>
      <c r="B390" s="10"/>
    </row>
    <row r="391" spans="1:2" ht="14.25" customHeight="1" x14ac:dyDescent="0.3">
      <c r="A391" s="10"/>
      <c r="B391" s="10"/>
    </row>
    <row r="392" spans="1:2" ht="14.25" customHeight="1" x14ac:dyDescent="0.3">
      <c r="A392" s="10"/>
      <c r="B392" s="10"/>
    </row>
    <row r="393" spans="1:2" ht="14.25" customHeight="1" x14ac:dyDescent="0.3">
      <c r="A393" s="10"/>
      <c r="B393" s="10"/>
    </row>
    <row r="394" spans="1:2" ht="14.25" customHeight="1" x14ac:dyDescent="0.3">
      <c r="A394" s="10"/>
      <c r="B394" s="10"/>
    </row>
    <row r="395" spans="1:2" ht="14.25" customHeight="1" x14ac:dyDescent="0.3">
      <c r="A395" s="10"/>
      <c r="B395" s="10"/>
    </row>
    <row r="396" spans="1:2" ht="14.25" customHeight="1" x14ac:dyDescent="0.3">
      <c r="A396" s="10"/>
      <c r="B396" s="10"/>
    </row>
    <row r="397" spans="1:2" ht="14.25" customHeight="1" x14ac:dyDescent="0.3">
      <c r="A397" s="10"/>
      <c r="B397" s="10"/>
    </row>
    <row r="398" spans="1:2" ht="14.25" customHeight="1" x14ac:dyDescent="0.3">
      <c r="A398" s="10"/>
      <c r="B398" s="10"/>
    </row>
    <row r="399" spans="1:2" ht="14.25" customHeight="1" x14ac:dyDescent="0.3">
      <c r="A399" s="10"/>
      <c r="B399" s="10"/>
    </row>
    <row r="400" spans="1:2" ht="14.25" customHeight="1" x14ac:dyDescent="0.3">
      <c r="A400" s="10"/>
      <c r="B400" s="10"/>
    </row>
    <row r="401" spans="1:2" ht="14.25" customHeight="1" x14ac:dyDescent="0.3">
      <c r="A401" s="10"/>
      <c r="B401" s="10"/>
    </row>
    <row r="402" spans="1:2" ht="14.25" customHeight="1" x14ac:dyDescent="0.3">
      <c r="A402" s="10"/>
      <c r="B402" s="10"/>
    </row>
    <row r="403" spans="1:2" ht="14.25" customHeight="1" x14ac:dyDescent="0.3">
      <c r="A403" s="10"/>
      <c r="B403" s="10"/>
    </row>
    <row r="404" spans="1:2" ht="14.25" customHeight="1" x14ac:dyDescent="0.3">
      <c r="A404" s="10"/>
      <c r="B404" s="10"/>
    </row>
    <row r="405" spans="1:2" ht="14.25" customHeight="1" x14ac:dyDescent="0.3">
      <c r="A405" s="10"/>
      <c r="B405" s="10"/>
    </row>
    <row r="406" spans="1:2" ht="14.25" customHeight="1" x14ac:dyDescent="0.3">
      <c r="A406" s="10"/>
      <c r="B406" s="10"/>
    </row>
    <row r="407" spans="1:2" ht="14.25" customHeight="1" x14ac:dyDescent="0.3">
      <c r="A407" s="10"/>
      <c r="B407" s="10"/>
    </row>
    <row r="408" spans="1:2" ht="14.25" customHeight="1" x14ac:dyDescent="0.3">
      <c r="A408" s="10"/>
      <c r="B408" s="10"/>
    </row>
    <row r="409" spans="1:2" ht="14.25" customHeight="1" x14ac:dyDescent="0.3">
      <c r="A409" s="10"/>
      <c r="B409" s="10"/>
    </row>
    <row r="410" spans="1:2" ht="14.25" customHeight="1" x14ac:dyDescent="0.3">
      <c r="A410" s="10"/>
      <c r="B410" s="10"/>
    </row>
    <row r="411" spans="1:2" ht="14.25" customHeight="1" x14ac:dyDescent="0.3">
      <c r="A411" s="10"/>
      <c r="B411" s="10"/>
    </row>
    <row r="412" spans="1:2" ht="14.25" customHeight="1" x14ac:dyDescent="0.3">
      <c r="A412" s="10"/>
      <c r="B412" s="10"/>
    </row>
    <row r="413" spans="1:2" ht="14.25" customHeight="1" x14ac:dyDescent="0.3">
      <c r="A413" s="10"/>
      <c r="B413" s="10"/>
    </row>
    <row r="414" spans="1:2" ht="14.25" customHeight="1" x14ac:dyDescent="0.3">
      <c r="A414" s="10"/>
      <c r="B414" s="10"/>
    </row>
    <row r="415" spans="1:2" ht="14.25" customHeight="1" x14ac:dyDescent="0.3">
      <c r="A415" s="10"/>
      <c r="B415" s="10"/>
    </row>
    <row r="416" spans="1:2" ht="14.25" customHeight="1" x14ac:dyDescent="0.3">
      <c r="A416" s="10"/>
      <c r="B416" s="10"/>
    </row>
    <row r="417" spans="1:2" ht="14.25" customHeight="1" x14ac:dyDescent="0.3">
      <c r="A417" s="10"/>
      <c r="B417" s="10"/>
    </row>
    <row r="418" spans="1:2" ht="14.25" customHeight="1" x14ac:dyDescent="0.3">
      <c r="A418" s="10"/>
      <c r="B418" s="10"/>
    </row>
    <row r="419" spans="1:2" ht="14.25" customHeight="1" x14ac:dyDescent="0.3">
      <c r="A419" s="10"/>
      <c r="B419" s="10"/>
    </row>
    <row r="420" spans="1:2" ht="14.25" customHeight="1" x14ac:dyDescent="0.3">
      <c r="A420" s="10"/>
      <c r="B420" s="10"/>
    </row>
    <row r="421" spans="1:2" ht="14.25" customHeight="1" x14ac:dyDescent="0.3">
      <c r="A421" s="10"/>
      <c r="B421" s="10"/>
    </row>
    <row r="422" spans="1:2" ht="14.25" customHeight="1" x14ac:dyDescent="0.3">
      <c r="A422" s="10"/>
      <c r="B422" s="10"/>
    </row>
    <row r="423" spans="1:2" ht="14.25" customHeight="1" x14ac:dyDescent="0.3">
      <c r="A423" s="10"/>
      <c r="B423" s="10"/>
    </row>
    <row r="424" spans="1:2" ht="14.25" customHeight="1" x14ac:dyDescent="0.3">
      <c r="A424" s="10"/>
      <c r="B424" s="10"/>
    </row>
    <row r="425" spans="1:2" ht="14.25" customHeight="1" x14ac:dyDescent="0.3">
      <c r="A425" s="10"/>
      <c r="B425" s="10"/>
    </row>
    <row r="426" spans="1:2" ht="14.25" customHeight="1" x14ac:dyDescent="0.3">
      <c r="A426" s="10"/>
      <c r="B426" s="10"/>
    </row>
    <row r="427" spans="1:2" ht="14.25" customHeight="1" x14ac:dyDescent="0.3">
      <c r="A427" s="10"/>
      <c r="B427" s="10"/>
    </row>
    <row r="428" spans="1:2" ht="14.25" customHeight="1" x14ac:dyDescent="0.3">
      <c r="A428" s="10"/>
      <c r="B428" s="10"/>
    </row>
    <row r="429" spans="1:2" ht="14.25" customHeight="1" x14ac:dyDescent="0.3">
      <c r="A429" s="10"/>
      <c r="B429" s="10"/>
    </row>
    <row r="430" spans="1:2" ht="14.25" customHeight="1" x14ac:dyDescent="0.3">
      <c r="A430" s="10"/>
      <c r="B430" s="10"/>
    </row>
    <row r="431" spans="1:2" ht="14.25" customHeight="1" x14ac:dyDescent="0.3">
      <c r="A431" s="10"/>
      <c r="B431" s="10"/>
    </row>
    <row r="432" spans="1:2" ht="14.25" customHeight="1" x14ac:dyDescent="0.3">
      <c r="A432" s="10"/>
      <c r="B432" s="10"/>
    </row>
    <row r="433" spans="1:2" ht="14.25" customHeight="1" x14ac:dyDescent="0.3">
      <c r="A433" s="10"/>
      <c r="B433" s="10"/>
    </row>
    <row r="434" spans="1:2" ht="14.25" customHeight="1" x14ac:dyDescent="0.3">
      <c r="A434" s="10"/>
      <c r="B434" s="10"/>
    </row>
    <row r="435" spans="1:2" ht="14.25" customHeight="1" x14ac:dyDescent="0.3">
      <c r="A435" s="10"/>
      <c r="B435" s="10"/>
    </row>
    <row r="436" spans="1:2" ht="14.25" customHeight="1" x14ac:dyDescent="0.3">
      <c r="A436" s="10"/>
      <c r="B436" s="10"/>
    </row>
    <row r="437" spans="1:2" ht="14.25" customHeight="1" x14ac:dyDescent="0.3">
      <c r="A437" s="10"/>
      <c r="B437" s="10"/>
    </row>
    <row r="438" spans="1:2" ht="14.25" customHeight="1" x14ac:dyDescent="0.3">
      <c r="A438" s="10"/>
      <c r="B438" s="10"/>
    </row>
    <row r="439" spans="1:2" ht="14.25" customHeight="1" x14ac:dyDescent="0.3">
      <c r="A439" s="10"/>
      <c r="B439" s="10"/>
    </row>
    <row r="440" spans="1:2" ht="14.25" customHeight="1" x14ac:dyDescent="0.3">
      <c r="A440" s="10"/>
      <c r="B440" s="10"/>
    </row>
    <row r="441" spans="1:2" ht="14.25" customHeight="1" x14ac:dyDescent="0.3">
      <c r="A441" s="10"/>
      <c r="B441" s="10"/>
    </row>
    <row r="442" spans="1:2" ht="14.25" customHeight="1" x14ac:dyDescent="0.3">
      <c r="A442" s="10"/>
      <c r="B442" s="10"/>
    </row>
    <row r="443" spans="1:2" ht="14.25" customHeight="1" x14ac:dyDescent="0.3">
      <c r="A443" s="10"/>
      <c r="B443" s="10"/>
    </row>
    <row r="444" spans="1:2" ht="14.25" customHeight="1" x14ac:dyDescent="0.3">
      <c r="A444" s="10"/>
      <c r="B444" s="10"/>
    </row>
    <row r="445" spans="1:2" ht="14.25" customHeight="1" x14ac:dyDescent="0.3">
      <c r="A445" s="10"/>
      <c r="B445" s="10"/>
    </row>
    <row r="446" spans="1:2" ht="14.25" customHeight="1" x14ac:dyDescent="0.3">
      <c r="A446" s="10"/>
      <c r="B446" s="10"/>
    </row>
    <row r="447" spans="1:2" ht="14.25" customHeight="1" x14ac:dyDescent="0.3">
      <c r="A447" s="10"/>
      <c r="B447" s="10"/>
    </row>
    <row r="448" spans="1:2" ht="14.25" customHeight="1" x14ac:dyDescent="0.3">
      <c r="A448" s="10"/>
      <c r="B448" s="10"/>
    </row>
    <row r="449" spans="1:2" ht="14.25" customHeight="1" x14ac:dyDescent="0.3">
      <c r="A449" s="10"/>
      <c r="B449" s="10"/>
    </row>
    <row r="450" spans="1:2" ht="14.25" customHeight="1" x14ac:dyDescent="0.3">
      <c r="A450" s="10"/>
      <c r="B450" s="10"/>
    </row>
    <row r="451" spans="1:2" ht="14.25" customHeight="1" x14ac:dyDescent="0.3">
      <c r="A451" s="10"/>
      <c r="B451" s="10"/>
    </row>
    <row r="452" spans="1:2" ht="14.25" customHeight="1" x14ac:dyDescent="0.3">
      <c r="A452" s="10"/>
      <c r="B452" s="10"/>
    </row>
    <row r="453" spans="1:2" ht="14.25" customHeight="1" x14ac:dyDescent="0.3">
      <c r="A453" s="10"/>
      <c r="B453" s="10"/>
    </row>
    <row r="454" spans="1:2" ht="14.25" customHeight="1" x14ac:dyDescent="0.3">
      <c r="A454" s="10"/>
      <c r="B454" s="10"/>
    </row>
    <row r="455" spans="1:2" ht="14.25" customHeight="1" x14ac:dyDescent="0.3">
      <c r="A455" s="10"/>
      <c r="B455" s="10"/>
    </row>
    <row r="456" spans="1:2" ht="14.25" customHeight="1" x14ac:dyDescent="0.3">
      <c r="A456" s="10"/>
      <c r="B456" s="10"/>
    </row>
    <row r="457" spans="1:2" ht="14.25" customHeight="1" x14ac:dyDescent="0.3">
      <c r="A457" s="10"/>
      <c r="B457" s="10"/>
    </row>
    <row r="458" spans="1:2" ht="14.25" customHeight="1" x14ac:dyDescent="0.3">
      <c r="A458" s="10"/>
      <c r="B458" s="10"/>
    </row>
    <row r="459" spans="1:2" ht="14.25" customHeight="1" x14ac:dyDescent="0.3">
      <c r="A459" s="10"/>
      <c r="B459" s="10"/>
    </row>
    <row r="460" spans="1:2" ht="14.25" customHeight="1" x14ac:dyDescent="0.3">
      <c r="A460" s="10"/>
      <c r="B460" s="10"/>
    </row>
    <row r="461" spans="1:2" ht="14.25" customHeight="1" x14ac:dyDescent="0.3">
      <c r="A461" s="10"/>
      <c r="B461" s="10"/>
    </row>
    <row r="462" spans="1:2" ht="14.25" customHeight="1" x14ac:dyDescent="0.3">
      <c r="A462" s="10"/>
      <c r="B462" s="10"/>
    </row>
    <row r="463" spans="1:2" ht="14.25" customHeight="1" x14ac:dyDescent="0.3">
      <c r="A463" s="10"/>
      <c r="B463" s="10"/>
    </row>
    <row r="464" spans="1:2" ht="14.25" customHeight="1" x14ac:dyDescent="0.3">
      <c r="A464" s="10"/>
      <c r="B464" s="10"/>
    </row>
    <row r="465" spans="1:2" ht="14.25" customHeight="1" x14ac:dyDescent="0.3">
      <c r="A465" s="10"/>
      <c r="B465" s="10"/>
    </row>
    <row r="466" spans="1:2" ht="14.25" customHeight="1" x14ac:dyDescent="0.3">
      <c r="A466" s="10"/>
      <c r="B466" s="10"/>
    </row>
    <row r="467" spans="1:2" ht="14.25" customHeight="1" x14ac:dyDescent="0.3">
      <c r="A467" s="10"/>
      <c r="B467" s="10"/>
    </row>
    <row r="468" spans="1:2" ht="14.25" customHeight="1" x14ac:dyDescent="0.3">
      <c r="A468" s="10"/>
      <c r="B468" s="10"/>
    </row>
    <row r="469" spans="1:2" ht="14.25" customHeight="1" x14ac:dyDescent="0.3">
      <c r="A469" s="10"/>
      <c r="B469" s="10"/>
    </row>
    <row r="470" spans="1:2" ht="14.25" customHeight="1" x14ac:dyDescent="0.3">
      <c r="A470" s="10"/>
      <c r="B470" s="10"/>
    </row>
    <row r="471" spans="1:2" ht="14.25" customHeight="1" x14ac:dyDescent="0.3">
      <c r="A471" s="10"/>
      <c r="B471" s="10"/>
    </row>
    <row r="472" spans="1:2" ht="14.25" customHeight="1" x14ac:dyDescent="0.3">
      <c r="A472" s="10"/>
      <c r="B472" s="10"/>
    </row>
    <row r="473" spans="1:2" ht="14.25" customHeight="1" x14ac:dyDescent="0.3">
      <c r="A473" s="10"/>
      <c r="B473" s="10"/>
    </row>
    <row r="474" spans="1:2" ht="14.25" customHeight="1" x14ac:dyDescent="0.3">
      <c r="A474" s="10"/>
      <c r="B474" s="10"/>
    </row>
    <row r="475" spans="1:2" ht="14.25" customHeight="1" x14ac:dyDescent="0.3">
      <c r="A475" s="10"/>
      <c r="B475" s="10"/>
    </row>
    <row r="476" spans="1:2" ht="14.25" customHeight="1" x14ac:dyDescent="0.3">
      <c r="A476" s="10"/>
      <c r="B476" s="10"/>
    </row>
    <row r="477" spans="1:2" ht="14.25" customHeight="1" x14ac:dyDescent="0.3">
      <c r="A477" s="10"/>
      <c r="B477" s="10"/>
    </row>
    <row r="478" spans="1:2" ht="14.25" customHeight="1" x14ac:dyDescent="0.3">
      <c r="A478" s="10"/>
      <c r="B478" s="10"/>
    </row>
    <row r="479" spans="1:2" ht="14.25" customHeight="1" x14ac:dyDescent="0.3">
      <c r="A479" s="10"/>
      <c r="B479" s="10"/>
    </row>
    <row r="480" spans="1:2" ht="14.25" customHeight="1" x14ac:dyDescent="0.3">
      <c r="A480" s="10"/>
      <c r="B480" s="10"/>
    </row>
    <row r="481" spans="1:2" ht="14.25" customHeight="1" x14ac:dyDescent="0.3">
      <c r="A481" s="10"/>
      <c r="B481" s="10"/>
    </row>
    <row r="482" spans="1:2" ht="14.25" customHeight="1" x14ac:dyDescent="0.3">
      <c r="A482" s="10"/>
      <c r="B482" s="10"/>
    </row>
    <row r="483" spans="1:2" ht="14.25" customHeight="1" x14ac:dyDescent="0.3">
      <c r="A483" s="10"/>
      <c r="B483" s="10"/>
    </row>
    <row r="484" spans="1:2" ht="14.25" customHeight="1" x14ac:dyDescent="0.3">
      <c r="A484" s="10"/>
      <c r="B484" s="10"/>
    </row>
    <row r="485" spans="1:2" ht="14.25" customHeight="1" x14ac:dyDescent="0.3">
      <c r="A485" s="10"/>
      <c r="B485" s="10"/>
    </row>
    <row r="486" spans="1:2" ht="14.25" customHeight="1" x14ac:dyDescent="0.3">
      <c r="A486" s="10"/>
      <c r="B486" s="10"/>
    </row>
    <row r="487" spans="1:2" ht="14.25" customHeight="1" x14ac:dyDescent="0.3">
      <c r="A487" s="10"/>
      <c r="B487" s="10"/>
    </row>
    <row r="488" spans="1:2" ht="14.25" customHeight="1" x14ac:dyDescent="0.3">
      <c r="A488" s="10"/>
      <c r="B488" s="10"/>
    </row>
    <row r="489" spans="1:2" ht="14.25" customHeight="1" x14ac:dyDescent="0.3">
      <c r="A489" s="10"/>
      <c r="B489" s="10"/>
    </row>
    <row r="490" spans="1:2" ht="14.25" customHeight="1" x14ac:dyDescent="0.3">
      <c r="A490" s="10"/>
      <c r="B490" s="10"/>
    </row>
    <row r="491" spans="1:2" ht="14.25" customHeight="1" x14ac:dyDescent="0.3">
      <c r="A491" s="10"/>
      <c r="B491" s="10"/>
    </row>
    <row r="492" spans="1:2" ht="14.25" customHeight="1" x14ac:dyDescent="0.3">
      <c r="A492" s="10"/>
      <c r="B492" s="10"/>
    </row>
    <row r="493" spans="1:2" ht="14.25" customHeight="1" x14ac:dyDescent="0.3">
      <c r="A493" s="10"/>
      <c r="B493" s="10"/>
    </row>
    <row r="494" spans="1:2" ht="14.25" customHeight="1" x14ac:dyDescent="0.3">
      <c r="A494" s="10"/>
      <c r="B494" s="10"/>
    </row>
    <row r="495" spans="1:2" ht="14.25" customHeight="1" x14ac:dyDescent="0.3">
      <c r="A495" s="10"/>
      <c r="B495" s="10"/>
    </row>
    <row r="496" spans="1:2" ht="14.25" customHeight="1" x14ac:dyDescent="0.3">
      <c r="A496" s="10"/>
      <c r="B496" s="10"/>
    </row>
    <row r="497" spans="1:2" ht="14.25" customHeight="1" x14ac:dyDescent="0.3">
      <c r="A497" s="10"/>
      <c r="B497" s="10"/>
    </row>
    <row r="498" spans="1:2" ht="14.25" customHeight="1" x14ac:dyDescent="0.3">
      <c r="A498" s="10"/>
      <c r="B498" s="10"/>
    </row>
    <row r="499" spans="1:2" ht="14.25" customHeight="1" x14ac:dyDescent="0.3">
      <c r="A499" s="10"/>
      <c r="B499" s="10"/>
    </row>
    <row r="500" spans="1:2" ht="14.25" customHeight="1" x14ac:dyDescent="0.3">
      <c r="A500" s="10"/>
      <c r="B500" s="10"/>
    </row>
    <row r="501" spans="1:2" ht="14.25" customHeight="1" x14ac:dyDescent="0.3">
      <c r="A501" s="10"/>
      <c r="B501" s="10"/>
    </row>
    <row r="502" spans="1:2" ht="14.25" customHeight="1" x14ac:dyDescent="0.3">
      <c r="A502" s="10"/>
      <c r="B502" s="10"/>
    </row>
    <row r="503" spans="1:2" ht="14.25" customHeight="1" x14ac:dyDescent="0.3">
      <c r="A503" s="10"/>
      <c r="B503" s="10"/>
    </row>
    <row r="504" spans="1:2" ht="14.25" customHeight="1" x14ac:dyDescent="0.3">
      <c r="A504" s="10"/>
      <c r="B504" s="10"/>
    </row>
    <row r="505" spans="1:2" ht="14.25" customHeight="1" x14ac:dyDescent="0.3">
      <c r="A505" s="10"/>
      <c r="B505" s="10"/>
    </row>
    <row r="506" spans="1:2" ht="14.25" customHeight="1" x14ac:dyDescent="0.3">
      <c r="A506" s="10"/>
      <c r="B506" s="10"/>
    </row>
    <row r="507" spans="1:2" ht="14.25" customHeight="1" x14ac:dyDescent="0.3">
      <c r="A507" s="10"/>
      <c r="B507" s="10"/>
    </row>
    <row r="508" spans="1:2" ht="14.25" customHeight="1" x14ac:dyDescent="0.3">
      <c r="A508" s="10"/>
      <c r="B508" s="10"/>
    </row>
    <row r="509" spans="1:2" ht="14.25" customHeight="1" x14ac:dyDescent="0.3">
      <c r="A509" s="10"/>
      <c r="B509" s="10"/>
    </row>
    <row r="510" spans="1:2" ht="14.25" customHeight="1" x14ac:dyDescent="0.3">
      <c r="A510" s="10"/>
      <c r="B510" s="10"/>
    </row>
    <row r="511" spans="1:2" ht="14.25" customHeight="1" x14ac:dyDescent="0.3">
      <c r="A511" s="10"/>
      <c r="B511" s="10"/>
    </row>
    <row r="512" spans="1:2" ht="14.25" customHeight="1" x14ac:dyDescent="0.3">
      <c r="A512" s="10"/>
      <c r="B512" s="10"/>
    </row>
    <row r="513" spans="1:2" ht="14.25" customHeight="1" x14ac:dyDescent="0.3">
      <c r="A513" s="10"/>
      <c r="B513" s="10"/>
    </row>
    <row r="514" spans="1:2" ht="14.25" customHeight="1" x14ac:dyDescent="0.3">
      <c r="A514" s="10"/>
      <c r="B514" s="10"/>
    </row>
    <row r="515" spans="1:2" ht="14.25" customHeight="1" x14ac:dyDescent="0.3">
      <c r="A515" s="10"/>
      <c r="B515" s="10"/>
    </row>
    <row r="516" spans="1:2" ht="14.25" customHeight="1" x14ac:dyDescent="0.3">
      <c r="A516" s="10"/>
      <c r="B516" s="10"/>
    </row>
    <row r="517" spans="1:2" ht="14.25" customHeight="1" x14ac:dyDescent="0.3">
      <c r="A517" s="10"/>
      <c r="B517" s="10"/>
    </row>
    <row r="518" spans="1:2" ht="14.25" customHeight="1" x14ac:dyDescent="0.3">
      <c r="A518" s="10"/>
      <c r="B518" s="10"/>
    </row>
    <row r="519" spans="1:2" ht="14.25" customHeight="1" x14ac:dyDescent="0.3">
      <c r="A519" s="10"/>
      <c r="B519" s="10"/>
    </row>
    <row r="520" spans="1:2" ht="14.25" customHeight="1" x14ac:dyDescent="0.3">
      <c r="A520" s="10"/>
      <c r="B520" s="10"/>
    </row>
    <row r="521" spans="1:2" ht="14.25" customHeight="1" x14ac:dyDescent="0.3">
      <c r="A521" s="10"/>
      <c r="B521" s="10"/>
    </row>
    <row r="522" spans="1:2" ht="14.25" customHeight="1" x14ac:dyDescent="0.3">
      <c r="A522" s="10"/>
      <c r="B522" s="10"/>
    </row>
    <row r="523" spans="1:2" ht="14.25" customHeight="1" x14ac:dyDescent="0.3">
      <c r="A523" s="10"/>
      <c r="B523" s="10"/>
    </row>
    <row r="524" spans="1:2" ht="14.25" customHeight="1" x14ac:dyDescent="0.3">
      <c r="A524" s="10"/>
      <c r="B524" s="10"/>
    </row>
    <row r="525" spans="1:2" ht="14.25" customHeight="1" x14ac:dyDescent="0.3">
      <c r="A525" s="10"/>
      <c r="B525" s="10"/>
    </row>
    <row r="526" spans="1:2" ht="14.25" customHeight="1" x14ac:dyDescent="0.3">
      <c r="A526" s="10"/>
      <c r="B526" s="10"/>
    </row>
    <row r="527" spans="1:2" ht="14.25" customHeight="1" x14ac:dyDescent="0.3">
      <c r="A527" s="10"/>
      <c r="B527" s="10"/>
    </row>
    <row r="528" spans="1:2" ht="14.25" customHeight="1" x14ac:dyDescent="0.3">
      <c r="A528" s="10"/>
      <c r="B528" s="10"/>
    </row>
    <row r="529" spans="1:2" ht="14.25" customHeight="1" x14ac:dyDescent="0.3">
      <c r="A529" s="10"/>
      <c r="B529" s="10"/>
    </row>
    <row r="530" spans="1:2" ht="14.25" customHeight="1" x14ac:dyDescent="0.3">
      <c r="A530" s="10"/>
      <c r="B530" s="10"/>
    </row>
    <row r="531" spans="1:2" ht="14.25" customHeight="1" x14ac:dyDescent="0.3">
      <c r="A531" s="10"/>
      <c r="B531" s="10"/>
    </row>
    <row r="532" spans="1:2" ht="14.25" customHeight="1" x14ac:dyDescent="0.3">
      <c r="A532" s="10"/>
      <c r="B532" s="10"/>
    </row>
    <row r="533" spans="1:2" ht="14.25" customHeight="1" x14ac:dyDescent="0.3">
      <c r="A533" s="10"/>
      <c r="B533" s="10"/>
    </row>
    <row r="534" spans="1:2" ht="14.25" customHeight="1" x14ac:dyDescent="0.3">
      <c r="A534" s="10"/>
      <c r="B534" s="10"/>
    </row>
    <row r="535" spans="1:2" ht="14.25" customHeight="1" x14ac:dyDescent="0.3">
      <c r="A535" s="10"/>
      <c r="B535" s="10"/>
    </row>
    <row r="536" spans="1:2" ht="14.25" customHeight="1" x14ac:dyDescent="0.3">
      <c r="A536" s="10"/>
      <c r="B536" s="10"/>
    </row>
    <row r="537" spans="1:2" ht="14.25" customHeight="1" x14ac:dyDescent="0.3">
      <c r="A537" s="10"/>
      <c r="B537" s="10"/>
    </row>
    <row r="538" spans="1:2" ht="14.25" customHeight="1" x14ac:dyDescent="0.3">
      <c r="A538" s="10"/>
      <c r="B538" s="10"/>
    </row>
    <row r="539" spans="1:2" ht="14.25" customHeight="1" x14ac:dyDescent="0.3">
      <c r="A539" s="10"/>
      <c r="B539" s="10"/>
    </row>
    <row r="540" spans="1:2" ht="14.25" customHeight="1" x14ac:dyDescent="0.3">
      <c r="A540" s="10"/>
      <c r="B540" s="10"/>
    </row>
    <row r="541" spans="1:2" ht="14.25" customHeight="1" x14ac:dyDescent="0.3">
      <c r="A541" s="10"/>
      <c r="B541" s="10"/>
    </row>
    <row r="542" spans="1:2" ht="14.25" customHeight="1" x14ac:dyDescent="0.3">
      <c r="A542" s="10"/>
      <c r="B542" s="10"/>
    </row>
    <row r="543" spans="1:2" ht="14.25" customHeight="1" x14ac:dyDescent="0.3">
      <c r="A543" s="10"/>
      <c r="B543" s="10"/>
    </row>
    <row r="544" spans="1:2" ht="14.25" customHeight="1" x14ac:dyDescent="0.3">
      <c r="A544" s="10"/>
      <c r="B544" s="10"/>
    </row>
    <row r="545" spans="1:2" ht="14.25" customHeight="1" x14ac:dyDescent="0.3">
      <c r="A545" s="10"/>
      <c r="B545" s="10"/>
    </row>
    <row r="546" spans="1:2" ht="14.25" customHeight="1" x14ac:dyDescent="0.3">
      <c r="A546" s="10"/>
      <c r="B546" s="10"/>
    </row>
    <row r="547" spans="1:2" ht="14.25" customHeight="1" x14ac:dyDescent="0.3">
      <c r="A547" s="10"/>
      <c r="B547" s="10"/>
    </row>
    <row r="548" spans="1:2" ht="14.25" customHeight="1" x14ac:dyDescent="0.3">
      <c r="A548" s="10"/>
      <c r="B548" s="10"/>
    </row>
    <row r="549" spans="1:2" ht="14.25" customHeight="1" x14ac:dyDescent="0.3">
      <c r="A549" s="10"/>
      <c r="B549" s="10"/>
    </row>
    <row r="550" spans="1:2" ht="14.25" customHeight="1" x14ac:dyDescent="0.3">
      <c r="A550" s="10"/>
      <c r="B550" s="10"/>
    </row>
    <row r="551" spans="1:2" ht="14.25" customHeight="1" x14ac:dyDescent="0.3">
      <c r="A551" s="10"/>
      <c r="B551" s="10"/>
    </row>
    <row r="552" spans="1:2" ht="14.25" customHeight="1" x14ac:dyDescent="0.3">
      <c r="A552" s="10"/>
      <c r="B552" s="10"/>
    </row>
    <row r="553" spans="1:2" ht="14.25" customHeight="1" x14ac:dyDescent="0.3">
      <c r="A553" s="10"/>
      <c r="B553" s="10"/>
    </row>
    <row r="554" spans="1:2" ht="14.25" customHeight="1" x14ac:dyDescent="0.3">
      <c r="A554" s="10"/>
      <c r="B554" s="10"/>
    </row>
    <row r="555" spans="1:2" ht="14.25" customHeight="1" x14ac:dyDescent="0.3">
      <c r="A555" s="10"/>
      <c r="B555" s="10"/>
    </row>
    <row r="556" spans="1:2" ht="14.25" customHeight="1" x14ac:dyDescent="0.3">
      <c r="A556" s="10"/>
      <c r="B556" s="10"/>
    </row>
    <row r="557" spans="1:2" ht="14.25" customHeight="1" x14ac:dyDescent="0.3">
      <c r="A557" s="10"/>
      <c r="B557" s="10"/>
    </row>
    <row r="558" spans="1:2" ht="14.25" customHeight="1" x14ac:dyDescent="0.3">
      <c r="A558" s="10"/>
      <c r="B558" s="10"/>
    </row>
    <row r="559" spans="1:2" ht="14.25" customHeight="1" x14ac:dyDescent="0.3">
      <c r="A559" s="10"/>
      <c r="B559" s="10"/>
    </row>
    <row r="560" spans="1:2" ht="14.25" customHeight="1" x14ac:dyDescent="0.3">
      <c r="A560" s="10"/>
      <c r="B560" s="10"/>
    </row>
    <row r="561" spans="1:2" ht="14.25" customHeight="1" x14ac:dyDescent="0.3">
      <c r="A561" s="10"/>
      <c r="B561" s="10"/>
    </row>
    <row r="562" spans="1:2" ht="14.25" customHeight="1" x14ac:dyDescent="0.3">
      <c r="A562" s="10"/>
      <c r="B562" s="10"/>
    </row>
    <row r="563" spans="1:2" ht="14.25" customHeight="1" x14ac:dyDescent="0.3">
      <c r="A563" s="10"/>
      <c r="B563" s="10"/>
    </row>
    <row r="564" spans="1:2" ht="14.25" customHeight="1" x14ac:dyDescent="0.3">
      <c r="A564" s="10"/>
      <c r="B564" s="10"/>
    </row>
    <row r="565" spans="1:2" ht="14.25" customHeight="1" x14ac:dyDescent="0.3">
      <c r="A565" s="10"/>
      <c r="B565" s="10"/>
    </row>
    <row r="566" spans="1:2" ht="14.25" customHeight="1" x14ac:dyDescent="0.3">
      <c r="A566" s="10"/>
      <c r="B566" s="10"/>
    </row>
    <row r="567" spans="1:2" ht="14.25" customHeight="1" x14ac:dyDescent="0.3">
      <c r="A567" s="10"/>
      <c r="B567" s="10"/>
    </row>
    <row r="568" spans="1:2" ht="14.25" customHeight="1" x14ac:dyDescent="0.3">
      <c r="A568" s="10"/>
      <c r="B568" s="10"/>
    </row>
    <row r="569" spans="1:2" ht="14.25" customHeight="1" x14ac:dyDescent="0.3">
      <c r="A569" s="10"/>
      <c r="B569" s="10"/>
    </row>
    <row r="570" spans="1:2" ht="14.25" customHeight="1" x14ac:dyDescent="0.3">
      <c r="A570" s="10"/>
      <c r="B570" s="10"/>
    </row>
    <row r="571" spans="1:2" ht="14.25" customHeight="1" x14ac:dyDescent="0.3">
      <c r="A571" s="10"/>
      <c r="B571" s="10"/>
    </row>
    <row r="572" spans="1:2" ht="14.25" customHeight="1" x14ac:dyDescent="0.3">
      <c r="A572" s="10"/>
      <c r="B572" s="10"/>
    </row>
    <row r="573" spans="1:2" ht="14.25" customHeight="1" x14ac:dyDescent="0.3">
      <c r="A573" s="10"/>
      <c r="B573" s="10"/>
    </row>
    <row r="574" spans="1:2" ht="14.25" customHeight="1" x14ac:dyDescent="0.3">
      <c r="A574" s="10"/>
      <c r="B574" s="10"/>
    </row>
    <row r="575" spans="1:2" ht="14.25" customHeight="1" x14ac:dyDescent="0.3">
      <c r="A575" s="10"/>
      <c r="B575" s="10"/>
    </row>
    <row r="576" spans="1:2" ht="14.25" customHeight="1" x14ac:dyDescent="0.3">
      <c r="A576" s="10"/>
      <c r="B576" s="10"/>
    </row>
    <row r="577" spans="1:2" ht="14.25" customHeight="1" x14ac:dyDescent="0.3">
      <c r="A577" s="10"/>
      <c r="B577" s="10"/>
    </row>
    <row r="578" spans="1:2" ht="14.25" customHeight="1" x14ac:dyDescent="0.3">
      <c r="A578" s="10"/>
      <c r="B578" s="10"/>
    </row>
    <row r="579" spans="1:2" ht="14.25" customHeight="1" x14ac:dyDescent="0.3">
      <c r="A579" s="10"/>
      <c r="B579" s="10"/>
    </row>
    <row r="580" spans="1:2" ht="14.25" customHeight="1" x14ac:dyDescent="0.3">
      <c r="A580" s="10"/>
      <c r="B580" s="10"/>
    </row>
    <row r="581" spans="1:2" ht="14.25" customHeight="1" x14ac:dyDescent="0.3">
      <c r="A581" s="10"/>
      <c r="B581" s="10"/>
    </row>
    <row r="582" spans="1:2" ht="14.25" customHeight="1" x14ac:dyDescent="0.3">
      <c r="A582" s="10"/>
      <c r="B582" s="10"/>
    </row>
    <row r="583" spans="1:2" ht="14.25" customHeight="1" x14ac:dyDescent="0.3">
      <c r="A583" s="10"/>
      <c r="B583" s="10"/>
    </row>
    <row r="584" spans="1:2" ht="14.25" customHeight="1" x14ac:dyDescent="0.3">
      <c r="A584" s="10"/>
      <c r="B584" s="10"/>
    </row>
    <row r="585" spans="1:2" ht="14.25" customHeight="1" x14ac:dyDescent="0.3">
      <c r="A585" s="10"/>
      <c r="B585" s="10"/>
    </row>
    <row r="586" spans="1:2" ht="14.25" customHeight="1" x14ac:dyDescent="0.3">
      <c r="A586" s="10"/>
      <c r="B586" s="10"/>
    </row>
    <row r="587" spans="1:2" ht="14.25" customHeight="1" x14ac:dyDescent="0.3">
      <c r="A587" s="10"/>
      <c r="B587" s="10"/>
    </row>
    <row r="588" spans="1:2" ht="14.25" customHeight="1" x14ac:dyDescent="0.3">
      <c r="A588" s="10"/>
      <c r="B588" s="10"/>
    </row>
    <row r="589" spans="1:2" ht="14.25" customHeight="1" x14ac:dyDescent="0.3">
      <c r="A589" s="10"/>
      <c r="B589" s="10"/>
    </row>
    <row r="590" spans="1:2" ht="14.25" customHeight="1" x14ac:dyDescent="0.3">
      <c r="A590" s="10"/>
      <c r="B590" s="10"/>
    </row>
    <row r="591" spans="1:2" ht="14.25" customHeight="1" x14ac:dyDescent="0.3">
      <c r="A591" s="10"/>
      <c r="B591" s="10"/>
    </row>
    <row r="592" spans="1:2" ht="14.25" customHeight="1" x14ac:dyDescent="0.3">
      <c r="A592" s="10"/>
      <c r="B592" s="10"/>
    </row>
    <row r="593" spans="1:2" ht="14.25" customHeight="1" x14ac:dyDescent="0.3">
      <c r="A593" s="10"/>
      <c r="B593" s="10"/>
    </row>
    <row r="594" spans="1:2" ht="14.25" customHeight="1" x14ac:dyDescent="0.3">
      <c r="A594" s="10"/>
      <c r="B594" s="10"/>
    </row>
    <row r="595" spans="1:2" ht="14.25" customHeight="1" x14ac:dyDescent="0.3">
      <c r="A595" s="10"/>
      <c r="B595" s="10"/>
    </row>
    <row r="596" spans="1:2" ht="14.25" customHeight="1" x14ac:dyDescent="0.3">
      <c r="A596" s="10"/>
      <c r="B596" s="10"/>
    </row>
    <row r="597" spans="1:2" ht="14.25" customHeight="1" x14ac:dyDescent="0.3">
      <c r="A597" s="10"/>
      <c r="B597" s="10"/>
    </row>
    <row r="598" spans="1:2" ht="14.25" customHeight="1" x14ac:dyDescent="0.3">
      <c r="A598" s="10"/>
      <c r="B598" s="10"/>
    </row>
    <row r="599" spans="1:2" ht="14.25" customHeight="1" x14ac:dyDescent="0.3">
      <c r="A599" s="10"/>
      <c r="B599" s="10"/>
    </row>
    <row r="600" spans="1:2" ht="14.25" customHeight="1" x14ac:dyDescent="0.3">
      <c r="A600" s="10"/>
      <c r="B600" s="10"/>
    </row>
    <row r="601" spans="1:2" ht="14.25" customHeight="1" x14ac:dyDescent="0.3">
      <c r="A601" s="10"/>
      <c r="B601" s="10"/>
    </row>
    <row r="602" spans="1:2" ht="14.25" customHeight="1" x14ac:dyDescent="0.3">
      <c r="A602" s="10"/>
      <c r="B602" s="10"/>
    </row>
    <row r="603" spans="1:2" ht="14.25" customHeight="1" x14ac:dyDescent="0.3">
      <c r="A603" s="10"/>
      <c r="B603" s="10"/>
    </row>
    <row r="604" spans="1:2" ht="14.25" customHeight="1" x14ac:dyDescent="0.3">
      <c r="A604" s="10"/>
      <c r="B604" s="10"/>
    </row>
    <row r="605" spans="1:2" ht="14.25" customHeight="1" x14ac:dyDescent="0.3">
      <c r="A605" s="10"/>
      <c r="B605" s="10"/>
    </row>
    <row r="606" spans="1:2" ht="14.25" customHeight="1" x14ac:dyDescent="0.3">
      <c r="A606" s="10"/>
      <c r="B606" s="10"/>
    </row>
    <row r="607" spans="1:2" ht="14.25" customHeight="1" x14ac:dyDescent="0.3">
      <c r="A607" s="10"/>
      <c r="B607" s="10"/>
    </row>
    <row r="608" spans="1:2" ht="14.25" customHeight="1" x14ac:dyDescent="0.3">
      <c r="A608" s="10"/>
      <c r="B608" s="10"/>
    </row>
    <row r="609" spans="1:2" ht="14.25" customHeight="1" x14ac:dyDescent="0.3">
      <c r="A609" s="10"/>
      <c r="B609" s="10"/>
    </row>
    <row r="610" spans="1:2" ht="14.25" customHeight="1" x14ac:dyDescent="0.3">
      <c r="A610" s="10"/>
      <c r="B610" s="10"/>
    </row>
    <row r="611" spans="1:2" ht="14.25" customHeight="1" x14ac:dyDescent="0.3">
      <c r="A611" s="10"/>
      <c r="B611" s="10"/>
    </row>
    <row r="612" spans="1:2" ht="14.25" customHeight="1" x14ac:dyDescent="0.3">
      <c r="A612" s="10"/>
      <c r="B612" s="10"/>
    </row>
    <row r="613" spans="1:2" ht="14.25" customHeight="1" x14ac:dyDescent="0.3">
      <c r="A613" s="10"/>
      <c r="B613" s="10"/>
    </row>
    <row r="614" spans="1:2" ht="14.25" customHeight="1" x14ac:dyDescent="0.3">
      <c r="A614" s="10"/>
      <c r="B614" s="10"/>
    </row>
    <row r="615" spans="1:2" ht="14.25" customHeight="1" x14ac:dyDescent="0.3">
      <c r="A615" s="10"/>
      <c r="B615" s="10"/>
    </row>
    <row r="616" spans="1:2" ht="14.25" customHeight="1" x14ac:dyDescent="0.3">
      <c r="A616" s="10"/>
      <c r="B616" s="10"/>
    </row>
    <row r="617" spans="1:2" ht="14.25" customHeight="1" x14ac:dyDescent="0.3">
      <c r="A617" s="10"/>
      <c r="B617" s="10"/>
    </row>
    <row r="618" spans="1:2" ht="14.25" customHeight="1" x14ac:dyDescent="0.3">
      <c r="A618" s="10"/>
      <c r="B618" s="10"/>
    </row>
    <row r="619" spans="1:2" ht="14.25" customHeight="1" x14ac:dyDescent="0.3">
      <c r="A619" s="10"/>
      <c r="B619" s="10"/>
    </row>
    <row r="620" spans="1:2" ht="14.25" customHeight="1" x14ac:dyDescent="0.3">
      <c r="A620" s="10"/>
      <c r="B620" s="10"/>
    </row>
    <row r="621" spans="1:2" ht="14.25" customHeight="1" x14ac:dyDescent="0.3">
      <c r="A621" s="10"/>
      <c r="B621" s="10"/>
    </row>
    <row r="622" spans="1:2" ht="14.25" customHeight="1" x14ac:dyDescent="0.3">
      <c r="A622" s="10"/>
      <c r="B622" s="10"/>
    </row>
    <row r="623" spans="1:2" ht="14.25" customHeight="1" x14ac:dyDescent="0.3">
      <c r="A623" s="10"/>
      <c r="B623" s="10"/>
    </row>
    <row r="624" spans="1:2" ht="14.25" customHeight="1" x14ac:dyDescent="0.3">
      <c r="A624" s="10"/>
      <c r="B624" s="10"/>
    </row>
    <row r="625" spans="1:2" ht="14.25" customHeight="1" x14ac:dyDescent="0.3">
      <c r="A625" s="10"/>
      <c r="B625" s="10"/>
    </row>
    <row r="626" spans="1:2" ht="14.25" customHeight="1" x14ac:dyDescent="0.3">
      <c r="A626" s="10"/>
      <c r="B626" s="10"/>
    </row>
    <row r="627" spans="1:2" ht="14.25" customHeight="1" x14ac:dyDescent="0.3">
      <c r="A627" s="10"/>
      <c r="B627" s="10"/>
    </row>
    <row r="628" spans="1:2" ht="14.25" customHeight="1" x14ac:dyDescent="0.3">
      <c r="A628" s="10"/>
      <c r="B628" s="10"/>
    </row>
    <row r="629" spans="1:2" ht="14.25" customHeight="1" x14ac:dyDescent="0.3">
      <c r="A629" s="10"/>
      <c r="B629" s="10"/>
    </row>
    <row r="630" spans="1:2" ht="14.25" customHeight="1" x14ac:dyDescent="0.3">
      <c r="A630" s="10"/>
      <c r="B630" s="10"/>
    </row>
    <row r="631" spans="1:2" ht="14.25" customHeight="1" x14ac:dyDescent="0.3">
      <c r="A631" s="10"/>
      <c r="B631" s="10"/>
    </row>
    <row r="632" spans="1:2" ht="14.25" customHeight="1" x14ac:dyDescent="0.3">
      <c r="A632" s="10"/>
      <c r="B632" s="10"/>
    </row>
    <row r="633" spans="1:2" ht="14.25" customHeight="1" x14ac:dyDescent="0.3">
      <c r="A633" s="10"/>
      <c r="B633" s="10"/>
    </row>
    <row r="634" spans="1:2" ht="14.25" customHeight="1" x14ac:dyDescent="0.3">
      <c r="A634" s="10"/>
      <c r="B634" s="10"/>
    </row>
    <row r="635" spans="1:2" ht="14.25" customHeight="1" x14ac:dyDescent="0.3">
      <c r="A635" s="10"/>
      <c r="B635" s="10"/>
    </row>
    <row r="636" spans="1:2" ht="14.25" customHeight="1" x14ac:dyDescent="0.3">
      <c r="A636" s="10"/>
      <c r="B636" s="10"/>
    </row>
    <row r="637" spans="1:2" ht="14.25" customHeight="1" x14ac:dyDescent="0.3">
      <c r="A637" s="10"/>
      <c r="B637" s="10"/>
    </row>
    <row r="638" spans="1:2" ht="14.25" customHeight="1" x14ac:dyDescent="0.3">
      <c r="A638" s="10"/>
      <c r="B638" s="10"/>
    </row>
    <row r="639" spans="1:2" ht="14.25" customHeight="1" x14ac:dyDescent="0.3">
      <c r="A639" s="10"/>
      <c r="B639" s="10"/>
    </row>
    <row r="640" spans="1:2" ht="14.25" customHeight="1" x14ac:dyDescent="0.3">
      <c r="A640" s="10"/>
      <c r="B640" s="10"/>
    </row>
    <row r="641" spans="1:2" ht="14.25" customHeight="1" x14ac:dyDescent="0.3">
      <c r="A641" s="10"/>
      <c r="B641" s="10"/>
    </row>
    <row r="642" spans="1:2" ht="14.25" customHeight="1" x14ac:dyDescent="0.3">
      <c r="A642" s="10"/>
      <c r="B642" s="10"/>
    </row>
    <row r="643" spans="1:2" ht="14.25" customHeight="1" x14ac:dyDescent="0.3">
      <c r="A643" s="10"/>
      <c r="B643" s="10"/>
    </row>
    <row r="644" spans="1:2" ht="14.25" customHeight="1" x14ac:dyDescent="0.3">
      <c r="A644" s="10"/>
      <c r="B644" s="10"/>
    </row>
    <row r="645" spans="1:2" ht="14.25" customHeight="1" x14ac:dyDescent="0.3">
      <c r="A645" s="10"/>
      <c r="B645" s="10"/>
    </row>
    <row r="646" spans="1:2" ht="14.25" customHeight="1" x14ac:dyDescent="0.3">
      <c r="A646" s="10"/>
      <c r="B646" s="10"/>
    </row>
    <row r="647" spans="1:2" ht="14.25" customHeight="1" x14ac:dyDescent="0.3">
      <c r="A647" s="10"/>
      <c r="B647" s="10"/>
    </row>
    <row r="648" spans="1:2" ht="14.25" customHeight="1" x14ac:dyDescent="0.3">
      <c r="A648" s="10"/>
      <c r="B648" s="10"/>
    </row>
    <row r="649" spans="1:2" ht="14.25" customHeight="1" x14ac:dyDescent="0.3">
      <c r="A649" s="10"/>
      <c r="B649" s="10"/>
    </row>
    <row r="650" spans="1:2" ht="14.25" customHeight="1" x14ac:dyDescent="0.3">
      <c r="A650" s="10"/>
      <c r="B650" s="10"/>
    </row>
    <row r="651" spans="1:2" ht="14.25" customHeight="1" x14ac:dyDescent="0.3">
      <c r="A651" s="10"/>
      <c r="B651" s="10"/>
    </row>
    <row r="652" spans="1:2" ht="14.25" customHeight="1" x14ac:dyDescent="0.3">
      <c r="A652" s="10"/>
      <c r="B652" s="10"/>
    </row>
    <row r="653" spans="1:2" ht="14.25" customHeight="1" x14ac:dyDescent="0.3">
      <c r="A653" s="10"/>
      <c r="B653" s="10"/>
    </row>
    <row r="654" spans="1:2" ht="14.25" customHeight="1" x14ac:dyDescent="0.3">
      <c r="A654" s="10"/>
      <c r="B654" s="10"/>
    </row>
    <row r="655" spans="1:2" ht="14.25" customHeight="1" x14ac:dyDescent="0.3">
      <c r="A655" s="10"/>
      <c r="B655" s="10"/>
    </row>
    <row r="656" spans="1:2" ht="14.25" customHeight="1" x14ac:dyDescent="0.3">
      <c r="A656" s="10"/>
      <c r="B656" s="10"/>
    </row>
    <row r="657" spans="1:2" ht="14.25" customHeight="1" x14ac:dyDescent="0.3">
      <c r="A657" s="10"/>
      <c r="B657" s="10"/>
    </row>
    <row r="658" spans="1:2" ht="14.25" customHeight="1" x14ac:dyDescent="0.3">
      <c r="A658" s="10"/>
      <c r="B658" s="10"/>
    </row>
    <row r="659" spans="1:2" ht="14.25" customHeight="1" x14ac:dyDescent="0.3">
      <c r="A659" s="10"/>
      <c r="B659" s="10"/>
    </row>
    <row r="660" spans="1:2" ht="14.25" customHeight="1" x14ac:dyDescent="0.3">
      <c r="A660" s="10"/>
      <c r="B660" s="10"/>
    </row>
    <row r="661" spans="1:2" ht="14.25" customHeight="1" x14ac:dyDescent="0.3">
      <c r="A661" s="10"/>
      <c r="B661" s="10"/>
    </row>
    <row r="662" spans="1:2" ht="14.25" customHeight="1" x14ac:dyDescent="0.3">
      <c r="A662" s="10"/>
      <c r="B662" s="10"/>
    </row>
    <row r="663" spans="1:2" ht="14.25" customHeight="1" x14ac:dyDescent="0.3">
      <c r="A663" s="10"/>
      <c r="B663" s="10"/>
    </row>
    <row r="664" spans="1:2" ht="14.25" customHeight="1" x14ac:dyDescent="0.3">
      <c r="A664" s="10"/>
      <c r="B664" s="10"/>
    </row>
    <row r="665" spans="1:2" ht="14.25" customHeight="1" x14ac:dyDescent="0.3">
      <c r="A665" s="10"/>
      <c r="B665" s="10"/>
    </row>
    <row r="666" spans="1:2" ht="14.25" customHeight="1" x14ac:dyDescent="0.3">
      <c r="A666" s="10"/>
      <c r="B666" s="10"/>
    </row>
    <row r="667" spans="1:2" ht="14.25" customHeight="1" x14ac:dyDescent="0.3">
      <c r="A667" s="10"/>
      <c r="B667" s="10"/>
    </row>
    <row r="668" spans="1:2" ht="14.25" customHeight="1" x14ac:dyDescent="0.3">
      <c r="A668" s="10"/>
      <c r="B668" s="10"/>
    </row>
    <row r="669" spans="1:2" ht="14.25" customHeight="1" x14ac:dyDescent="0.3">
      <c r="A669" s="10"/>
      <c r="B669" s="10"/>
    </row>
    <row r="670" spans="1:2" ht="14.25" customHeight="1" x14ac:dyDescent="0.3">
      <c r="A670" s="10"/>
      <c r="B670" s="10"/>
    </row>
    <row r="671" spans="1:2" ht="14.25" customHeight="1" x14ac:dyDescent="0.3">
      <c r="A671" s="10"/>
      <c r="B671" s="10"/>
    </row>
    <row r="672" spans="1:2" ht="14.25" customHeight="1" x14ac:dyDescent="0.3">
      <c r="A672" s="10"/>
      <c r="B672" s="10"/>
    </row>
    <row r="673" spans="1:2" ht="14.25" customHeight="1" x14ac:dyDescent="0.3">
      <c r="A673" s="10"/>
      <c r="B673" s="10"/>
    </row>
    <row r="674" spans="1:2" ht="14.25" customHeight="1" x14ac:dyDescent="0.3">
      <c r="A674" s="10"/>
      <c r="B674" s="10"/>
    </row>
    <row r="675" spans="1:2" ht="14.25" customHeight="1" x14ac:dyDescent="0.3">
      <c r="A675" s="10"/>
      <c r="B675" s="10"/>
    </row>
    <row r="676" spans="1:2" ht="14.25" customHeight="1" x14ac:dyDescent="0.3">
      <c r="A676" s="10"/>
      <c r="B676" s="10"/>
    </row>
    <row r="677" spans="1:2" ht="14.25" customHeight="1" x14ac:dyDescent="0.3">
      <c r="A677" s="10"/>
      <c r="B677" s="10"/>
    </row>
    <row r="678" spans="1:2" ht="14.25" customHeight="1" x14ac:dyDescent="0.3">
      <c r="A678" s="10"/>
      <c r="B678" s="10"/>
    </row>
    <row r="679" spans="1:2" ht="14.25" customHeight="1" x14ac:dyDescent="0.3">
      <c r="A679" s="10"/>
      <c r="B679" s="10"/>
    </row>
    <row r="680" spans="1:2" ht="14.25" customHeight="1" x14ac:dyDescent="0.3">
      <c r="A680" s="10"/>
      <c r="B680" s="10"/>
    </row>
    <row r="681" spans="1:2" ht="14.25" customHeight="1" x14ac:dyDescent="0.3">
      <c r="A681" s="10"/>
      <c r="B681" s="10"/>
    </row>
    <row r="682" spans="1:2" ht="14.25" customHeight="1" x14ac:dyDescent="0.3">
      <c r="A682" s="10"/>
      <c r="B682" s="10"/>
    </row>
    <row r="683" spans="1:2" ht="14.25" customHeight="1" x14ac:dyDescent="0.3">
      <c r="A683" s="10"/>
      <c r="B683" s="10"/>
    </row>
    <row r="684" spans="1:2" ht="14.25" customHeight="1" x14ac:dyDescent="0.3">
      <c r="A684" s="10"/>
      <c r="B684" s="10"/>
    </row>
    <row r="685" spans="1:2" ht="14.25" customHeight="1" x14ac:dyDescent="0.3">
      <c r="A685" s="10"/>
      <c r="B685" s="10"/>
    </row>
    <row r="686" spans="1:2" ht="14.25" customHeight="1" x14ac:dyDescent="0.3">
      <c r="A686" s="10"/>
      <c r="B686" s="10"/>
    </row>
    <row r="687" spans="1:2" ht="14.25" customHeight="1" x14ac:dyDescent="0.3">
      <c r="A687" s="10"/>
      <c r="B687" s="10"/>
    </row>
    <row r="688" spans="1:2" ht="14.25" customHeight="1" x14ac:dyDescent="0.3">
      <c r="A688" s="10"/>
      <c r="B688" s="10"/>
    </row>
    <row r="689" spans="1:2" ht="14.25" customHeight="1" x14ac:dyDescent="0.3">
      <c r="A689" s="10"/>
      <c r="B689" s="10"/>
    </row>
    <row r="690" spans="1:2" ht="14.25" customHeight="1" x14ac:dyDescent="0.3">
      <c r="A690" s="10"/>
      <c r="B690" s="10"/>
    </row>
    <row r="691" spans="1:2" ht="14.25" customHeight="1" x14ac:dyDescent="0.3">
      <c r="A691" s="10"/>
      <c r="B691" s="10"/>
    </row>
    <row r="692" spans="1:2" ht="14.25" customHeight="1" x14ac:dyDescent="0.3">
      <c r="A692" s="10"/>
      <c r="B692" s="10"/>
    </row>
    <row r="693" spans="1:2" ht="14.25" customHeight="1" x14ac:dyDescent="0.3">
      <c r="A693" s="10"/>
      <c r="B693" s="10"/>
    </row>
    <row r="694" spans="1:2" ht="14.25" customHeight="1" x14ac:dyDescent="0.3">
      <c r="A694" s="10"/>
      <c r="B694" s="10"/>
    </row>
    <row r="695" spans="1:2" ht="14.25" customHeight="1" x14ac:dyDescent="0.3">
      <c r="A695" s="10"/>
      <c r="B695" s="10"/>
    </row>
    <row r="696" spans="1:2" ht="14.25" customHeight="1" x14ac:dyDescent="0.3">
      <c r="A696" s="10"/>
      <c r="B696" s="10"/>
    </row>
    <row r="697" spans="1:2" ht="14.25" customHeight="1" x14ac:dyDescent="0.3">
      <c r="A697" s="10"/>
      <c r="B697" s="10"/>
    </row>
    <row r="698" spans="1:2" ht="14.25" customHeight="1" x14ac:dyDescent="0.3">
      <c r="A698" s="10"/>
      <c r="B698" s="10"/>
    </row>
    <row r="699" spans="1:2" ht="14.25" customHeight="1" x14ac:dyDescent="0.3">
      <c r="A699" s="10"/>
      <c r="B699" s="10"/>
    </row>
    <row r="700" spans="1:2" ht="14.25" customHeight="1" x14ac:dyDescent="0.3">
      <c r="A700" s="10"/>
      <c r="B700" s="10"/>
    </row>
    <row r="701" spans="1:2" ht="14.25" customHeight="1" x14ac:dyDescent="0.3">
      <c r="A701" s="10"/>
      <c r="B701" s="10"/>
    </row>
    <row r="702" spans="1:2" ht="14.25" customHeight="1" x14ac:dyDescent="0.3">
      <c r="A702" s="10"/>
      <c r="B702" s="10"/>
    </row>
    <row r="703" spans="1:2" ht="14.25" customHeight="1" x14ac:dyDescent="0.3">
      <c r="A703" s="10"/>
      <c r="B703" s="10"/>
    </row>
    <row r="704" spans="1:2" ht="14.25" customHeight="1" x14ac:dyDescent="0.3">
      <c r="A704" s="10"/>
      <c r="B704" s="10"/>
    </row>
    <row r="705" spans="1:2" ht="14.25" customHeight="1" x14ac:dyDescent="0.3">
      <c r="A705" s="10"/>
      <c r="B705" s="10"/>
    </row>
    <row r="706" spans="1:2" ht="14.25" customHeight="1" x14ac:dyDescent="0.3">
      <c r="A706" s="10"/>
      <c r="B706" s="10"/>
    </row>
    <row r="707" spans="1:2" ht="14.25" customHeight="1" x14ac:dyDescent="0.3">
      <c r="A707" s="10"/>
      <c r="B707" s="10"/>
    </row>
    <row r="708" spans="1:2" ht="14.25" customHeight="1" x14ac:dyDescent="0.3">
      <c r="A708" s="10"/>
      <c r="B708" s="10"/>
    </row>
    <row r="709" spans="1:2" ht="14.25" customHeight="1" x14ac:dyDescent="0.3">
      <c r="A709" s="10"/>
      <c r="B709" s="10"/>
    </row>
    <row r="710" spans="1:2" ht="14.25" customHeight="1" x14ac:dyDescent="0.3">
      <c r="A710" s="10"/>
      <c r="B710" s="10"/>
    </row>
    <row r="711" spans="1:2" ht="14.25" customHeight="1" x14ac:dyDescent="0.3">
      <c r="A711" s="10"/>
      <c r="B711" s="10"/>
    </row>
    <row r="712" spans="1:2" ht="14.25" customHeight="1" x14ac:dyDescent="0.3">
      <c r="A712" s="10"/>
      <c r="B712" s="10"/>
    </row>
    <row r="713" spans="1:2" ht="14.25" customHeight="1" x14ac:dyDescent="0.3">
      <c r="A713" s="10"/>
      <c r="B713" s="10"/>
    </row>
    <row r="714" spans="1:2" ht="14.25" customHeight="1" x14ac:dyDescent="0.3">
      <c r="A714" s="10"/>
      <c r="B714" s="10"/>
    </row>
    <row r="715" spans="1:2" ht="14.25" customHeight="1" x14ac:dyDescent="0.3">
      <c r="A715" s="10"/>
      <c r="B715" s="10"/>
    </row>
    <row r="716" spans="1:2" ht="14.25" customHeight="1" x14ac:dyDescent="0.3">
      <c r="A716" s="10"/>
      <c r="B716" s="10"/>
    </row>
    <row r="717" spans="1:2" ht="14.25" customHeight="1" x14ac:dyDescent="0.3">
      <c r="A717" s="10"/>
      <c r="B717" s="10"/>
    </row>
    <row r="718" spans="1:2" ht="14.25" customHeight="1" x14ac:dyDescent="0.3">
      <c r="A718" s="10"/>
      <c r="B718" s="10"/>
    </row>
    <row r="719" spans="1:2" ht="14.25" customHeight="1" x14ac:dyDescent="0.3">
      <c r="A719" s="10"/>
      <c r="B719" s="10"/>
    </row>
    <row r="720" spans="1:2" ht="14.25" customHeight="1" x14ac:dyDescent="0.3">
      <c r="A720" s="10"/>
      <c r="B720" s="10"/>
    </row>
    <row r="721" spans="1:2" ht="14.25" customHeight="1" x14ac:dyDescent="0.3">
      <c r="A721" s="10"/>
      <c r="B721" s="10"/>
    </row>
    <row r="722" spans="1:2" ht="14.25" customHeight="1" x14ac:dyDescent="0.3">
      <c r="A722" s="10"/>
      <c r="B722" s="10"/>
    </row>
    <row r="723" spans="1:2" ht="14.25" customHeight="1" x14ac:dyDescent="0.3">
      <c r="A723" s="10"/>
      <c r="B723" s="10"/>
    </row>
    <row r="724" spans="1:2" ht="14.25" customHeight="1" x14ac:dyDescent="0.3">
      <c r="A724" s="10"/>
      <c r="B724" s="10"/>
    </row>
    <row r="725" spans="1:2" ht="14.25" customHeight="1" x14ac:dyDescent="0.3">
      <c r="A725" s="10"/>
      <c r="B725" s="10"/>
    </row>
    <row r="726" spans="1:2" ht="14.25" customHeight="1" x14ac:dyDescent="0.3">
      <c r="A726" s="10"/>
      <c r="B726" s="10"/>
    </row>
    <row r="727" spans="1:2" ht="14.25" customHeight="1" x14ac:dyDescent="0.3">
      <c r="A727" s="10"/>
      <c r="B727" s="10"/>
    </row>
    <row r="728" spans="1:2" ht="14.25" customHeight="1" x14ac:dyDescent="0.3">
      <c r="A728" s="10"/>
      <c r="B728" s="10"/>
    </row>
    <row r="729" spans="1:2" ht="14.25" customHeight="1" x14ac:dyDescent="0.3">
      <c r="A729" s="10"/>
      <c r="B729" s="10"/>
    </row>
    <row r="730" spans="1:2" ht="14.25" customHeight="1" x14ac:dyDescent="0.3">
      <c r="A730" s="10"/>
      <c r="B730" s="10"/>
    </row>
    <row r="731" spans="1:2" ht="14.25" customHeight="1" x14ac:dyDescent="0.3">
      <c r="A731" s="10"/>
      <c r="B731" s="10"/>
    </row>
    <row r="732" spans="1:2" ht="14.25" customHeight="1" x14ac:dyDescent="0.3">
      <c r="A732" s="10"/>
      <c r="B732" s="10"/>
    </row>
    <row r="733" spans="1:2" ht="14.25" customHeight="1" x14ac:dyDescent="0.3">
      <c r="A733" s="10"/>
      <c r="B733" s="10"/>
    </row>
    <row r="734" spans="1:2" ht="14.25" customHeight="1" x14ac:dyDescent="0.3">
      <c r="A734" s="10"/>
      <c r="B734" s="10"/>
    </row>
    <row r="735" spans="1:2" ht="14.25" customHeight="1" x14ac:dyDescent="0.3">
      <c r="A735" s="10"/>
      <c r="B735" s="10"/>
    </row>
    <row r="736" spans="1:2" ht="14.25" customHeight="1" x14ac:dyDescent="0.3">
      <c r="A736" s="10"/>
      <c r="B736" s="10"/>
    </row>
    <row r="737" spans="1:2" ht="14.25" customHeight="1" x14ac:dyDescent="0.3">
      <c r="A737" s="10"/>
      <c r="B737" s="10"/>
    </row>
    <row r="738" spans="1:2" ht="14.25" customHeight="1" x14ac:dyDescent="0.3">
      <c r="A738" s="10"/>
      <c r="B738" s="10"/>
    </row>
    <row r="739" spans="1:2" ht="14.25" customHeight="1" x14ac:dyDescent="0.3">
      <c r="A739" s="10"/>
      <c r="B739" s="10"/>
    </row>
    <row r="740" spans="1:2" ht="14.25" customHeight="1" x14ac:dyDescent="0.3">
      <c r="A740" s="10"/>
      <c r="B740" s="10"/>
    </row>
    <row r="741" spans="1:2" ht="14.25" customHeight="1" x14ac:dyDescent="0.3">
      <c r="A741" s="10"/>
      <c r="B741" s="10"/>
    </row>
    <row r="742" spans="1:2" ht="14.25" customHeight="1" x14ac:dyDescent="0.3">
      <c r="A742" s="10"/>
      <c r="B742" s="10"/>
    </row>
    <row r="743" spans="1:2" ht="14.25" customHeight="1" x14ac:dyDescent="0.3">
      <c r="A743" s="10"/>
      <c r="B743" s="10"/>
    </row>
    <row r="744" spans="1:2" ht="14.25" customHeight="1" x14ac:dyDescent="0.3">
      <c r="A744" s="10"/>
      <c r="B744" s="10"/>
    </row>
    <row r="745" spans="1:2" ht="14.25" customHeight="1" x14ac:dyDescent="0.3">
      <c r="A745" s="10"/>
      <c r="B745" s="10"/>
    </row>
    <row r="746" spans="1:2" ht="14.25" customHeight="1" x14ac:dyDescent="0.3">
      <c r="A746" s="10"/>
      <c r="B746" s="10"/>
    </row>
    <row r="747" spans="1:2" ht="14.25" customHeight="1" x14ac:dyDescent="0.3">
      <c r="A747" s="10"/>
      <c r="B747" s="10"/>
    </row>
    <row r="748" spans="1:2" ht="14.25" customHeight="1" x14ac:dyDescent="0.3">
      <c r="A748" s="10"/>
      <c r="B748" s="10"/>
    </row>
    <row r="749" spans="1:2" ht="14.25" customHeight="1" x14ac:dyDescent="0.3">
      <c r="A749" s="10"/>
      <c r="B749" s="10"/>
    </row>
    <row r="750" spans="1:2" ht="14.25" customHeight="1" x14ac:dyDescent="0.3">
      <c r="A750" s="10"/>
      <c r="B750" s="10"/>
    </row>
    <row r="751" spans="1:2" ht="14.25" customHeight="1" x14ac:dyDescent="0.3">
      <c r="A751" s="10"/>
      <c r="B751" s="10"/>
    </row>
    <row r="752" spans="1:2" ht="14.25" customHeight="1" x14ac:dyDescent="0.3">
      <c r="A752" s="10"/>
      <c r="B752" s="10"/>
    </row>
    <row r="753" spans="1:2" ht="14.25" customHeight="1" x14ac:dyDescent="0.3">
      <c r="A753" s="10"/>
      <c r="B753" s="10"/>
    </row>
    <row r="754" spans="1:2" ht="14.25" customHeight="1" x14ac:dyDescent="0.3">
      <c r="A754" s="10"/>
      <c r="B754" s="10"/>
    </row>
    <row r="755" spans="1:2" ht="14.25" customHeight="1" x14ac:dyDescent="0.3">
      <c r="A755" s="10"/>
      <c r="B755" s="10"/>
    </row>
    <row r="756" spans="1:2" ht="14.25" customHeight="1" x14ac:dyDescent="0.3">
      <c r="A756" s="10"/>
      <c r="B756" s="10"/>
    </row>
    <row r="757" spans="1:2" ht="14.25" customHeight="1" x14ac:dyDescent="0.3">
      <c r="A757" s="10"/>
      <c r="B757" s="10"/>
    </row>
    <row r="758" spans="1:2" ht="14.25" customHeight="1" x14ac:dyDescent="0.3">
      <c r="A758" s="10"/>
      <c r="B758" s="10"/>
    </row>
    <row r="759" spans="1:2" ht="14.25" customHeight="1" x14ac:dyDescent="0.3">
      <c r="A759" s="10"/>
      <c r="B759" s="10"/>
    </row>
    <row r="760" spans="1:2" ht="14.25" customHeight="1" x14ac:dyDescent="0.3">
      <c r="A760" s="10"/>
      <c r="B760" s="10"/>
    </row>
    <row r="761" spans="1:2" ht="14.25" customHeight="1" x14ac:dyDescent="0.3">
      <c r="A761" s="10"/>
      <c r="B761" s="10"/>
    </row>
    <row r="762" spans="1:2" ht="14.25" customHeight="1" x14ac:dyDescent="0.3">
      <c r="A762" s="10"/>
      <c r="B762" s="10"/>
    </row>
    <row r="763" spans="1:2" ht="14.25" customHeight="1" x14ac:dyDescent="0.3">
      <c r="A763" s="10"/>
      <c r="B763" s="10"/>
    </row>
    <row r="764" spans="1:2" ht="14.25" customHeight="1" x14ac:dyDescent="0.3">
      <c r="A764" s="10"/>
      <c r="B764" s="10"/>
    </row>
    <row r="765" spans="1:2" ht="14.25" customHeight="1" x14ac:dyDescent="0.3">
      <c r="A765" s="10"/>
      <c r="B765" s="10"/>
    </row>
    <row r="766" spans="1:2" ht="14.25" customHeight="1" x14ac:dyDescent="0.3">
      <c r="A766" s="10"/>
      <c r="B766" s="10"/>
    </row>
    <row r="767" spans="1:2" ht="14.25" customHeight="1" x14ac:dyDescent="0.3">
      <c r="A767" s="10"/>
      <c r="B767" s="10"/>
    </row>
    <row r="768" spans="1:2" ht="14.25" customHeight="1" x14ac:dyDescent="0.3">
      <c r="A768" s="10"/>
      <c r="B768" s="10"/>
    </row>
    <row r="769" spans="1:2" ht="14.25" customHeight="1" x14ac:dyDescent="0.3">
      <c r="A769" s="10"/>
      <c r="B769" s="10"/>
    </row>
    <row r="770" spans="1:2" ht="14.25" customHeight="1" x14ac:dyDescent="0.3">
      <c r="A770" s="10"/>
      <c r="B770" s="10"/>
    </row>
    <row r="771" spans="1:2" ht="14.25" customHeight="1" x14ac:dyDescent="0.3">
      <c r="A771" s="10"/>
      <c r="B771" s="10"/>
    </row>
    <row r="772" spans="1:2" ht="14.25" customHeight="1" x14ac:dyDescent="0.3">
      <c r="A772" s="10"/>
      <c r="B772" s="10"/>
    </row>
    <row r="773" spans="1:2" ht="14.25" customHeight="1" x14ac:dyDescent="0.3">
      <c r="A773" s="10"/>
      <c r="B773" s="10"/>
    </row>
    <row r="774" spans="1:2" ht="14.25" customHeight="1" x14ac:dyDescent="0.3">
      <c r="A774" s="10"/>
      <c r="B774" s="10"/>
    </row>
    <row r="775" spans="1:2" ht="14.25" customHeight="1" x14ac:dyDescent="0.3">
      <c r="A775" s="10"/>
      <c r="B775" s="10"/>
    </row>
    <row r="776" spans="1:2" ht="14.25" customHeight="1" x14ac:dyDescent="0.3">
      <c r="A776" s="10"/>
      <c r="B776" s="10"/>
    </row>
    <row r="777" spans="1:2" ht="14.25" customHeight="1" x14ac:dyDescent="0.3">
      <c r="A777" s="10"/>
      <c r="B777" s="10"/>
    </row>
    <row r="778" spans="1:2" ht="14.25" customHeight="1" x14ac:dyDescent="0.3">
      <c r="A778" s="10"/>
      <c r="B778" s="10"/>
    </row>
    <row r="779" spans="1:2" ht="14.25" customHeight="1" x14ac:dyDescent="0.3">
      <c r="A779" s="10"/>
      <c r="B779" s="10"/>
    </row>
    <row r="780" spans="1:2" ht="14.25" customHeight="1" x14ac:dyDescent="0.3">
      <c r="A780" s="10"/>
      <c r="B780" s="10"/>
    </row>
    <row r="781" spans="1:2" ht="14.25" customHeight="1" x14ac:dyDescent="0.3">
      <c r="A781" s="10"/>
      <c r="B781" s="10"/>
    </row>
    <row r="782" spans="1:2" ht="14.25" customHeight="1" x14ac:dyDescent="0.3">
      <c r="A782" s="10"/>
      <c r="B782" s="10"/>
    </row>
    <row r="783" spans="1:2" ht="14.25" customHeight="1" x14ac:dyDescent="0.3">
      <c r="A783" s="10"/>
      <c r="B783" s="10"/>
    </row>
    <row r="784" spans="1:2" ht="14.25" customHeight="1" x14ac:dyDescent="0.3">
      <c r="A784" s="10"/>
      <c r="B784" s="10"/>
    </row>
    <row r="785" spans="1:2" ht="14.25" customHeight="1" x14ac:dyDescent="0.3">
      <c r="A785" s="10"/>
      <c r="B785" s="10"/>
    </row>
    <row r="786" spans="1:2" ht="14.25" customHeight="1" x14ac:dyDescent="0.3">
      <c r="A786" s="10"/>
      <c r="B786" s="10"/>
    </row>
    <row r="787" spans="1:2" ht="14.25" customHeight="1" x14ac:dyDescent="0.3">
      <c r="A787" s="10"/>
      <c r="B787" s="10"/>
    </row>
    <row r="788" spans="1:2" ht="14.25" customHeight="1" x14ac:dyDescent="0.3">
      <c r="A788" s="10"/>
      <c r="B788" s="10"/>
    </row>
    <row r="789" spans="1:2" ht="14.25" customHeight="1" x14ac:dyDescent="0.3">
      <c r="A789" s="10"/>
      <c r="B789" s="10"/>
    </row>
    <row r="790" spans="1:2" ht="14.25" customHeight="1" x14ac:dyDescent="0.3">
      <c r="A790" s="10"/>
      <c r="B790" s="10"/>
    </row>
    <row r="791" spans="1:2" ht="14.25" customHeight="1" x14ac:dyDescent="0.3">
      <c r="A791" s="10"/>
      <c r="B791" s="10"/>
    </row>
    <row r="792" spans="1:2" ht="14.25" customHeight="1" x14ac:dyDescent="0.3">
      <c r="A792" s="10"/>
      <c r="B792" s="10"/>
    </row>
    <row r="793" spans="1:2" ht="14.25" customHeight="1" x14ac:dyDescent="0.3">
      <c r="A793" s="10"/>
      <c r="B793" s="10"/>
    </row>
    <row r="794" spans="1:2" ht="14.25" customHeight="1" x14ac:dyDescent="0.3">
      <c r="A794" s="10"/>
      <c r="B794" s="10"/>
    </row>
    <row r="795" spans="1:2" ht="14.25" customHeight="1" x14ac:dyDescent="0.3">
      <c r="A795" s="10"/>
      <c r="B795" s="10"/>
    </row>
    <row r="796" spans="1:2" ht="14.25" customHeight="1" x14ac:dyDescent="0.3">
      <c r="A796" s="10"/>
      <c r="B796" s="10"/>
    </row>
    <row r="797" spans="1:2" ht="14.25" customHeight="1" x14ac:dyDescent="0.3">
      <c r="A797" s="10"/>
      <c r="B797" s="10"/>
    </row>
    <row r="798" spans="1:2" ht="14.25" customHeight="1" x14ac:dyDescent="0.3">
      <c r="A798" s="10"/>
      <c r="B798" s="10"/>
    </row>
    <row r="799" spans="1:2" ht="14.25" customHeight="1" x14ac:dyDescent="0.3">
      <c r="A799" s="10"/>
      <c r="B799" s="10"/>
    </row>
    <row r="800" spans="1:2" ht="14.25" customHeight="1" x14ac:dyDescent="0.3">
      <c r="A800" s="10"/>
      <c r="B800" s="10"/>
    </row>
    <row r="801" spans="1:2" ht="14.25" customHeight="1" x14ac:dyDescent="0.3">
      <c r="A801" s="10"/>
      <c r="B801" s="10"/>
    </row>
    <row r="802" spans="1:2" ht="14.25" customHeight="1" x14ac:dyDescent="0.3">
      <c r="A802" s="10"/>
      <c r="B802" s="10"/>
    </row>
    <row r="803" spans="1:2" ht="14.25" customHeight="1" x14ac:dyDescent="0.3">
      <c r="A803" s="10"/>
      <c r="B803" s="10"/>
    </row>
    <row r="804" spans="1:2" ht="14.25" customHeight="1" x14ac:dyDescent="0.3">
      <c r="A804" s="10"/>
      <c r="B804" s="10"/>
    </row>
    <row r="805" spans="1:2" ht="14.25" customHeight="1" x14ac:dyDescent="0.3">
      <c r="A805" s="10"/>
      <c r="B805" s="10"/>
    </row>
    <row r="806" spans="1:2" ht="14.25" customHeight="1" x14ac:dyDescent="0.3">
      <c r="A806" s="10"/>
      <c r="B806" s="10"/>
    </row>
    <row r="807" spans="1:2" ht="14.25" customHeight="1" x14ac:dyDescent="0.3">
      <c r="A807" s="10"/>
      <c r="B807" s="10"/>
    </row>
    <row r="808" spans="1:2" ht="14.25" customHeight="1" x14ac:dyDescent="0.3">
      <c r="A808" s="10"/>
      <c r="B808" s="10"/>
    </row>
    <row r="809" spans="1:2" ht="14.25" customHeight="1" x14ac:dyDescent="0.3">
      <c r="A809" s="10"/>
      <c r="B809" s="10"/>
    </row>
    <row r="810" spans="1:2" ht="14.25" customHeight="1" x14ac:dyDescent="0.3">
      <c r="A810" s="10"/>
      <c r="B810" s="10"/>
    </row>
    <row r="811" spans="1:2" ht="14.25" customHeight="1" x14ac:dyDescent="0.3">
      <c r="A811" s="10"/>
      <c r="B811" s="10"/>
    </row>
    <row r="812" spans="1:2" ht="14.25" customHeight="1" x14ac:dyDescent="0.3">
      <c r="A812" s="10"/>
      <c r="B812" s="10"/>
    </row>
    <row r="813" spans="1:2" ht="14.25" customHeight="1" x14ac:dyDescent="0.3">
      <c r="A813" s="10"/>
      <c r="B813" s="10"/>
    </row>
    <row r="814" spans="1:2" ht="14.25" customHeight="1" x14ac:dyDescent="0.3">
      <c r="A814" s="10"/>
      <c r="B814" s="10"/>
    </row>
    <row r="815" spans="1:2" ht="14.25" customHeight="1" x14ac:dyDescent="0.3">
      <c r="A815" s="10"/>
      <c r="B815" s="10"/>
    </row>
    <row r="816" spans="1:2" ht="14.25" customHeight="1" x14ac:dyDescent="0.3">
      <c r="A816" s="10"/>
      <c r="B816" s="10"/>
    </row>
    <row r="817" spans="1:2" ht="14.25" customHeight="1" x14ac:dyDescent="0.3">
      <c r="A817" s="10"/>
      <c r="B817" s="10"/>
    </row>
    <row r="818" spans="1:2" ht="14.25" customHeight="1" x14ac:dyDescent="0.3">
      <c r="A818" s="10"/>
      <c r="B818" s="10"/>
    </row>
    <row r="819" spans="1:2" ht="14.25" customHeight="1" x14ac:dyDescent="0.3">
      <c r="A819" s="10"/>
      <c r="B819" s="10"/>
    </row>
    <row r="820" spans="1:2" ht="14.25" customHeight="1" x14ac:dyDescent="0.3">
      <c r="A820" s="10"/>
      <c r="B820" s="10"/>
    </row>
    <row r="821" spans="1:2" ht="14.25" customHeight="1" x14ac:dyDescent="0.3">
      <c r="A821" s="10"/>
      <c r="B821" s="10"/>
    </row>
    <row r="822" spans="1:2" ht="14.25" customHeight="1" x14ac:dyDescent="0.3">
      <c r="A822" s="10"/>
      <c r="B822" s="10"/>
    </row>
    <row r="823" spans="1:2" ht="14.25" customHeight="1" x14ac:dyDescent="0.3">
      <c r="A823" s="10"/>
      <c r="B823" s="10"/>
    </row>
    <row r="824" spans="1:2" ht="14.25" customHeight="1" x14ac:dyDescent="0.3">
      <c r="A824" s="10"/>
      <c r="B824" s="10"/>
    </row>
    <row r="825" spans="1:2" ht="14.25" customHeight="1" x14ac:dyDescent="0.3">
      <c r="A825" s="10"/>
      <c r="B825" s="10"/>
    </row>
    <row r="826" spans="1:2" ht="14.25" customHeight="1" x14ac:dyDescent="0.3">
      <c r="A826" s="10"/>
      <c r="B826" s="10"/>
    </row>
    <row r="827" spans="1:2" ht="14.25" customHeight="1" x14ac:dyDescent="0.3">
      <c r="A827" s="10"/>
      <c r="B827" s="10"/>
    </row>
    <row r="828" spans="1:2" ht="14.25" customHeight="1" x14ac:dyDescent="0.3">
      <c r="A828" s="10"/>
      <c r="B828" s="10"/>
    </row>
    <row r="829" spans="1:2" ht="14.25" customHeight="1" x14ac:dyDescent="0.3">
      <c r="A829" s="10"/>
      <c r="B829" s="10"/>
    </row>
    <row r="830" spans="1:2" ht="14.25" customHeight="1" x14ac:dyDescent="0.3">
      <c r="A830" s="10"/>
      <c r="B830" s="10"/>
    </row>
    <row r="831" spans="1:2" ht="14.25" customHeight="1" x14ac:dyDescent="0.3">
      <c r="A831" s="10"/>
      <c r="B831" s="10"/>
    </row>
    <row r="832" spans="1:2" ht="14.25" customHeight="1" x14ac:dyDescent="0.3">
      <c r="A832" s="10"/>
      <c r="B832" s="10"/>
    </row>
    <row r="833" spans="1:2" ht="14.25" customHeight="1" x14ac:dyDescent="0.3">
      <c r="A833" s="10"/>
      <c r="B833" s="10"/>
    </row>
    <row r="834" spans="1:2" ht="14.25" customHeight="1" x14ac:dyDescent="0.3">
      <c r="A834" s="10"/>
      <c r="B834" s="10"/>
    </row>
    <row r="835" spans="1:2" ht="14.25" customHeight="1" x14ac:dyDescent="0.3">
      <c r="A835" s="10"/>
      <c r="B835" s="10"/>
    </row>
    <row r="836" spans="1:2" ht="14.25" customHeight="1" x14ac:dyDescent="0.3">
      <c r="A836" s="10"/>
      <c r="B836" s="10"/>
    </row>
    <row r="837" spans="1:2" ht="14.25" customHeight="1" x14ac:dyDescent="0.3">
      <c r="A837" s="10"/>
      <c r="B837" s="10"/>
    </row>
    <row r="838" spans="1:2" ht="14.25" customHeight="1" x14ac:dyDescent="0.3">
      <c r="A838" s="10"/>
      <c r="B838" s="10"/>
    </row>
    <row r="839" spans="1:2" ht="14.25" customHeight="1" x14ac:dyDescent="0.3">
      <c r="A839" s="10"/>
      <c r="B839" s="10"/>
    </row>
    <row r="840" spans="1:2" ht="14.25" customHeight="1" x14ac:dyDescent="0.3">
      <c r="A840" s="10"/>
      <c r="B840" s="10"/>
    </row>
    <row r="841" spans="1:2" ht="14.25" customHeight="1" x14ac:dyDescent="0.3">
      <c r="A841" s="10"/>
      <c r="B841" s="10"/>
    </row>
    <row r="842" spans="1:2" ht="14.25" customHeight="1" x14ac:dyDescent="0.3">
      <c r="A842" s="10"/>
      <c r="B842" s="10"/>
    </row>
    <row r="843" spans="1:2" ht="14.25" customHeight="1" x14ac:dyDescent="0.3">
      <c r="A843" s="10"/>
      <c r="B843" s="10"/>
    </row>
    <row r="844" spans="1:2" ht="14.25" customHeight="1" x14ac:dyDescent="0.3">
      <c r="A844" s="10"/>
      <c r="B844" s="10"/>
    </row>
    <row r="845" spans="1:2" ht="14.25" customHeight="1" x14ac:dyDescent="0.3">
      <c r="A845" s="10"/>
      <c r="B845" s="10"/>
    </row>
    <row r="846" spans="1:2" ht="14.25" customHeight="1" x14ac:dyDescent="0.3">
      <c r="A846" s="10"/>
      <c r="B846" s="10"/>
    </row>
    <row r="847" spans="1:2" ht="14.25" customHeight="1" x14ac:dyDescent="0.3">
      <c r="A847" s="10"/>
      <c r="B847" s="10"/>
    </row>
    <row r="848" spans="1:2" ht="14.25" customHeight="1" x14ac:dyDescent="0.3">
      <c r="A848" s="10"/>
      <c r="B848" s="10"/>
    </row>
    <row r="849" spans="1:2" ht="14.25" customHeight="1" x14ac:dyDescent="0.3">
      <c r="A849" s="10"/>
      <c r="B849" s="10"/>
    </row>
    <row r="850" spans="1:2" ht="14.25" customHeight="1" x14ac:dyDescent="0.3">
      <c r="A850" s="10"/>
      <c r="B850" s="10"/>
    </row>
    <row r="851" spans="1:2" ht="14.25" customHeight="1" x14ac:dyDescent="0.3">
      <c r="A851" s="10"/>
      <c r="B851" s="10"/>
    </row>
    <row r="852" spans="1:2" ht="14.25" customHeight="1" x14ac:dyDescent="0.3">
      <c r="A852" s="10"/>
      <c r="B852" s="10"/>
    </row>
    <row r="853" spans="1:2" ht="14.25" customHeight="1" x14ac:dyDescent="0.3">
      <c r="A853" s="10"/>
      <c r="B853" s="10"/>
    </row>
    <row r="854" spans="1:2" ht="14.25" customHeight="1" x14ac:dyDescent="0.3">
      <c r="A854" s="10"/>
      <c r="B854" s="10"/>
    </row>
    <row r="855" spans="1:2" ht="14.25" customHeight="1" x14ac:dyDescent="0.3">
      <c r="A855" s="10"/>
      <c r="B855" s="10"/>
    </row>
    <row r="856" spans="1:2" ht="14.25" customHeight="1" x14ac:dyDescent="0.3">
      <c r="A856" s="10"/>
      <c r="B856" s="10"/>
    </row>
    <row r="857" spans="1:2" ht="14.25" customHeight="1" x14ac:dyDescent="0.3">
      <c r="A857" s="10"/>
      <c r="B857" s="10"/>
    </row>
    <row r="858" spans="1:2" ht="14.25" customHeight="1" x14ac:dyDescent="0.3">
      <c r="A858" s="10"/>
      <c r="B858" s="10"/>
    </row>
    <row r="859" spans="1:2" ht="14.25" customHeight="1" x14ac:dyDescent="0.3">
      <c r="A859" s="10"/>
      <c r="B859" s="10"/>
    </row>
    <row r="860" spans="1:2" ht="14.25" customHeight="1" x14ac:dyDescent="0.3">
      <c r="A860" s="10"/>
      <c r="B860" s="10"/>
    </row>
    <row r="861" spans="1:2" ht="14.25" customHeight="1" x14ac:dyDescent="0.3">
      <c r="A861" s="10"/>
      <c r="B861" s="10"/>
    </row>
    <row r="862" spans="1:2" ht="14.25" customHeight="1" x14ac:dyDescent="0.3">
      <c r="A862" s="10"/>
      <c r="B862" s="10"/>
    </row>
    <row r="863" spans="1:2" ht="14.25" customHeight="1" x14ac:dyDescent="0.3">
      <c r="A863" s="10"/>
      <c r="B863" s="10"/>
    </row>
    <row r="864" spans="1:2" ht="14.25" customHeight="1" x14ac:dyDescent="0.3">
      <c r="A864" s="10"/>
      <c r="B864" s="10"/>
    </row>
    <row r="865" spans="1:2" ht="14.25" customHeight="1" x14ac:dyDescent="0.3">
      <c r="A865" s="10"/>
      <c r="B865" s="10"/>
    </row>
    <row r="866" spans="1:2" ht="14.25" customHeight="1" x14ac:dyDescent="0.3">
      <c r="A866" s="10"/>
      <c r="B866" s="10"/>
    </row>
    <row r="867" spans="1:2" ht="14.25" customHeight="1" x14ac:dyDescent="0.3">
      <c r="A867" s="10"/>
      <c r="B867" s="10"/>
    </row>
    <row r="868" spans="1:2" ht="14.25" customHeight="1" x14ac:dyDescent="0.3">
      <c r="A868" s="10"/>
      <c r="B868" s="10"/>
    </row>
    <row r="869" spans="1:2" ht="14.25" customHeight="1" x14ac:dyDescent="0.3">
      <c r="A869" s="10"/>
      <c r="B869" s="10"/>
    </row>
    <row r="870" spans="1:2" ht="14.25" customHeight="1" x14ac:dyDescent="0.3">
      <c r="A870" s="10"/>
      <c r="B870" s="10"/>
    </row>
    <row r="871" spans="1:2" ht="14.25" customHeight="1" x14ac:dyDescent="0.3">
      <c r="A871" s="10"/>
      <c r="B871" s="10"/>
    </row>
    <row r="872" spans="1:2" ht="14.25" customHeight="1" x14ac:dyDescent="0.3">
      <c r="A872" s="10"/>
      <c r="B872" s="10"/>
    </row>
    <row r="873" spans="1:2" ht="14.25" customHeight="1" x14ac:dyDescent="0.3">
      <c r="A873" s="10"/>
      <c r="B873" s="10"/>
    </row>
    <row r="874" spans="1:2" ht="14.25" customHeight="1" x14ac:dyDescent="0.3">
      <c r="A874" s="10"/>
      <c r="B874" s="10"/>
    </row>
    <row r="875" spans="1:2" ht="14.25" customHeight="1" x14ac:dyDescent="0.3">
      <c r="A875" s="10"/>
      <c r="B875" s="10"/>
    </row>
    <row r="876" spans="1:2" ht="14.25" customHeight="1" x14ac:dyDescent="0.3">
      <c r="A876" s="10"/>
      <c r="B876" s="10"/>
    </row>
    <row r="877" spans="1:2" ht="14.25" customHeight="1" x14ac:dyDescent="0.3">
      <c r="A877" s="10"/>
      <c r="B877" s="10"/>
    </row>
    <row r="878" spans="1:2" ht="14.25" customHeight="1" x14ac:dyDescent="0.3">
      <c r="A878" s="10"/>
      <c r="B878" s="10"/>
    </row>
    <row r="879" spans="1:2" ht="14.25" customHeight="1" x14ac:dyDescent="0.3">
      <c r="A879" s="10"/>
      <c r="B879" s="10"/>
    </row>
    <row r="880" spans="1:2" ht="14.25" customHeight="1" x14ac:dyDescent="0.3">
      <c r="A880" s="10"/>
      <c r="B880" s="10"/>
    </row>
    <row r="881" spans="1:2" ht="14.25" customHeight="1" x14ac:dyDescent="0.3">
      <c r="A881" s="10"/>
      <c r="B881" s="10"/>
    </row>
    <row r="882" spans="1:2" ht="14.25" customHeight="1" x14ac:dyDescent="0.3">
      <c r="A882" s="10"/>
      <c r="B882" s="10"/>
    </row>
    <row r="883" spans="1:2" ht="14.25" customHeight="1" x14ac:dyDescent="0.3">
      <c r="A883" s="10"/>
      <c r="B883" s="10"/>
    </row>
    <row r="884" spans="1:2" ht="14.25" customHeight="1" x14ac:dyDescent="0.3">
      <c r="A884" s="10"/>
      <c r="B884" s="10"/>
    </row>
    <row r="885" spans="1:2" ht="14.25" customHeight="1" x14ac:dyDescent="0.3">
      <c r="A885" s="10"/>
      <c r="B885" s="10"/>
    </row>
    <row r="886" spans="1:2" ht="14.25" customHeight="1" x14ac:dyDescent="0.3">
      <c r="A886" s="10"/>
      <c r="B886" s="10"/>
    </row>
    <row r="887" spans="1:2" ht="14.25" customHeight="1" x14ac:dyDescent="0.3">
      <c r="A887" s="10"/>
      <c r="B887" s="10"/>
    </row>
    <row r="888" spans="1:2" ht="14.25" customHeight="1" x14ac:dyDescent="0.3">
      <c r="A888" s="10"/>
      <c r="B888" s="10"/>
    </row>
    <row r="889" spans="1:2" ht="14.25" customHeight="1" x14ac:dyDescent="0.3">
      <c r="A889" s="10"/>
      <c r="B889" s="10"/>
    </row>
    <row r="890" spans="1:2" ht="14.25" customHeight="1" x14ac:dyDescent="0.3">
      <c r="A890" s="10"/>
      <c r="B890" s="10"/>
    </row>
    <row r="891" spans="1:2" ht="14.25" customHeight="1" x14ac:dyDescent="0.3">
      <c r="A891" s="10"/>
      <c r="B891" s="10"/>
    </row>
    <row r="892" spans="1:2" ht="14.25" customHeight="1" x14ac:dyDescent="0.3">
      <c r="A892" s="10"/>
      <c r="B892" s="10"/>
    </row>
    <row r="893" spans="1:2" ht="14.25" customHeight="1" x14ac:dyDescent="0.3">
      <c r="A893" s="10"/>
      <c r="B893" s="10"/>
    </row>
    <row r="894" spans="1:2" ht="14.25" customHeight="1" x14ac:dyDescent="0.3">
      <c r="A894" s="10"/>
      <c r="B894" s="10"/>
    </row>
    <row r="895" spans="1:2" ht="14.25" customHeight="1" x14ac:dyDescent="0.3">
      <c r="A895" s="10"/>
      <c r="B895" s="10"/>
    </row>
    <row r="896" spans="1:2" ht="14.25" customHeight="1" x14ac:dyDescent="0.3">
      <c r="A896" s="10"/>
      <c r="B896" s="10"/>
    </row>
    <row r="897" spans="1:2" ht="14.25" customHeight="1" x14ac:dyDescent="0.3">
      <c r="A897" s="10"/>
      <c r="B897" s="10"/>
    </row>
    <row r="898" spans="1:2" ht="14.25" customHeight="1" x14ac:dyDescent="0.3">
      <c r="A898" s="10"/>
      <c r="B898" s="10"/>
    </row>
    <row r="899" spans="1:2" ht="14.25" customHeight="1" x14ac:dyDescent="0.3">
      <c r="A899" s="10"/>
      <c r="B899" s="10"/>
    </row>
    <row r="900" spans="1:2" ht="14.25" customHeight="1" x14ac:dyDescent="0.3">
      <c r="A900" s="10"/>
      <c r="B900" s="10"/>
    </row>
    <row r="901" spans="1:2" ht="14.25" customHeight="1" x14ac:dyDescent="0.3">
      <c r="A901" s="10"/>
      <c r="B901" s="10"/>
    </row>
    <row r="902" spans="1:2" ht="14.25" customHeight="1" x14ac:dyDescent="0.3">
      <c r="A902" s="10"/>
      <c r="B902" s="10"/>
    </row>
    <row r="903" spans="1:2" ht="14.25" customHeight="1" x14ac:dyDescent="0.3">
      <c r="A903" s="10"/>
      <c r="B903" s="10"/>
    </row>
    <row r="904" spans="1:2" ht="14.25" customHeight="1" x14ac:dyDescent="0.3">
      <c r="A904" s="10"/>
      <c r="B904" s="10"/>
    </row>
    <row r="905" spans="1:2" ht="14.25" customHeight="1" x14ac:dyDescent="0.3">
      <c r="A905" s="10"/>
      <c r="B905" s="10"/>
    </row>
    <row r="906" spans="1:2" ht="14.25" customHeight="1" x14ac:dyDescent="0.3">
      <c r="A906" s="10"/>
      <c r="B906" s="10"/>
    </row>
    <row r="907" spans="1:2" ht="14.25" customHeight="1" x14ac:dyDescent="0.3">
      <c r="A907" s="10"/>
      <c r="B907" s="10"/>
    </row>
    <row r="908" spans="1:2" ht="14.25" customHeight="1" x14ac:dyDescent="0.3">
      <c r="A908" s="10"/>
      <c r="B908" s="10"/>
    </row>
    <row r="909" spans="1:2" ht="14.25" customHeight="1" x14ac:dyDescent="0.3">
      <c r="A909" s="10"/>
      <c r="B909" s="10"/>
    </row>
    <row r="910" spans="1:2" ht="14.25" customHeight="1" x14ac:dyDescent="0.3">
      <c r="A910" s="10"/>
      <c r="B910" s="10"/>
    </row>
    <row r="911" spans="1:2" ht="14.25" customHeight="1" x14ac:dyDescent="0.3">
      <c r="A911" s="10"/>
      <c r="B911" s="10"/>
    </row>
    <row r="912" spans="1:2" ht="14.25" customHeight="1" x14ac:dyDescent="0.3">
      <c r="A912" s="10"/>
      <c r="B912" s="10"/>
    </row>
    <row r="913" spans="1:2" ht="14.25" customHeight="1" x14ac:dyDescent="0.3">
      <c r="A913" s="10"/>
      <c r="B913" s="10"/>
    </row>
    <row r="914" spans="1:2" ht="14.25" customHeight="1" x14ac:dyDescent="0.3">
      <c r="A914" s="10"/>
      <c r="B914" s="10"/>
    </row>
    <row r="915" spans="1:2" ht="14.25" customHeight="1" x14ac:dyDescent="0.3">
      <c r="A915" s="10"/>
      <c r="B915" s="10"/>
    </row>
    <row r="916" spans="1:2" ht="14.25" customHeight="1" x14ac:dyDescent="0.3">
      <c r="A916" s="10"/>
      <c r="B916" s="10"/>
    </row>
    <row r="917" spans="1:2" ht="14.25" customHeight="1" x14ac:dyDescent="0.3">
      <c r="A917" s="10"/>
      <c r="B917" s="10"/>
    </row>
    <row r="918" spans="1:2" ht="14.25" customHeight="1" x14ac:dyDescent="0.3">
      <c r="A918" s="10"/>
      <c r="B918" s="10"/>
    </row>
    <row r="919" spans="1:2" ht="14.25" customHeight="1" x14ac:dyDescent="0.3">
      <c r="A919" s="10"/>
      <c r="B919" s="10"/>
    </row>
    <row r="920" spans="1:2" ht="14.25" customHeight="1" x14ac:dyDescent="0.3">
      <c r="A920" s="10"/>
      <c r="B920" s="10"/>
    </row>
    <row r="921" spans="1:2" ht="14.25" customHeight="1" x14ac:dyDescent="0.3">
      <c r="A921" s="10"/>
      <c r="B921" s="10"/>
    </row>
    <row r="922" spans="1:2" ht="14.25" customHeight="1" x14ac:dyDescent="0.3">
      <c r="A922" s="10"/>
      <c r="B922" s="10"/>
    </row>
    <row r="923" spans="1:2" ht="14.25" customHeight="1" x14ac:dyDescent="0.3">
      <c r="A923" s="10"/>
      <c r="B923" s="10"/>
    </row>
    <row r="924" spans="1:2" ht="14.25" customHeight="1" x14ac:dyDescent="0.3">
      <c r="A924" s="10"/>
      <c r="B924" s="10"/>
    </row>
    <row r="925" spans="1:2" ht="14.25" customHeight="1" x14ac:dyDescent="0.3">
      <c r="A925" s="10"/>
      <c r="B925" s="10"/>
    </row>
    <row r="926" spans="1:2" ht="14.25" customHeight="1" x14ac:dyDescent="0.3">
      <c r="A926" s="10"/>
      <c r="B926" s="10"/>
    </row>
    <row r="927" spans="1:2" ht="14.25" customHeight="1" x14ac:dyDescent="0.3">
      <c r="A927" s="10"/>
      <c r="B927" s="10"/>
    </row>
    <row r="928" spans="1:2" ht="14.25" customHeight="1" x14ac:dyDescent="0.3">
      <c r="A928" s="10"/>
      <c r="B928" s="10"/>
    </row>
    <row r="929" spans="1:2" ht="14.25" customHeight="1" x14ac:dyDescent="0.3">
      <c r="A929" s="10"/>
      <c r="B929" s="10"/>
    </row>
    <row r="930" spans="1:2" ht="14.25" customHeight="1" x14ac:dyDescent="0.3">
      <c r="A930" s="10"/>
      <c r="B930" s="10"/>
    </row>
    <row r="931" spans="1:2" ht="14.25" customHeight="1" x14ac:dyDescent="0.3">
      <c r="A931" s="10"/>
      <c r="B931" s="10"/>
    </row>
    <row r="932" spans="1:2" ht="14.25" customHeight="1" x14ac:dyDescent="0.3">
      <c r="A932" s="10"/>
      <c r="B932" s="10"/>
    </row>
    <row r="933" spans="1:2" ht="14.25" customHeight="1" x14ac:dyDescent="0.3">
      <c r="A933" s="10"/>
      <c r="B933" s="10"/>
    </row>
    <row r="934" spans="1:2" ht="14.25" customHeight="1" x14ac:dyDescent="0.3">
      <c r="A934" s="10"/>
      <c r="B934" s="10"/>
    </row>
    <row r="935" spans="1:2" ht="14.25" customHeight="1" x14ac:dyDescent="0.3">
      <c r="A935" s="10"/>
      <c r="B935" s="10"/>
    </row>
    <row r="936" spans="1:2" ht="14.25" customHeight="1" x14ac:dyDescent="0.3">
      <c r="A936" s="10"/>
      <c r="B936" s="10"/>
    </row>
    <row r="937" spans="1:2" ht="14.25" customHeight="1" x14ac:dyDescent="0.3">
      <c r="A937" s="10"/>
      <c r="B937" s="10"/>
    </row>
    <row r="938" spans="1:2" ht="14.25" customHeight="1" x14ac:dyDescent="0.3">
      <c r="A938" s="10"/>
      <c r="B938" s="10"/>
    </row>
    <row r="939" spans="1:2" ht="14.25" customHeight="1" x14ac:dyDescent="0.3">
      <c r="A939" s="10"/>
      <c r="B939" s="10"/>
    </row>
    <row r="940" spans="1:2" ht="14.25" customHeight="1" x14ac:dyDescent="0.3">
      <c r="A940" s="10"/>
      <c r="B940" s="10"/>
    </row>
    <row r="941" spans="1:2" ht="14.25" customHeight="1" x14ac:dyDescent="0.3">
      <c r="A941" s="10"/>
      <c r="B941" s="10"/>
    </row>
    <row r="942" spans="1:2" ht="14.25" customHeight="1" x14ac:dyDescent="0.3">
      <c r="A942" s="10"/>
      <c r="B942" s="10"/>
    </row>
    <row r="943" spans="1:2" ht="14.25" customHeight="1" x14ac:dyDescent="0.3">
      <c r="A943" s="10"/>
      <c r="B943" s="10"/>
    </row>
    <row r="944" spans="1:2" ht="14.25" customHeight="1" x14ac:dyDescent="0.3">
      <c r="A944" s="10"/>
      <c r="B944" s="10"/>
    </row>
    <row r="945" spans="1:2" ht="14.25" customHeight="1" x14ac:dyDescent="0.3">
      <c r="A945" s="10"/>
      <c r="B945" s="10"/>
    </row>
    <row r="946" spans="1:2" ht="14.25" customHeight="1" x14ac:dyDescent="0.3">
      <c r="A946" s="10"/>
      <c r="B946" s="10"/>
    </row>
    <row r="947" spans="1:2" ht="14.25" customHeight="1" x14ac:dyDescent="0.3">
      <c r="A947" s="10"/>
      <c r="B947" s="10"/>
    </row>
    <row r="948" spans="1:2" ht="14.25" customHeight="1" x14ac:dyDescent="0.3">
      <c r="A948" s="10"/>
      <c r="B948" s="10"/>
    </row>
    <row r="949" spans="1:2" ht="14.25" customHeight="1" x14ac:dyDescent="0.3">
      <c r="A949" s="10"/>
      <c r="B949" s="10"/>
    </row>
    <row r="950" spans="1:2" ht="14.25" customHeight="1" x14ac:dyDescent="0.3">
      <c r="A950" s="10"/>
      <c r="B950" s="10"/>
    </row>
    <row r="951" spans="1:2" ht="14.25" customHeight="1" x14ac:dyDescent="0.3">
      <c r="A951" s="10"/>
      <c r="B951" s="10"/>
    </row>
    <row r="952" spans="1:2" ht="14.25" customHeight="1" x14ac:dyDescent="0.3">
      <c r="A952" s="10"/>
      <c r="B952" s="10"/>
    </row>
    <row r="953" spans="1:2" ht="14.25" customHeight="1" x14ac:dyDescent="0.3">
      <c r="A953" s="10"/>
      <c r="B953" s="10"/>
    </row>
    <row r="954" spans="1:2" ht="14.25" customHeight="1" x14ac:dyDescent="0.3">
      <c r="A954" s="10"/>
      <c r="B954" s="10"/>
    </row>
    <row r="955" spans="1:2" ht="14.25" customHeight="1" x14ac:dyDescent="0.3">
      <c r="A955" s="10"/>
      <c r="B955" s="10"/>
    </row>
    <row r="956" spans="1:2" ht="14.25" customHeight="1" x14ac:dyDescent="0.3">
      <c r="A956" s="10"/>
      <c r="B956" s="10"/>
    </row>
    <row r="957" spans="1:2" ht="14.25" customHeight="1" x14ac:dyDescent="0.3">
      <c r="A957" s="10"/>
      <c r="B957" s="10"/>
    </row>
    <row r="958" spans="1:2" ht="14.25" customHeight="1" x14ac:dyDescent="0.3">
      <c r="A958" s="10"/>
      <c r="B958" s="10"/>
    </row>
    <row r="959" spans="1:2" ht="14.25" customHeight="1" x14ac:dyDescent="0.3">
      <c r="A959" s="10"/>
      <c r="B959" s="10"/>
    </row>
    <row r="960" spans="1:2" ht="14.25" customHeight="1" x14ac:dyDescent="0.3">
      <c r="A960" s="10"/>
      <c r="B960" s="10"/>
    </row>
    <row r="961" spans="1:2" ht="14.25" customHeight="1" x14ac:dyDescent="0.3">
      <c r="A961" s="10"/>
      <c r="B961" s="10"/>
    </row>
    <row r="962" spans="1:2" ht="14.25" customHeight="1" x14ac:dyDescent="0.3">
      <c r="A962" s="10"/>
      <c r="B962" s="10"/>
    </row>
    <row r="963" spans="1:2" ht="14.25" customHeight="1" x14ac:dyDescent="0.3">
      <c r="A963" s="10"/>
      <c r="B963" s="10"/>
    </row>
    <row r="964" spans="1:2" ht="14.25" customHeight="1" x14ac:dyDescent="0.3">
      <c r="A964" s="10"/>
      <c r="B964" s="10"/>
    </row>
    <row r="965" spans="1:2" ht="14.25" customHeight="1" x14ac:dyDescent="0.3">
      <c r="A965" s="10"/>
      <c r="B965" s="10"/>
    </row>
    <row r="966" spans="1:2" ht="14.25" customHeight="1" x14ac:dyDescent="0.3">
      <c r="A966" s="10"/>
      <c r="B966" s="10"/>
    </row>
    <row r="967" spans="1:2" ht="14.25" customHeight="1" x14ac:dyDescent="0.3">
      <c r="A967" s="10"/>
      <c r="B967" s="10"/>
    </row>
    <row r="968" spans="1:2" ht="14.25" customHeight="1" x14ac:dyDescent="0.3">
      <c r="A968" s="10"/>
      <c r="B968" s="10"/>
    </row>
    <row r="969" spans="1:2" ht="14.25" customHeight="1" x14ac:dyDescent="0.3">
      <c r="A969" s="10"/>
      <c r="B969" s="10"/>
    </row>
    <row r="970" spans="1:2" ht="14.25" customHeight="1" x14ac:dyDescent="0.3">
      <c r="A970" s="10"/>
      <c r="B970" s="10"/>
    </row>
    <row r="971" spans="1:2" ht="14.25" customHeight="1" x14ac:dyDescent="0.3">
      <c r="A971" s="10"/>
      <c r="B971" s="10"/>
    </row>
    <row r="972" spans="1:2" ht="14.25" customHeight="1" x14ac:dyDescent="0.3">
      <c r="A972" s="10"/>
      <c r="B972" s="10"/>
    </row>
    <row r="973" spans="1:2" ht="14.25" customHeight="1" x14ac:dyDescent="0.3">
      <c r="A973" s="10"/>
      <c r="B973" s="10"/>
    </row>
    <row r="974" spans="1:2" ht="14.25" customHeight="1" x14ac:dyDescent="0.3">
      <c r="A974" s="10"/>
      <c r="B974" s="10"/>
    </row>
    <row r="975" spans="1:2" ht="14.25" customHeight="1" x14ac:dyDescent="0.3">
      <c r="A975" s="10"/>
      <c r="B975" s="10"/>
    </row>
    <row r="976" spans="1:2" ht="14.25" customHeight="1" x14ac:dyDescent="0.3">
      <c r="A976" s="10"/>
      <c r="B976" s="10"/>
    </row>
    <row r="977" spans="1:2" ht="14.25" customHeight="1" x14ac:dyDescent="0.3">
      <c r="A977" s="10"/>
      <c r="B977" s="10"/>
    </row>
    <row r="978" spans="1:2" ht="14.25" customHeight="1" x14ac:dyDescent="0.3">
      <c r="A978" s="10"/>
      <c r="B978" s="10"/>
    </row>
    <row r="979" spans="1:2" ht="14.25" customHeight="1" x14ac:dyDescent="0.3">
      <c r="A979" s="10"/>
      <c r="B979" s="10"/>
    </row>
    <row r="980" spans="1:2" ht="14.25" customHeight="1" x14ac:dyDescent="0.3">
      <c r="A980" s="10"/>
      <c r="B980" s="10"/>
    </row>
    <row r="981" spans="1:2" ht="14.25" customHeight="1" x14ac:dyDescent="0.3">
      <c r="A981" s="10"/>
      <c r="B981" s="10"/>
    </row>
    <row r="982" spans="1:2" ht="14.25" customHeight="1" x14ac:dyDescent="0.3">
      <c r="A982" s="10"/>
      <c r="B982" s="10"/>
    </row>
    <row r="983" spans="1:2" ht="14.25" customHeight="1" x14ac:dyDescent="0.3">
      <c r="A983" s="10"/>
      <c r="B983" s="10"/>
    </row>
    <row r="984" spans="1:2" ht="14.25" customHeight="1" x14ac:dyDescent="0.3">
      <c r="A984" s="10"/>
      <c r="B984" s="10"/>
    </row>
    <row r="985" spans="1:2" ht="14.25" customHeight="1" x14ac:dyDescent="0.3">
      <c r="A985" s="10"/>
      <c r="B985" s="10"/>
    </row>
    <row r="986" spans="1:2" ht="14.25" customHeight="1" x14ac:dyDescent="0.3">
      <c r="A986" s="10"/>
      <c r="B986" s="10"/>
    </row>
    <row r="987" spans="1:2" ht="14.25" customHeight="1" x14ac:dyDescent="0.3">
      <c r="A987" s="10"/>
      <c r="B987" s="10"/>
    </row>
    <row r="988" spans="1:2" ht="14.25" customHeight="1" x14ac:dyDescent="0.3">
      <c r="A988" s="10"/>
      <c r="B988" s="10"/>
    </row>
    <row r="989" spans="1:2" ht="14.25" customHeight="1" x14ac:dyDescent="0.3">
      <c r="A989" s="10"/>
      <c r="B989" s="10"/>
    </row>
    <row r="990" spans="1:2" ht="14.25" customHeight="1" x14ac:dyDescent="0.3">
      <c r="A990" s="10"/>
      <c r="B990" s="10"/>
    </row>
    <row r="991" spans="1:2" ht="14.25" customHeight="1" x14ac:dyDescent="0.3">
      <c r="A991" s="10"/>
      <c r="B991" s="10"/>
    </row>
    <row r="992" spans="1:2" ht="14.25" customHeight="1" x14ac:dyDescent="0.3">
      <c r="A992" s="10"/>
      <c r="B992" s="10"/>
    </row>
    <row r="993" spans="1:2" ht="14.25" customHeight="1" x14ac:dyDescent="0.3">
      <c r="A993" s="10"/>
      <c r="B993" s="10"/>
    </row>
    <row r="994" spans="1:2" ht="14.25" customHeight="1" x14ac:dyDescent="0.3">
      <c r="A994" s="10"/>
      <c r="B994" s="10"/>
    </row>
    <row r="995" spans="1:2" ht="14.25" customHeight="1" x14ac:dyDescent="0.3">
      <c r="A995" s="10"/>
      <c r="B995" s="10"/>
    </row>
    <row r="996" spans="1:2" ht="14.25" customHeight="1" x14ac:dyDescent="0.3">
      <c r="A996" s="10"/>
      <c r="B996" s="10"/>
    </row>
    <row r="997" spans="1:2" ht="14.25" customHeight="1" x14ac:dyDescent="0.3">
      <c r="A997" s="10"/>
      <c r="B997" s="10"/>
    </row>
    <row r="998" spans="1:2" ht="14.25" customHeight="1" x14ac:dyDescent="0.3">
      <c r="A998" s="10"/>
      <c r="B998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Sheet1</vt:lpstr>
      <vt:lpstr>Planta</vt:lpstr>
      <vt:lpstr>Area</vt:lpstr>
      <vt:lpstr>Categoria</vt:lpstr>
      <vt:lpstr>Clasificación</vt:lpstr>
      <vt:lpstr>Und Med</vt:lpstr>
      <vt:lpstr>Moneda</vt:lpstr>
      <vt:lpstr>Fabricante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Viña</dc:creator>
  <cp:lastModifiedBy>Diego Jaime</cp:lastModifiedBy>
  <dcterms:created xsi:type="dcterms:W3CDTF">2026-01-30T14:55:48Z</dcterms:created>
  <dcterms:modified xsi:type="dcterms:W3CDTF">2026-03-06T21:38:34Z</dcterms:modified>
</cp:coreProperties>
</file>