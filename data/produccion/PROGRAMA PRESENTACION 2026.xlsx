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HPK\"/>
    </mc:Choice>
  </mc:AlternateContent>
  <xr:revisionPtr revIDLastSave="0" documentId="13_ncr:1_{5788B541-817E-41E9-8AC2-8B1B8A0F46AF}" xr6:coauthVersionLast="47" xr6:coauthVersionMax="47" xr10:uidLastSave="{00000000-0000-0000-0000-000000000000}"/>
  <bookViews>
    <workbookView xWindow="-120" yWindow="-120" windowWidth="29040" windowHeight="15720" activeTab="2" xr2:uid="{FC940F51-6BF3-4956-8450-1F1B2D99950D}"/>
  </bookViews>
  <sheets>
    <sheet name="SEMANA 1" sheetId="1" r:id="rId1"/>
    <sheet name="SEMANA 3" sheetId="2" r:id="rId2"/>
    <sheet name="SEMANA 4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3" l="1"/>
  <c r="B30" i="3"/>
  <c r="B29" i="3"/>
  <c r="D92" i="3"/>
  <c r="G91" i="3"/>
  <c r="G90" i="3"/>
  <c r="G89" i="3"/>
  <c r="G88" i="3"/>
  <c r="G87" i="3"/>
  <c r="G86" i="3"/>
  <c r="G85" i="3"/>
  <c r="G84" i="3"/>
  <c r="G83" i="3"/>
  <c r="G82" i="3"/>
  <c r="G92" i="3" s="1"/>
  <c r="F76" i="3"/>
  <c r="B76" i="3"/>
  <c r="F75" i="3"/>
  <c r="B75" i="3"/>
  <c r="F74" i="3"/>
  <c r="B74" i="3"/>
  <c r="F73" i="3"/>
  <c r="B73" i="3"/>
  <c r="F72" i="3"/>
  <c r="B72" i="3"/>
  <c r="F71" i="3"/>
  <c r="B71" i="3"/>
  <c r="F70" i="3"/>
  <c r="B70" i="3"/>
  <c r="F69" i="3"/>
  <c r="B69" i="3"/>
  <c r="F68" i="3"/>
  <c r="B68" i="3"/>
  <c r="F67" i="3"/>
  <c r="B67" i="3"/>
  <c r="N66" i="3"/>
  <c r="L66" i="3"/>
  <c r="K66" i="3"/>
  <c r="F65" i="3"/>
  <c r="B65" i="3"/>
  <c r="F64" i="3"/>
  <c r="B64" i="3"/>
  <c r="F63" i="3"/>
  <c r="B63" i="3"/>
  <c r="F62" i="3"/>
  <c r="B62" i="3"/>
  <c r="N61" i="3"/>
  <c r="L61" i="3"/>
  <c r="K61" i="3"/>
  <c r="F60" i="3"/>
  <c r="B60" i="3"/>
  <c r="F59" i="3"/>
  <c r="B59" i="3"/>
  <c r="F58" i="3"/>
  <c r="B58" i="3"/>
  <c r="F57" i="3"/>
  <c r="B57" i="3"/>
  <c r="F56" i="3"/>
  <c r="B56" i="3"/>
  <c r="F55" i="3"/>
  <c r="B55" i="3"/>
  <c r="F54" i="3"/>
  <c r="B54" i="3"/>
  <c r="F53" i="3"/>
  <c r="B53" i="3"/>
  <c r="F52" i="3"/>
  <c r="B52" i="3"/>
  <c r="N51" i="3"/>
  <c r="L51" i="3"/>
  <c r="K51" i="3"/>
  <c r="F50" i="3"/>
  <c r="B50" i="3"/>
  <c r="F49" i="3"/>
  <c r="B49" i="3"/>
  <c r="F48" i="3"/>
  <c r="B48" i="3"/>
  <c r="F47" i="3"/>
  <c r="B47" i="3"/>
  <c r="F46" i="3"/>
  <c r="B46" i="3"/>
  <c r="N45" i="3"/>
  <c r="L45" i="3"/>
  <c r="K45" i="3"/>
  <c r="F44" i="3"/>
  <c r="B44" i="3"/>
  <c r="F43" i="3"/>
  <c r="B43" i="3"/>
  <c r="F42" i="3"/>
  <c r="B42" i="3"/>
  <c r="N41" i="3"/>
  <c r="L41" i="3"/>
  <c r="K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N32" i="3"/>
  <c r="L32" i="3"/>
  <c r="K32" i="3"/>
  <c r="F31" i="3"/>
  <c r="B31" i="3"/>
  <c r="F28" i="3"/>
  <c r="B28" i="3"/>
  <c r="F27" i="3"/>
  <c r="B27" i="3"/>
  <c r="F26" i="3"/>
  <c r="B26" i="3"/>
  <c r="F25" i="3"/>
  <c r="B25" i="3"/>
  <c r="F24" i="3"/>
  <c r="B24" i="3"/>
  <c r="N23" i="3"/>
  <c r="L23" i="3"/>
  <c r="K23" i="3"/>
  <c r="F21" i="3"/>
  <c r="F20" i="3"/>
  <c r="B20" i="3"/>
  <c r="F19" i="3"/>
  <c r="B19" i="3"/>
  <c r="F18" i="3"/>
  <c r="B18" i="3"/>
  <c r="F17" i="3"/>
  <c r="B17" i="3"/>
  <c r="F16" i="3"/>
  <c r="B16" i="3"/>
  <c r="F15" i="3"/>
  <c r="B15" i="3"/>
  <c r="N14" i="3"/>
  <c r="L14" i="3"/>
  <c r="K14" i="3"/>
  <c r="F13" i="3"/>
  <c r="B13" i="3"/>
  <c r="F12" i="3"/>
  <c r="B12" i="3"/>
  <c r="F11" i="3"/>
  <c r="B11" i="3"/>
  <c r="F10" i="3"/>
  <c r="B10" i="3"/>
  <c r="F9" i="3"/>
  <c r="B9" i="3"/>
  <c r="F8" i="3"/>
  <c r="B8" i="3"/>
  <c r="F7" i="3"/>
  <c r="B7" i="3"/>
  <c r="N6" i="3"/>
  <c r="D6" i="3"/>
  <c r="F37" i="2"/>
  <c r="F36" i="2"/>
  <c r="F35" i="2"/>
  <c r="F34" i="2"/>
  <c r="F33" i="2"/>
  <c r="F32" i="2"/>
  <c r="F31" i="2"/>
  <c r="F28" i="2"/>
  <c r="F27" i="2"/>
  <c r="F26" i="2"/>
  <c r="F25" i="2"/>
  <c r="F24" i="2"/>
  <c r="F23" i="2"/>
  <c r="F21" i="2"/>
  <c r="F20" i="2"/>
  <c r="F19" i="2"/>
  <c r="F18" i="2"/>
  <c r="F17" i="2"/>
  <c r="F16" i="2"/>
  <c r="F15" i="2"/>
  <c r="F8" i="2"/>
  <c r="F9" i="2"/>
  <c r="F10" i="2"/>
  <c r="F11" i="2"/>
  <c r="F7" i="2"/>
  <c r="B99" i="2"/>
  <c r="B98" i="2"/>
  <c r="B97" i="2"/>
  <c r="B96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46" i="2"/>
  <c r="B54" i="2"/>
  <c r="B53" i="2"/>
  <c r="B52" i="2"/>
  <c r="B51" i="2"/>
  <c r="B50" i="2"/>
  <c r="B49" i="2"/>
  <c r="B48" i="2"/>
  <c r="B47" i="2"/>
  <c r="B38" i="2"/>
  <c r="B37" i="2"/>
  <c r="B36" i="2"/>
  <c r="B35" i="2"/>
  <c r="B34" i="2"/>
  <c r="B33" i="2"/>
  <c r="B32" i="2"/>
  <c r="B19" i="2"/>
  <c r="B18" i="2"/>
  <c r="B17" i="2"/>
  <c r="B16" i="2"/>
  <c r="B15" i="2"/>
  <c r="B13" i="2"/>
  <c r="B12" i="2"/>
  <c r="B11" i="2"/>
  <c r="B10" i="2"/>
  <c r="B9" i="2"/>
  <c r="D115" i="2"/>
  <c r="G114" i="2"/>
  <c r="G113" i="2"/>
  <c r="G112" i="2"/>
  <c r="G111" i="2"/>
  <c r="G110" i="2"/>
  <c r="G109" i="2"/>
  <c r="G108" i="2"/>
  <c r="G107" i="2"/>
  <c r="G106" i="2"/>
  <c r="G105" i="2"/>
  <c r="G115" i="2" s="1"/>
  <c r="B95" i="2"/>
  <c r="B94" i="2"/>
  <c r="B93" i="2"/>
  <c r="B92" i="2"/>
  <c r="B91" i="2"/>
  <c r="B90" i="2"/>
  <c r="B89" i="2"/>
  <c r="B88" i="2"/>
  <c r="N87" i="2"/>
  <c r="L87" i="2"/>
  <c r="K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N72" i="2"/>
  <c r="L72" i="2"/>
  <c r="K72" i="2"/>
  <c r="B57" i="2"/>
  <c r="N56" i="2"/>
  <c r="L56" i="2"/>
  <c r="K56" i="2"/>
  <c r="B55" i="2"/>
  <c r="N45" i="2"/>
  <c r="L45" i="2"/>
  <c r="K45" i="2"/>
  <c r="B43" i="2"/>
  <c r="B42" i="2"/>
  <c r="B41" i="2"/>
  <c r="N40" i="2"/>
  <c r="L40" i="2"/>
  <c r="K40" i="2"/>
  <c r="B31" i="2"/>
  <c r="B30" i="2"/>
  <c r="N29" i="2"/>
  <c r="L29" i="2"/>
  <c r="K29" i="2"/>
  <c r="B28" i="2"/>
  <c r="B27" i="2"/>
  <c r="B26" i="2"/>
  <c r="B25" i="2"/>
  <c r="B24" i="2"/>
  <c r="B23" i="2"/>
  <c r="N22" i="2"/>
  <c r="L22" i="2"/>
  <c r="K22" i="2"/>
  <c r="B20" i="2"/>
  <c r="N14" i="2"/>
  <c r="L14" i="2"/>
  <c r="K14" i="2"/>
  <c r="B8" i="2"/>
  <c r="B7" i="2"/>
  <c r="N6" i="2"/>
  <c r="D6" i="2"/>
  <c r="N1" i="2"/>
  <c r="L1" i="2"/>
  <c r="B72" i="1"/>
  <c r="B71" i="1"/>
  <c r="B70" i="1"/>
  <c r="B69" i="1"/>
  <c r="B68" i="1"/>
  <c r="F36" i="1"/>
  <c r="F34" i="1"/>
  <c r="F33" i="1"/>
  <c r="F39" i="1"/>
  <c r="F38" i="1"/>
  <c r="F46" i="1"/>
  <c r="F45" i="1"/>
  <c r="B83" i="1"/>
  <c r="B82" i="1"/>
  <c r="B81" i="1"/>
  <c r="B80" i="1"/>
  <c r="B79" i="1"/>
  <c r="B78" i="1"/>
  <c r="B77" i="1"/>
  <c r="B76" i="1"/>
  <c r="B75" i="1"/>
  <c r="B74" i="1"/>
  <c r="B57" i="1"/>
  <c r="B56" i="1"/>
  <c r="B55" i="1"/>
  <c r="B54" i="1"/>
  <c r="B53" i="1"/>
  <c r="B52" i="1"/>
  <c r="B51" i="1"/>
  <c r="B50" i="1"/>
  <c r="B48" i="1"/>
  <c r="B46" i="1"/>
  <c r="B45" i="1"/>
  <c r="B41" i="1"/>
  <c r="B40" i="1"/>
  <c r="B39" i="1"/>
  <c r="B38" i="1"/>
  <c r="B36" i="1"/>
  <c r="B35" i="1"/>
  <c r="B34" i="1"/>
  <c r="B33" i="1"/>
  <c r="B32" i="1"/>
  <c r="B31" i="1"/>
  <c r="B29" i="1"/>
  <c r="B28" i="1"/>
  <c r="B27" i="1"/>
  <c r="B26" i="1"/>
  <c r="B25" i="1"/>
  <c r="B24" i="1"/>
  <c r="B23" i="1"/>
  <c r="B22" i="1"/>
  <c r="B21" i="1"/>
  <c r="B19" i="1"/>
  <c r="B18" i="1"/>
  <c r="B17" i="1"/>
  <c r="B16" i="1"/>
  <c r="B15" i="1"/>
  <c r="B14" i="1"/>
  <c r="B12" i="1"/>
  <c r="D98" i="1"/>
  <c r="G97" i="1"/>
  <c r="G96" i="1"/>
  <c r="G95" i="1"/>
  <c r="G94" i="1"/>
  <c r="G93" i="1"/>
  <c r="G92" i="1"/>
  <c r="G91" i="1"/>
  <c r="G90" i="1"/>
  <c r="G89" i="1"/>
  <c r="G88" i="1"/>
  <c r="G98" i="1" s="1"/>
  <c r="N73" i="1"/>
  <c r="L73" i="1"/>
  <c r="K73" i="1"/>
  <c r="B67" i="1"/>
  <c r="B66" i="1"/>
  <c r="B65" i="1"/>
  <c r="B64" i="1"/>
  <c r="B63" i="1"/>
  <c r="B62" i="1"/>
  <c r="B61" i="1"/>
  <c r="B60" i="1"/>
  <c r="B59" i="1"/>
  <c r="N58" i="1"/>
  <c r="L58" i="1"/>
  <c r="K58" i="1"/>
  <c r="N49" i="1"/>
  <c r="L49" i="1"/>
  <c r="K49" i="1"/>
  <c r="N43" i="1"/>
  <c r="L43" i="1"/>
  <c r="K43" i="1"/>
  <c r="N37" i="1"/>
  <c r="L37" i="1"/>
  <c r="K37" i="1"/>
  <c r="N30" i="1"/>
  <c r="L30" i="1"/>
  <c r="K30" i="1"/>
  <c r="N20" i="1"/>
  <c r="L20" i="1"/>
  <c r="K20" i="1"/>
  <c r="N11" i="1"/>
  <c r="L11" i="1"/>
  <c r="K11" i="1"/>
  <c r="B10" i="1"/>
  <c r="B9" i="1"/>
  <c r="B8" i="1"/>
  <c r="B7" i="1"/>
  <c r="N6" i="1"/>
  <c r="D6" i="1"/>
  <c r="L1" i="1"/>
  <c r="F77" i="2"/>
  <c r="F79" i="2"/>
  <c r="F80" i="2"/>
  <c r="F81" i="2"/>
  <c r="F82" i="2"/>
  <c r="F60" i="2"/>
  <c r="F61" i="2"/>
  <c r="F62" i="2"/>
  <c r="F63" i="2"/>
  <c r="F64" i="2"/>
  <c r="F63" i="1"/>
  <c r="F50" i="1"/>
  <c r="F32" i="1"/>
  <c r="F21" i="1"/>
  <c r="F59" i="1"/>
  <c r="F8" i="1"/>
  <c r="F65" i="2"/>
  <c r="N1" i="3" l="1"/>
  <c r="F78" i="2"/>
  <c r="F57" i="2"/>
  <c r="F83" i="2"/>
  <c r="F42" i="2"/>
  <c r="F54" i="2"/>
  <c r="F84" i="2"/>
  <c r="F43" i="2"/>
  <c r="F55" i="2"/>
  <c r="F85" i="2"/>
  <c r="F58" i="2"/>
  <c r="F59" i="2"/>
  <c r="F86" i="2"/>
  <c r="F70" i="1"/>
  <c r="F76" i="2"/>
  <c r="F52" i="2"/>
  <c r="F71" i="2"/>
  <c r="F71" i="1"/>
  <c r="F72" i="1"/>
  <c r="F53" i="2"/>
  <c r="F73" i="2"/>
  <c r="F64" i="1"/>
  <c r="F51" i="1"/>
  <c r="F14" i="1"/>
  <c r="F74" i="2"/>
  <c r="F29" i="1"/>
  <c r="F52" i="1"/>
  <c r="F65" i="1"/>
  <c r="F18" i="1"/>
  <c r="F66" i="1"/>
  <c r="F51" i="2"/>
  <c r="F53" i="1"/>
  <c r="F16" i="1"/>
  <c r="F67" i="1"/>
  <c r="F54" i="1"/>
  <c r="F47" i="2"/>
  <c r="F66" i="2"/>
  <c r="F17" i="1"/>
  <c r="F68" i="1"/>
  <c r="F55" i="1"/>
  <c r="F75" i="2"/>
  <c r="F69" i="1"/>
  <c r="F41" i="1"/>
  <c r="F27" i="1"/>
  <c r="F19" i="1"/>
  <c r="F40" i="1"/>
  <c r="F48" i="1"/>
  <c r="F48" i="2"/>
  <c r="F23" i="1"/>
  <c r="F41" i="2"/>
  <c r="F24" i="1"/>
  <c r="F26" i="1"/>
  <c r="F67" i="2"/>
  <c r="F60" i="1"/>
  <c r="F56" i="1"/>
  <c r="F49" i="2"/>
  <c r="F68" i="2"/>
  <c r="F57" i="1"/>
  <c r="F61" i="1"/>
  <c r="F50" i="2"/>
  <c r="F62" i="1"/>
  <c r="F70" i="2"/>
  <c r="F69" i="2"/>
  <c r="F15" i="1"/>
  <c r="F12" i="1"/>
  <c r="F28" i="1"/>
  <c r="N1" i="1"/>
  <c r="F99" i="2" l="1"/>
  <c r="F83" i="1"/>
  <c r="F95" i="2" l="1"/>
  <c r="F80" i="1"/>
  <c r="F96" i="2"/>
  <c r="F81" i="1"/>
  <c r="F31" i="1"/>
  <c r="F97" i="2"/>
  <c r="F82" i="1"/>
  <c r="F98" i="2"/>
  <c r="F25" i="1"/>
  <c r="F75" i="1" l="1"/>
  <c r="F91" i="2" l="1"/>
  <c r="F76" i="1"/>
  <c r="F92" i="2"/>
  <c r="F77" i="1"/>
  <c r="F93" i="2"/>
  <c r="F78" i="1"/>
  <c r="F35" i="1"/>
  <c r="F9" i="1"/>
  <c r="F94" i="2"/>
  <c r="F79" i="1"/>
  <c r="F46" i="2"/>
  <c r="F38" i="2"/>
  <c r="F13" i="2"/>
  <c r="F88" i="2"/>
  <c r="F22" i="1"/>
  <c r="F90" i="2" l="1"/>
  <c r="F74" i="1"/>
  <c r="F10" i="1"/>
  <c r="F7" i="1"/>
  <c r="F89" i="2"/>
  <c r="F30" i="2"/>
  <c r="F12" i="2" l="1"/>
</calcChain>
</file>

<file path=xl/sharedStrings.xml><?xml version="1.0" encoding="utf-8"?>
<sst xmlns="http://schemas.openxmlformats.org/spreadsheetml/2006/main" count="1915" uniqueCount="283">
  <si>
    <t>ID</t>
  </si>
  <si>
    <t>SEMANA N°</t>
  </si>
  <si>
    <t>PROCESOS</t>
  </si>
  <si>
    <t>OTs</t>
  </si>
  <si>
    <t>EFICIENCIA</t>
  </si>
  <si>
    <t>FECHA DE INGRESO</t>
  </si>
  <si>
    <t>REPUESTOS COMPLETOS</t>
  </si>
  <si>
    <t>FECHA LLEGADA REPUESTOS</t>
  </si>
  <si>
    <t>FECHA ESTIMADA DE TERMINO DE REPARACION</t>
  </si>
  <si>
    <t>% GLOBAL DE AVANCE</t>
  </si>
  <si>
    <t>OT</t>
  </si>
  <si>
    <t>DESCRIPCION</t>
  </si>
  <si>
    <t>MODELO</t>
  </si>
  <si>
    <t>Teabajo</t>
  </si>
  <si>
    <t>Start</t>
  </si>
  <si>
    <t>End</t>
  </si>
  <si>
    <t>Person</t>
  </si>
  <si>
    <t>Progress</t>
  </si>
  <si>
    <t>Dependency</t>
  </si>
  <si>
    <t>1</t>
  </si>
  <si>
    <t>TORNO 1</t>
  </si>
  <si>
    <t>1.1</t>
  </si>
  <si>
    <t>-</t>
  </si>
  <si>
    <t xml:space="preserve">EJE DE BATIDOR </t>
  </si>
  <si>
    <t>GENERICO</t>
  </si>
  <si>
    <t>Gabriel Anco</t>
  </si>
  <si>
    <t>1.2</t>
  </si>
  <si>
    <t>CILINDRO DE STICK</t>
  </si>
  <si>
    <t>390DL</t>
  </si>
  <si>
    <t>1.3</t>
  </si>
  <si>
    <t>vie 2/1/26</t>
  </si>
  <si>
    <t>1.4</t>
  </si>
  <si>
    <t>CILINDRO DE JACK HYD</t>
  </si>
  <si>
    <t>PV351D</t>
  </si>
  <si>
    <t>lun 5/1/26</t>
  </si>
  <si>
    <t>2</t>
  </si>
  <si>
    <t>TORNO 2</t>
  </si>
  <si>
    <t>2.1</t>
  </si>
  <si>
    <t>CILINDRO DE LEVANTE DE RIPPER</t>
  </si>
  <si>
    <t>24M</t>
  </si>
  <si>
    <t>Alonzo Otazu</t>
  </si>
  <si>
    <t>2.2</t>
  </si>
  <si>
    <t>CILINDRO DE DIRECCION</t>
  </si>
  <si>
    <t>2.3</t>
  </si>
  <si>
    <t>CILINDRO DE INCLINACION DE BULLDOZER</t>
  </si>
  <si>
    <t>D11T</t>
  </si>
  <si>
    <t>2.4</t>
  </si>
  <si>
    <t>2.5</t>
  </si>
  <si>
    <t>3</t>
  </si>
  <si>
    <t>TORNO 3</t>
  </si>
  <si>
    <t>3.1</t>
  </si>
  <si>
    <t>Armando Ramos</t>
  </si>
  <si>
    <t>3.2</t>
  </si>
  <si>
    <t>3.3</t>
  </si>
  <si>
    <t>CILINDRO DE DIRECCION DE EXCAVADORA</t>
  </si>
  <si>
    <t>3.4</t>
  </si>
  <si>
    <t>CILINDRO DE LEVANTE DE MASTIL</t>
  </si>
  <si>
    <t>MD6540</t>
  </si>
  <si>
    <t>3.5</t>
  </si>
  <si>
    <t>CILINDRO DE LEVANTE DE TOLVA</t>
  </si>
  <si>
    <t>793D</t>
  </si>
  <si>
    <t>4</t>
  </si>
  <si>
    <t>FRESA</t>
  </si>
  <si>
    <t>4.1</t>
  </si>
  <si>
    <t>Jose Huamani</t>
  </si>
  <si>
    <t>4.2</t>
  </si>
  <si>
    <t>4.3</t>
  </si>
  <si>
    <t>4.4</t>
  </si>
  <si>
    <t>4.5</t>
  </si>
  <si>
    <t>359425-1</t>
  </si>
  <si>
    <t>4.6</t>
  </si>
  <si>
    <t>359425-2</t>
  </si>
  <si>
    <t>5</t>
  </si>
  <si>
    <t>MANDRINO</t>
  </si>
  <si>
    <t>5.1</t>
  </si>
  <si>
    <t>930E-4SE</t>
  </si>
  <si>
    <t>Rolando Llayque</t>
  </si>
  <si>
    <t>5.2</t>
  </si>
  <si>
    <t>SOLDADURA 1</t>
  </si>
  <si>
    <t>6.1</t>
  </si>
  <si>
    <t>Justo Arocutipa</t>
  </si>
  <si>
    <t>7</t>
  </si>
  <si>
    <t>SOLDADURA 2</t>
  </si>
  <si>
    <t>7.1</t>
  </si>
  <si>
    <t>8</t>
  </si>
  <si>
    <t>EVALUACION</t>
  </si>
  <si>
    <t>8.1</t>
  </si>
  <si>
    <t>Evaluacion</t>
  </si>
  <si>
    <t>8.2</t>
  </si>
  <si>
    <t>8.3</t>
  </si>
  <si>
    <t>CILINDRO DE VOLTEO DE BUCKET</t>
  </si>
  <si>
    <t>8.4</t>
  </si>
  <si>
    <t>CILINDRO DE LEVANTE DE BULLDOZER</t>
  </si>
  <si>
    <t>D11</t>
  </si>
  <si>
    <t>8.5</t>
  </si>
  <si>
    <t>8.6</t>
  </si>
  <si>
    <t>8.7</t>
  </si>
  <si>
    <t>8.8</t>
  </si>
  <si>
    <t>8.9</t>
  </si>
  <si>
    <t>8.10</t>
  </si>
  <si>
    <t>8.11</t>
  </si>
  <si>
    <t>PITVIPER 351</t>
  </si>
  <si>
    <t>9</t>
  </si>
  <si>
    <t>F. LLEGADA</t>
  </si>
  <si>
    <t>% REP.</t>
  </si>
  <si>
    <t>ARMADO</t>
  </si>
  <si>
    <t>844H</t>
  </si>
  <si>
    <t xml:space="preserve">CILINDRO DE LEVANTE </t>
  </si>
  <si>
    <t>994F</t>
  </si>
  <si>
    <t>QTY OPE</t>
  </si>
  <si>
    <t>HH JORNADA SEMANAL</t>
  </si>
  <si>
    <t>HH NO PRODUCTIVAS</t>
  </si>
  <si>
    <t>HH REAL SEMANA</t>
  </si>
  <si>
    <t xml:space="preserve">% HH </t>
  </si>
  <si>
    <t>COMENTARIO</t>
  </si>
  <si>
    <t>GRAFICA</t>
  </si>
  <si>
    <t>% HH SEMANA (EFECTUADAS)</t>
  </si>
  <si>
    <t>QTY OTS EN PROGRAMA</t>
  </si>
  <si>
    <t>QTY OTS PROGRAMADAS (PROCESOS)</t>
  </si>
  <si>
    <t>QTY OTS PROGRAMADAS (EVALUACION)</t>
  </si>
  <si>
    <t>QTY OTS PROGRAMADAS (ARMADOS)</t>
  </si>
  <si>
    <t xml:space="preserve">% CUMPLIMIENTO SEMANAL </t>
  </si>
  <si>
    <t>BRUÑIDO</t>
  </si>
  <si>
    <t>EVALUACION / ARMADO</t>
  </si>
  <si>
    <t>PINTURA</t>
  </si>
  <si>
    <t xml:space="preserve">         Maquinado de espiga de vástago</t>
  </si>
  <si>
    <t xml:space="preserve">         Colocacon de pines y centrado en torno</t>
  </si>
  <si>
    <t xml:space="preserve">         Fabricación de cilindro (A espera de tubo)</t>
  </si>
  <si>
    <t>mar 2/12/25</t>
  </si>
  <si>
    <t>jue 4/12/25</t>
  </si>
  <si>
    <t>vie 5/12/25</t>
  </si>
  <si>
    <t>mié 10/12/25</t>
  </si>
  <si>
    <t xml:space="preserve">         Fabricacion de vastago. Maquinado de barra cromada</t>
  </si>
  <si>
    <t>STOCK</t>
  </si>
  <si>
    <t xml:space="preserve">         Corte de tapa, cilindro se encuentra amarrado.</t>
  </si>
  <si>
    <t xml:space="preserve">         Corte de cilindro</t>
  </si>
  <si>
    <t xml:space="preserve">         Corte de vástago</t>
  </si>
  <si>
    <t xml:space="preserve">         Corte de vástago (confirmar)</t>
  </si>
  <si>
    <t xml:space="preserve">         Fabricacion de bocinas</t>
  </si>
  <si>
    <t>CILINDRO DE VOLTEO DE VERTEDERA</t>
  </si>
  <si>
    <t>844K</t>
  </si>
  <si>
    <t>D475</t>
  </si>
  <si>
    <t>mar 6/1/26</t>
  </si>
  <si>
    <t>mié 7/1/26</t>
  </si>
  <si>
    <t>jue 8/1/26</t>
  </si>
  <si>
    <t>vie 9/1/26</t>
  </si>
  <si>
    <t>2.6</t>
  </si>
  <si>
    <t>2.7</t>
  </si>
  <si>
    <t>2.8</t>
  </si>
  <si>
    <t xml:space="preserve">         Recuperacion de tuerca y embolo de espiga rota</t>
  </si>
  <si>
    <t xml:space="preserve">         Maquinar vastago para reparar fisuras</t>
  </si>
  <si>
    <t xml:space="preserve">         Rectificado de tapa (revisar)</t>
  </si>
  <si>
    <t xml:space="preserve">         Rectificado de cara de embolo</t>
  </si>
  <si>
    <t xml:space="preserve">         Rectificado de alojamieno de sello a 96</t>
  </si>
  <si>
    <t xml:space="preserve">         Rectificado de alojamiento de tapa</t>
  </si>
  <si>
    <t xml:space="preserve">         Desbronque de acero para fabricar tapa</t>
  </si>
  <si>
    <t>lun 12/1/26</t>
  </si>
  <si>
    <t>3.6</t>
  </si>
  <si>
    <t>3.7</t>
  </si>
  <si>
    <t>3.8</t>
  </si>
  <si>
    <t>3.9</t>
  </si>
  <si>
    <t xml:space="preserve">         Destajes de tapa</t>
  </si>
  <si>
    <t xml:space="preserve">         Barrenado de pivotantes de trunnion</t>
  </si>
  <si>
    <t xml:space="preserve">         Barrenado de alojamiento de cilindro</t>
  </si>
  <si>
    <t xml:space="preserve">         Barrenado de alojamiento de cilindro (esperar que se maquine)</t>
  </si>
  <si>
    <t xml:space="preserve">         Trabajos extras</t>
  </si>
  <si>
    <t xml:space="preserve">         Barrenado de cilindro</t>
  </si>
  <si>
    <t>Mantto</t>
  </si>
  <si>
    <t xml:space="preserve">         Reparacion de tolva de camion</t>
  </si>
  <si>
    <t xml:space="preserve">         Relleno de alojamiento + soldadura de J1</t>
  </si>
  <si>
    <t>stock</t>
  </si>
  <si>
    <t xml:space="preserve">         Relleno de pivotantes de trunnion</t>
  </si>
  <si>
    <t xml:space="preserve">         Relleno de alojamiento de cilindro</t>
  </si>
  <si>
    <t xml:space="preserve">         Relleno de alojamiento de tapa posterior</t>
  </si>
  <si>
    <t>336DL</t>
  </si>
  <si>
    <t>CILINDRO DE BOOM</t>
  </si>
  <si>
    <t>PC1250</t>
  </si>
  <si>
    <t>Giancarlo Ibarra</t>
  </si>
  <si>
    <t>7.2</t>
  </si>
  <si>
    <t>7.3</t>
  </si>
  <si>
    <t>7.4</t>
  </si>
  <si>
    <t>7.5</t>
  </si>
  <si>
    <t>7.6</t>
  </si>
  <si>
    <t>7.7</t>
  </si>
  <si>
    <t>7.8</t>
  </si>
  <si>
    <t>6.2</t>
  </si>
  <si>
    <t>6.3</t>
  </si>
  <si>
    <t>6.4</t>
  </si>
  <si>
    <t>6.5</t>
  </si>
  <si>
    <t>5.3</t>
  </si>
  <si>
    <t>5.4</t>
  </si>
  <si>
    <t>5.5</t>
  </si>
  <si>
    <t xml:space="preserve">         Armado. Falta bruñido</t>
  </si>
  <si>
    <t xml:space="preserve">         Armado (OK)</t>
  </si>
  <si>
    <t>ACUMULADOR DE FRENO</t>
  </si>
  <si>
    <t>988K</t>
  </si>
  <si>
    <t>NO INFO</t>
  </si>
  <si>
    <t>ENROLLADOR DE CABLES</t>
  </si>
  <si>
    <t>834H</t>
  </si>
  <si>
    <t>CILINDRO DE EXTENSION DE GRUA</t>
  </si>
  <si>
    <t>CILINDRO DE SUSPENSION POSTERIOR</t>
  </si>
  <si>
    <t>980E-4SE</t>
  </si>
  <si>
    <t>8.12</t>
  </si>
  <si>
    <t>8.13</t>
  </si>
  <si>
    <t>8.14</t>
  </si>
  <si>
    <t>S1</t>
  </si>
  <si>
    <t>S2</t>
  </si>
  <si>
    <t>S3</t>
  </si>
  <si>
    <t>S4</t>
  </si>
  <si>
    <t xml:space="preserve">         Corte de vastago</t>
  </si>
  <si>
    <t xml:space="preserve">         Maquinado de encastre de tubo posterior</t>
  </si>
  <si>
    <t xml:space="preserve">         Maquinado de interior de brida</t>
  </si>
  <si>
    <t>mar 13/1/26</t>
  </si>
  <si>
    <t>mié 14/1/26</t>
  </si>
  <si>
    <t>jue 15/1/26</t>
  </si>
  <si>
    <t>vie 16/1/26</t>
  </si>
  <si>
    <t xml:space="preserve">         Fabricacion de vástago, maquinado de barra</t>
  </si>
  <si>
    <t xml:space="preserve">         Fabricacion de bocina</t>
  </si>
  <si>
    <t xml:space="preserve">         Fabricacion de dados de anclaje</t>
  </si>
  <si>
    <t>lun 19/1/26</t>
  </si>
  <si>
    <t xml:space="preserve">         Maquinado de encastre de cancamo de vastago</t>
  </si>
  <si>
    <t xml:space="preserve">         Fabricacion de piston</t>
  </si>
  <si>
    <t xml:space="preserve">         Fabricacion de tapa</t>
  </si>
  <si>
    <t xml:space="preserve">         Barrenado de alojamientos de cancamo</t>
  </si>
  <si>
    <t xml:space="preserve">         Barrenado de alojamiento de vastago (a espera de cromo)</t>
  </si>
  <si>
    <t xml:space="preserve">         Barrenado de alojamiento de vastago</t>
  </si>
  <si>
    <t xml:space="preserve">         Barrenado de vastago + maquinado de caras + centrado</t>
  </si>
  <si>
    <t xml:space="preserve">         Barrenado de vastago</t>
  </si>
  <si>
    <t xml:space="preserve">         Soldadura de Junta de cancamo</t>
  </si>
  <si>
    <t xml:space="preserve">         Soldadura de J1 + relleno de alojamiento de vastago</t>
  </si>
  <si>
    <t xml:space="preserve">         Relleno de alojamientos de vastago</t>
  </si>
  <si>
    <t xml:space="preserve">         Relleno de alojamiento de vastago</t>
  </si>
  <si>
    <t>CILINDRO DE DESPLAZAMIENTO DE VERTEDERA</t>
  </si>
  <si>
    <t>HD1500</t>
  </si>
  <si>
    <t>mar 20/1/26</t>
  </si>
  <si>
    <t>vie 17/10/25</t>
  </si>
  <si>
    <t xml:space="preserve">         Evaluacion</t>
  </si>
  <si>
    <t>CILINDRO DE BLADELIFT</t>
  </si>
  <si>
    <t xml:space="preserve">         Armado. A espera de cromo (EMERGENCIA)</t>
  </si>
  <si>
    <t xml:space="preserve">         Armado. A espera de barrenados (EMERGENCIA)</t>
  </si>
  <si>
    <t>1.5</t>
  </si>
  <si>
    <t>1.6</t>
  </si>
  <si>
    <t>1.7</t>
  </si>
  <si>
    <t>4.7</t>
  </si>
  <si>
    <t>4.8</t>
  </si>
  <si>
    <t>4.9</t>
  </si>
  <si>
    <t>4.10</t>
  </si>
  <si>
    <t>6.6</t>
  </si>
  <si>
    <t>6.7</t>
  </si>
  <si>
    <t>6.8</t>
  </si>
  <si>
    <t>6.9</t>
  </si>
  <si>
    <t>6.10</t>
  </si>
  <si>
    <t>7.9</t>
  </si>
  <si>
    <t>7.10</t>
  </si>
  <si>
    <t>7.11</t>
  </si>
  <si>
    <t>7.12</t>
  </si>
  <si>
    <t>7.13</t>
  </si>
  <si>
    <t>7.14</t>
  </si>
  <si>
    <t>7.15</t>
  </si>
  <si>
    <t xml:space="preserve">         Maquinado de diámetro de salida de cilindro</t>
  </si>
  <si>
    <t xml:space="preserve">         Corte de tubo</t>
  </si>
  <si>
    <t xml:space="preserve">         Fabriacion de cilindro, maquinado de tubo nuevo (a espera de llegada)</t>
  </si>
  <si>
    <t>mié 21/1/26</t>
  </si>
  <si>
    <t>mié 28/1/26</t>
  </si>
  <si>
    <t>jue 29/1/26</t>
  </si>
  <si>
    <t>vie 30/1/26</t>
  </si>
  <si>
    <t>lun 2/2/26</t>
  </si>
  <si>
    <t xml:space="preserve">         Fabricar soporte</t>
  </si>
  <si>
    <t xml:space="preserve">         Soldadura de soporte. + Corte de vástago + maquinado de encastre</t>
  </si>
  <si>
    <t xml:space="preserve">         Rectificado de superficie roscada</t>
  </si>
  <si>
    <t xml:space="preserve">         Maquinado de tubo nuevo</t>
  </si>
  <si>
    <t xml:space="preserve">         Maquinado de superficie roscada de tapa</t>
  </si>
  <si>
    <t xml:space="preserve">         Maquinado de encastre de cilindro </t>
  </si>
  <si>
    <t xml:space="preserve">         Maquinado de encastre de cancamo </t>
  </si>
  <si>
    <t>jue 22/1/26</t>
  </si>
  <si>
    <t>vie 23/1/26</t>
  </si>
  <si>
    <t>lun 20/10/25</t>
  </si>
  <si>
    <t>mar 21/10/25</t>
  </si>
  <si>
    <t xml:space="preserve">         Soldadura de J1 + J2 + relleno de alojamiento</t>
  </si>
  <si>
    <t xml:space="preserve">         Soldadura de J1 + relleno de ojo de vastago</t>
  </si>
  <si>
    <t xml:space="preserve">         Armado (OK). Falta bruñido</t>
  </si>
  <si>
    <t>980E</t>
  </si>
  <si>
    <t>ACUMULADOR DE 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</si>
</sst>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13" x14ac:knownFonts="1">
    <font>
      <sz val="10"/>
      <color rgb="FF00000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20"/>
      <color rgb="FF3F3F3F"/>
      <name val="Arial"/>
      <family val="2"/>
      <scheme val="minor"/>
    </font>
    <font>
      <b/>
      <sz val="20"/>
      <color rgb="FFFFFFFF"/>
      <name val="Arial"/>
      <family val="2"/>
      <scheme val="minor"/>
    </font>
    <font>
      <b/>
      <sz val="1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8B78D"/>
        <bgColor rgb="FF28B78D"/>
      </patternFill>
    </fill>
    <fill>
      <patternFill patternType="solid">
        <fgColor rgb="FF616161"/>
        <bgColor rgb="FF616161"/>
      </patternFill>
    </fill>
    <fill>
      <patternFill patternType="solid">
        <fgColor theme="6" tint="0.59999389629810485"/>
        <bgColor rgb="FF616161"/>
      </patternFill>
    </fill>
    <fill>
      <patternFill patternType="solid">
        <fgColor theme="9"/>
        <bgColor rgb="FFF3F3F3"/>
      </patternFill>
    </fill>
    <fill>
      <patternFill patternType="solid">
        <fgColor theme="0"/>
        <bgColor rgb="FF616161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2" tint="-0.249977111117893"/>
        <bgColor rgb="FFF3F3F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rgb="FFF3F3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61616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16161"/>
      </right>
      <top/>
      <bottom/>
      <diagonal/>
    </border>
    <border>
      <left style="thick">
        <color rgb="FF616161"/>
      </left>
      <right/>
      <top/>
      <bottom style="thin">
        <color rgb="FFDADFE8"/>
      </bottom>
      <diagonal/>
    </border>
    <border>
      <left/>
      <right/>
      <top/>
      <bottom style="thin">
        <color rgb="FFDADFE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16161"/>
      </right>
      <top/>
      <bottom style="thin">
        <color rgb="FFDADFE8"/>
      </bottom>
      <diagonal/>
    </border>
    <border>
      <left style="thick">
        <color rgb="FF616161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ck">
        <color rgb="FF616161"/>
      </right>
      <top/>
      <bottom/>
      <diagonal/>
    </border>
    <border>
      <left/>
      <right/>
      <top/>
      <bottom style="thick">
        <color rgb="FFDADFE8"/>
      </bottom>
      <diagonal/>
    </border>
    <border>
      <left style="thick">
        <color rgb="FF616161"/>
      </left>
      <right style="thin">
        <color rgb="FFDADFE8"/>
      </right>
      <top/>
      <bottom style="thick">
        <color rgb="FFDADFE8"/>
      </bottom>
      <diagonal/>
    </border>
    <border>
      <left style="thin">
        <color rgb="FFDADFE8"/>
      </left>
      <right style="thin">
        <color rgb="FFDADFE8"/>
      </right>
      <top/>
      <bottom style="thick">
        <color rgb="FFDADFE8"/>
      </bottom>
      <diagonal/>
    </border>
    <border>
      <left style="thin">
        <color rgb="FFDADFE8"/>
      </left>
      <right style="thick">
        <color rgb="FF616161"/>
      </right>
      <top/>
      <bottom style="thick">
        <color rgb="FFDADFE8"/>
      </bottom>
      <diagonal/>
    </border>
    <border>
      <left style="thick">
        <color rgb="FF616161"/>
      </left>
      <right style="thin">
        <color rgb="FFDADFE8"/>
      </right>
      <top/>
      <bottom style="thin">
        <color rgb="FFDADFE8"/>
      </bottom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  <border>
      <left style="thin">
        <color rgb="FFDADFE8"/>
      </left>
      <right/>
      <top/>
      <bottom style="thin">
        <color rgb="FFDADFE8"/>
      </bottom>
      <diagonal/>
    </border>
    <border>
      <left style="thick">
        <color rgb="FF616161"/>
      </left>
      <right style="thick">
        <color rgb="FF616161"/>
      </right>
      <top/>
      <bottom style="thin">
        <color rgb="FFDADFE8"/>
      </bottom>
      <diagonal/>
    </border>
    <border>
      <left style="thick">
        <color rgb="FF616161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/>
      <top style="thin">
        <color rgb="FFDADFE8"/>
      </top>
      <bottom style="thin">
        <color rgb="FFDADFE8"/>
      </bottom>
      <diagonal/>
    </border>
    <border>
      <left style="thick">
        <color rgb="FF616161"/>
      </left>
      <right style="thick">
        <color rgb="FF616161"/>
      </right>
      <top style="thin">
        <color rgb="FFDADFE8"/>
      </top>
      <bottom style="thin">
        <color rgb="FFDADFE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2" borderId="1" applyNumberFormat="0" applyAlignment="0" applyProtection="0"/>
  </cellStyleXfs>
  <cellXfs count="125">
    <xf numFmtId="0" fontId="0" fillId="0" borderId="0" xfId="0"/>
    <xf numFmtId="14" fontId="0" fillId="0" borderId="0" xfId="0" applyNumberFormat="1"/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9" fillId="9" borderId="17" xfId="0" applyFont="1" applyFill="1" applyBorder="1" applyAlignment="1">
      <alignment vertical="center"/>
    </xf>
    <xf numFmtId="14" fontId="9" fillId="9" borderId="17" xfId="0" applyNumberFormat="1" applyFont="1" applyFill="1" applyBorder="1"/>
    <xf numFmtId="0" fontId="9" fillId="9" borderId="17" xfId="0" applyFont="1" applyFill="1" applyBorder="1"/>
    <xf numFmtId="9" fontId="9" fillId="9" borderId="17" xfId="1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left" vertical="center"/>
    </xf>
    <xf numFmtId="0" fontId="9" fillId="9" borderId="17" xfId="0" applyFont="1" applyFill="1" applyBorder="1" applyAlignment="1">
      <alignment wrapText="1"/>
    </xf>
    <xf numFmtId="14" fontId="9" fillId="9" borderId="18" xfId="0" applyNumberFormat="1" applyFont="1" applyFill="1" applyBorder="1" applyAlignment="1">
      <alignment horizontal="center"/>
    </xf>
    <xf numFmtId="0" fontId="9" fillId="9" borderId="18" xfId="0" applyFont="1" applyFill="1" applyBorder="1"/>
    <xf numFmtId="9" fontId="9" fillId="9" borderId="19" xfId="0" applyNumberFormat="1" applyFont="1" applyFill="1" applyBorder="1" applyAlignment="1">
      <alignment horizontal="center"/>
    </xf>
    <xf numFmtId="0" fontId="9" fillId="0" borderId="20" xfId="0" applyFont="1" applyBorder="1"/>
    <xf numFmtId="0" fontId="10" fillId="10" borderId="17" xfId="0" applyFont="1" applyFill="1" applyBorder="1" applyAlignment="1">
      <alignment vertical="center"/>
    </xf>
    <xf numFmtId="14" fontId="10" fillId="10" borderId="17" xfId="0" applyNumberFormat="1" applyFont="1" applyFill="1" applyBorder="1"/>
    <xf numFmtId="16" fontId="10" fillId="10" borderId="17" xfId="0" applyNumberFormat="1" applyFont="1" applyFill="1" applyBorder="1"/>
    <xf numFmtId="9" fontId="10" fillId="10" borderId="17" xfId="1" applyFont="1" applyFill="1" applyBorder="1" applyAlignment="1">
      <alignment horizontal="center" vertical="center"/>
    </xf>
    <xf numFmtId="0" fontId="10" fillId="10" borderId="17" xfId="0" applyFont="1" applyFill="1" applyBorder="1"/>
    <xf numFmtId="0" fontId="10" fillId="10" borderId="17" xfId="0" applyFont="1" applyFill="1" applyBorder="1" applyAlignment="1">
      <alignment horizontal="left" vertical="center"/>
    </xf>
    <xf numFmtId="0" fontId="10" fillId="10" borderId="17" xfId="0" applyFont="1" applyFill="1" applyBorder="1" applyAlignment="1">
      <alignment wrapText="1"/>
    </xf>
    <xf numFmtId="14" fontId="10" fillId="10" borderId="18" xfId="0" applyNumberFormat="1" applyFont="1" applyFill="1" applyBorder="1" applyAlignment="1">
      <alignment horizontal="center"/>
    </xf>
    <xf numFmtId="0" fontId="10" fillId="10" borderId="18" xfId="0" applyFont="1" applyFill="1" applyBorder="1"/>
    <xf numFmtId="9" fontId="10" fillId="10" borderId="19" xfId="0" applyNumberFormat="1" applyFont="1" applyFill="1" applyBorder="1" applyAlignment="1">
      <alignment horizontal="center"/>
    </xf>
    <xf numFmtId="0" fontId="10" fillId="11" borderId="20" xfId="0" applyFont="1" applyFill="1" applyBorder="1"/>
    <xf numFmtId="0" fontId="9" fillId="9" borderId="21" xfId="0" applyFont="1" applyFill="1" applyBorder="1" applyAlignment="1">
      <alignment vertical="center"/>
    </xf>
    <xf numFmtId="14" fontId="9" fillId="9" borderId="21" xfId="0" applyNumberFormat="1" applyFont="1" applyFill="1" applyBorder="1" applyAlignment="1">
      <alignment horizontal="center" vertical="center"/>
    </xf>
    <xf numFmtId="14" fontId="9" fillId="9" borderId="21" xfId="0" applyNumberFormat="1" applyFont="1" applyFill="1" applyBorder="1" applyAlignment="1">
      <alignment vertical="center"/>
    </xf>
    <xf numFmtId="9" fontId="9" fillId="9" borderId="21" xfId="1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vertical="center" wrapText="1"/>
    </xf>
    <xf numFmtId="164" fontId="9" fillId="9" borderId="22" xfId="0" applyNumberFormat="1" applyFont="1" applyFill="1" applyBorder="1" applyAlignment="1">
      <alignment horizontal="center" vertical="center"/>
    </xf>
    <xf numFmtId="14" fontId="9" fillId="9" borderId="22" xfId="0" applyNumberFormat="1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vertical="center"/>
    </xf>
    <xf numFmtId="9" fontId="9" fillId="9" borderId="23" xfId="0" applyNumberFormat="1" applyFont="1" applyFill="1" applyBorder="1" applyAlignment="1">
      <alignment horizontal="center" vertical="center"/>
    </xf>
    <xf numFmtId="0" fontId="9" fillId="0" borderId="24" xfId="0" applyFont="1" applyBorder="1"/>
    <xf numFmtId="0" fontId="9" fillId="9" borderId="17" xfId="0" applyFont="1" applyFill="1" applyBorder="1" applyAlignment="1">
      <alignment vertical="center" wrapText="1"/>
    </xf>
    <xf numFmtId="14" fontId="9" fillId="9" borderId="18" xfId="0" applyNumberFormat="1" applyFont="1" applyFill="1" applyBorder="1" applyAlignment="1">
      <alignment horizontal="center" vertical="center"/>
    </xf>
    <xf numFmtId="14" fontId="10" fillId="10" borderId="17" xfId="0" applyNumberFormat="1" applyFont="1" applyFill="1" applyBorder="1" applyAlignment="1">
      <alignment horizontal="center" vertical="center"/>
    </xf>
    <xf numFmtId="14" fontId="10" fillId="10" borderId="17" xfId="0" applyNumberFormat="1" applyFont="1" applyFill="1" applyBorder="1" applyAlignment="1">
      <alignment vertical="center"/>
    </xf>
    <xf numFmtId="0" fontId="10" fillId="10" borderId="17" xfId="0" applyFont="1" applyFill="1" applyBorder="1" applyAlignment="1">
      <alignment vertical="center" wrapText="1"/>
    </xf>
    <xf numFmtId="14" fontId="10" fillId="10" borderId="18" xfId="0" applyNumberFormat="1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vertical="center"/>
    </xf>
    <xf numFmtId="9" fontId="10" fillId="10" borderId="19" xfId="0" applyNumberFormat="1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horizontal="left" vertical="center"/>
    </xf>
    <xf numFmtId="0" fontId="9" fillId="9" borderId="21" xfId="0" applyFont="1" applyFill="1" applyBorder="1" applyAlignment="1">
      <alignment horizontal="right" vertical="center"/>
    </xf>
    <xf numFmtId="0" fontId="9" fillId="9" borderId="21" xfId="0" applyFont="1" applyFill="1" applyBorder="1" applyAlignment="1">
      <alignment horizontal="left" vertical="center" indent="1"/>
    </xf>
    <xf numFmtId="0" fontId="9" fillId="9" borderId="17" xfId="0" applyFont="1" applyFill="1" applyBorder="1" applyAlignment="1">
      <alignment horizontal="left" vertical="center" indent="1"/>
    </xf>
    <xf numFmtId="0" fontId="9" fillId="9" borderId="21" xfId="0" applyFont="1" applyFill="1" applyBorder="1" applyAlignment="1">
      <alignment horizontal="left" vertical="center" wrapText="1" indent="1"/>
    </xf>
    <xf numFmtId="0" fontId="9" fillId="9" borderId="21" xfId="0" applyFont="1" applyFill="1" applyBorder="1" applyAlignment="1">
      <alignment horizontal="left" vertical="center" wrapText="1" indent="2"/>
    </xf>
    <xf numFmtId="0" fontId="0" fillId="0" borderId="0" xfId="0" applyAlignment="1">
      <alignment wrapText="1"/>
    </xf>
    <xf numFmtId="0" fontId="10" fillId="12" borderId="25" xfId="0" applyFont="1" applyFill="1" applyBorder="1" applyAlignment="1">
      <alignment horizontal="center" vertical="center" wrapText="1"/>
    </xf>
    <xf numFmtId="14" fontId="11" fillId="13" borderId="26" xfId="0" applyNumberFormat="1" applyFont="1" applyFill="1" applyBorder="1" applyAlignment="1">
      <alignment horizontal="center" vertical="center" wrapText="1"/>
    </xf>
    <xf numFmtId="9" fontId="11" fillId="13" borderId="26" xfId="1" applyFont="1" applyFill="1" applyBorder="1" applyAlignment="1">
      <alignment horizontal="center" vertical="center" wrapText="1"/>
    </xf>
    <xf numFmtId="0" fontId="11" fillId="13" borderId="26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vertical="center"/>
    </xf>
    <xf numFmtId="0" fontId="11" fillId="13" borderId="25" xfId="0" applyFont="1" applyFill="1" applyBorder="1" applyAlignment="1">
      <alignment horizontal="center" vertical="center" wrapText="1"/>
    </xf>
    <xf numFmtId="0" fontId="11" fillId="13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4" fontId="2" fillId="0" borderId="30" xfId="0" applyNumberFormat="1" applyFont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0" fontId="9" fillId="9" borderId="31" xfId="0" applyFont="1" applyFill="1" applyBorder="1"/>
    <xf numFmtId="0" fontId="2" fillId="0" borderId="29" xfId="0" applyFont="1" applyBorder="1" applyAlignment="1">
      <alignment wrapText="1"/>
    </xf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34" xfId="0" applyBorder="1" applyAlignment="1">
      <alignment horizontal="center" vertical="center"/>
    </xf>
    <xf numFmtId="14" fontId="2" fillId="0" borderId="35" xfId="0" applyNumberFormat="1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9" fillId="9" borderId="36" xfId="0" applyFont="1" applyFill="1" applyBorder="1"/>
    <xf numFmtId="0" fontId="2" fillId="0" borderId="34" xfId="0" applyFont="1" applyBorder="1" applyAlignment="1">
      <alignment wrapText="1"/>
    </xf>
    <xf numFmtId="9" fontId="0" fillId="0" borderId="35" xfId="0" applyNumberForma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8" xfId="0" applyBorder="1"/>
    <xf numFmtId="0" fontId="0" fillId="0" borderId="37" xfId="0" applyBorder="1" applyAlignment="1">
      <alignment horizontal="center" vertical="center"/>
    </xf>
    <xf numFmtId="0" fontId="2" fillId="0" borderId="34" xfId="0" applyFont="1" applyBorder="1" applyAlignment="1">
      <alignment horizontal="left" wrapText="1"/>
    </xf>
    <xf numFmtId="0" fontId="2" fillId="0" borderId="39" xfId="0" applyFont="1" applyBorder="1" applyAlignment="1">
      <alignment wrapText="1"/>
    </xf>
    <xf numFmtId="9" fontId="0" fillId="0" borderId="40" xfId="0" applyNumberFormat="1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/>
    </xf>
    <xf numFmtId="0" fontId="0" fillId="0" borderId="8" xfId="0" applyBorder="1"/>
    <xf numFmtId="14" fontId="2" fillId="0" borderId="35" xfId="0" applyNumberFormat="1" applyFont="1" applyBorder="1" applyAlignment="1">
      <alignment horizontal="left" vertical="center" wrapText="1"/>
    </xf>
    <xf numFmtId="0" fontId="9" fillId="9" borderId="36" xfId="0" applyFont="1" applyFill="1" applyBorder="1" applyAlignment="1">
      <alignment wrapText="1"/>
    </xf>
    <xf numFmtId="0" fontId="0" fillId="0" borderId="39" xfId="0" applyBorder="1" applyAlignment="1">
      <alignment horizontal="center" vertical="center"/>
    </xf>
    <xf numFmtId="14" fontId="2" fillId="0" borderId="40" xfId="0" applyNumberFormat="1" applyFont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9" fontId="0" fillId="0" borderId="42" xfId="1" applyFont="1" applyBorder="1" applyAlignment="1">
      <alignment horizontal="center" vertical="center"/>
    </xf>
    <xf numFmtId="0" fontId="9" fillId="9" borderId="43" xfId="0" applyFont="1" applyFill="1" applyBorder="1"/>
    <xf numFmtId="0" fontId="0" fillId="14" borderId="44" xfId="0" applyFill="1" applyBorder="1" applyAlignment="1">
      <alignment horizontal="center" vertical="center"/>
    </xf>
    <xf numFmtId="9" fontId="0" fillId="14" borderId="44" xfId="0" applyNumberFormat="1" applyFill="1" applyBorder="1" applyAlignment="1">
      <alignment horizontal="center" vertical="center"/>
    </xf>
    <xf numFmtId="14" fontId="2" fillId="0" borderId="0" xfId="0" applyNumberFormat="1" applyFont="1"/>
    <xf numFmtId="49" fontId="2" fillId="0" borderId="0" xfId="0" applyNumberFormat="1" applyFont="1"/>
    <xf numFmtId="14" fontId="9" fillId="9" borderId="17" xfId="0" applyNumberFormat="1" applyFont="1" applyFill="1" applyBorder="1" applyAlignment="1">
      <alignment vertical="center"/>
    </xf>
    <xf numFmtId="0" fontId="9" fillId="9" borderId="17" xfId="0" applyFont="1" applyFill="1" applyBorder="1" applyAlignment="1">
      <alignment horizontal="left" vertical="center" wrapText="1" indent="2"/>
    </xf>
    <xf numFmtId="0" fontId="9" fillId="9" borderId="18" xfId="0" applyFont="1" applyFill="1" applyBorder="1" applyAlignment="1">
      <alignment vertical="center"/>
    </xf>
    <xf numFmtId="0" fontId="9" fillId="9" borderId="21" xfId="0" applyFont="1" applyFill="1" applyBorder="1" applyAlignment="1">
      <alignment horizontal="left" vertical="center" wrapText="1" indent="3"/>
    </xf>
    <xf numFmtId="0" fontId="9" fillId="9" borderId="21" xfId="0" applyFont="1" applyFill="1" applyBorder="1" applyAlignment="1">
      <alignment horizontal="left" vertical="center" wrapText="1"/>
    </xf>
    <xf numFmtId="0" fontId="9" fillId="9" borderId="17" xfId="0" applyFont="1" applyFill="1" applyBorder="1" applyAlignment="1">
      <alignment horizontal="left" vertical="center" wrapText="1"/>
    </xf>
    <xf numFmtId="14" fontId="9" fillId="9" borderId="17" xfId="0" applyNumberFormat="1" applyFont="1" applyFill="1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/>
    </xf>
    <xf numFmtId="0" fontId="8" fillId="0" borderId="15" xfId="0" applyFont="1" applyBorder="1"/>
    <xf numFmtId="49" fontId="3" fillId="4" borderId="12" xfId="0" applyNumberFormat="1" applyFont="1" applyFill="1" applyBorder="1" applyAlignment="1">
      <alignment horizontal="center" vertical="center"/>
    </xf>
    <xf numFmtId="0" fontId="8" fillId="0" borderId="16" xfId="0" applyFont="1" applyBorder="1"/>
    <xf numFmtId="49" fontId="6" fillId="5" borderId="3" xfId="0" applyNumberFormat="1" applyFont="1" applyFill="1" applyBorder="1" applyAlignment="1">
      <alignment horizontal="center" vertical="center"/>
    </xf>
    <xf numFmtId="49" fontId="6" fillId="5" borderId="8" xfId="0" applyNumberFormat="1" applyFont="1" applyFill="1" applyBorder="1" applyAlignment="1">
      <alignment horizontal="center" vertical="center"/>
    </xf>
    <xf numFmtId="9" fontId="7" fillId="6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0" fontId="8" fillId="8" borderId="9" xfId="0" applyFont="1" applyFill="1" applyBorder="1"/>
    <xf numFmtId="49" fontId="3" fillId="4" borderId="10" xfId="0" applyNumberFormat="1" applyFont="1" applyFill="1" applyBorder="1" applyAlignment="1">
      <alignment horizontal="center" vertical="center"/>
    </xf>
    <xf numFmtId="0" fontId="8" fillId="0" borderId="14" xfId="0" applyFont="1" applyBorder="1"/>
    <xf numFmtId="49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0" borderId="13" xfId="0" applyFont="1" applyBorder="1" applyAlignment="1">
      <alignment vertical="center"/>
    </xf>
    <xf numFmtId="14" fontId="1" fillId="2" borderId="1" xfId="2" applyNumberFormat="1" applyAlignment="1">
      <alignment horizontal="center" vertical="center"/>
    </xf>
    <xf numFmtId="0" fontId="4" fillId="2" borderId="1" xfId="2" applyFont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14" fontId="3" fillId="4" borderId="10" xfId="0" applyNumberFormat="1" applyFont="1" applyFill="1" applyBorder="1" applyAlignment="1">
      <alignment horizontal="center" vertical="center" wrapText="1"/>
    </xf>
    <xf numFmtId="14" fontId="8" fillId="0" borderId="14" xfId="0" applyNumberFormat="1" applyFont="1" applyBorder="1" applyAlignment="1">
      <alignment wrapText="1"/>
    </xf>
    <xf numFmtId="49" fontId="3" fillId="4" borderId="10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9" fontId="3" fillId="4" borderId="10" xfId="1" applyFont="1" applyFill="1" applyBorder="1" applyAlignment="1">
      <alignment horizontal="center" vertical="center" wrapText="1"/>
    </xf>
    <xf numFmtId="9" fontId="8" fillId="0" borderId="14" xfId="1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</cellXfs>
  <cellStyles count="3">
    <cellStyle name="Normal" xfId="0" builtinId="0"/>
    <cellStyle name="Porcentaje" xfId="1" builtinId="5"/>
    <cellStyle name="Salida" xfId="2" builtinId="21"/>
  </cellStyles>
  <dxfs count="20"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  <dxf>
      <font>
        <b/>
        <color rgb="FFFFFFFF"/>
      </font>
      <fill>
        <patternFill patternType="solid">
          <fgColor rgb="FF616161"/>
          <bgColor rgb="FF61616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3F4DAE55A21E0DF/Documentos/Copia%20de%20STATUS%202025%20HPK%20kpi%201.xlsm" TargetMode="External"/><Relationship Id="rId1" Type="http://schemas.openxmlformats.org/officeDocument/2006/relationships/externalLinkPath" Target="https://d.docs.live.net/F3F4DAE55A21E0DF/Documentos/Copia%20de%20STATUS%202025%20HPK%20kpi%20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DABF266642BCE7F/Documentos/Planeamiento%20-%202025%20(1).xlsx" TargetMode="External"/><Relationship Id="rId1" Type="http://schemas.openxmlformats.org/officeDocument/2006/relationships/externalLinkPath" Target="https://d.docs.live.net/BDABF266642BCE7F/Documentos/Planeamiento%20-%20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TIEMPOS DE REPARACION"/>
      <sheetName val="Hoja2"/>
      <sheetName val="STATUS CILINDROS"/>
      <sheetName val="TIPO DE REPARACION"/>
      <sheetName val="CILINDROS ENTREGADOS"/>
      <sheetName val="ACUMULADO"/>
      <sheetName val="INGRESO DE CILINDROS"/>
      <sheetName val="TIEMPO DE C. TALLER"/>
      <sheetName val="DIAS EVALUACION"/>
      <sheetName val="Base de datos"/>
      <sheetName val="REP 3RO"/>
      <sheetName val="RESUMEN"/>
      <sheetName val="CREDITO FESA"/>
      <sheetName val="Hoja1"/>
      <sheetName val="cilindro con error"/>
      <sheetName val="prueba nitrogeno "/>
      <sheetName val="BO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HP&amp;K</v>
          </cell>
          <cell r="X3" t="str">
            <v>FECHA INGRESO</v>
          </cell>
        </row>
        <row r="4">
          <cell r="A4" t="str">
            <v>220023-E</v>
          </cell>
          <cell r="X4">
            <v>45124</v>
          </cell>
        </row>
        <row r="5">
          <cell r="A5" t="str">
            <v>220523-E</v>
          </cell>
          <cell r="X5">
            <v>45124</v>
          </cell>
        </row>
        <row r="6">
          <cell r="A6">
            <v>245024</v>
          </cell>
          <cell r="X6">
            <v>45293</v>
          </cell>
        </row>
        <row r="7">
          <cell r="A7">
            <v>245124</v>
          </cell>
          <cell r="X7">
            <v>45293</v>
          </cell>
        </row>
        <row r="8">
          <cell r="A8">
            <v>245224</v>
          </cell>
          <cell r="X8">
            <v>45293</v>
          </cell>
        </row>
        <row r="9">
          <cell r="A9">
            <v>245324</v>
          </cell>
          <cell r="X9">
            <v>45293</v>
          </cell>
        </row>
        <row r="10">
          <cell r="A10">
            <v>245424</v>
          </cell>
          <cell r="X10">
            <v>45293</v>
          </cell>
        </row>
        <row r="11">
          <cell r="A11">
            <v>245524</v>
          </cell>
          <cell r="X11">
            <v>45293</v>
          </cell>
        </row>
        <row r="12">
          <cell r="A12">
            <v>245624</v>
          </cell>
          <cell r="X12">
            <v>45293</v>
          </cell>
        </row>
        <row r="13">
          <cell r="A13">
            <v>245724</v>
          </cell>
          <cell r="X13">
            <v>45293</v>
          </cell>
        </row>
        <row r="14">
          <cell r="A14">
            <v>245824</v>
          </cell>
          <cell r="X14">
            <v>45293</v>
          </cell>
        </row>
        <row r="15">
          <cell r="A15">
            <v>245924</v>
          </cell>
          <cell r="X15">
            <v>45293</v>
          </cell>
        </row>
        <row r="16">
          <cell r="A16">
            <v>246024</v>
          </cell>
          <cell r="X16">
            <v>45293</v>
          </cell>
        </row>
        <row r="17">
          <cell r="A17">
            <v>246124</v>
          </cell>
          <cell r="X17">
            <v>45293</v>
          </cell>
        </row>
        <row r="18">
          <cell r="A18">
            <v>246224</v>
          </cell>
          <cell r="X18">
            <v>45293</v>
          </cell>
        </row>
        <row r="19">
          <cell r="A19">
            <v>246324</v>
          </cell>
          <cell r="X19">
            <v>45295</v>
          </cell>
        </row>
        <row r="20">
          <cell r="A20">
            <v>246424</v>
          </cell>
          <cell r="X20">
            <v>45295</v>
          </cell>
        </row>
        <row r="21">
          <cell r="A21">
            <v>246524</v>
          </cell>
          <cell r="X21">
            <v>45300</v>
          </cell>
        </row>
        <row r="22">
          <cell r="A22">
            <v>246624</v>
          </cell>
          <cell r="X22">
            <v>45300</v>
          </cell>
        </row>
        <row r="23">
          <cell r="A23">
            <v>246724</v>
          </cell>
          <cell r="X23">
            <v>45300</v>
          </cell>
        </row>
        <row r="24">
          <cell r="A24">
            <v>246824</v>
          </cell>
          <cell r="X24">
            <v>45300</v>
          </cell>
        </row>
        <row r="25">
          <cell r="A25">
            <v>246924</v>
          </cell>
          <cell r="X25">
            <v>45300</v>
          </cell>
        </row>
        <row r="26">
          <cell r="A26">
            <v>247024</v>
          </cell>
          <cell r="X26">
            <v>45301</v>
          </cell>
        </row>
        <row r="27">
          <cell r="A27">
            <v>247124</v>
          </cell>
          <cell r="X27">
            <v>45301</v>
          </cell>
        </row>
        <row r="28">
          <cell r="A28">
            <v>247224</v>
          </cell>
          <cell r="X28">
            <v>45301</v>
          </cell>
        </row>
        <row r="29">
          <cell r="A29">
            <v>247324</v>
          </cell>
          <cell r="X29">
            <v>45301</v>
          </cell>
        </row>
        <row r="30">
          <cell r="A30">
            <v>247424</v>
          </cell>
          <cell r="X30">
            <v>45307</v>
          </cell>
        </row>
        <row r="31">
          <cell r="A31">
            <v>247524</v>
          </cell>
          <cell r="X31">
            <v>45307</v>
          </cell>
        </row>
        <row r="32">
          <cell r="A32">
            <v>247624</v>
          </cell>
          <cell r="X32">
            <v>45307</v>
          </cell>
        </row>
        <row r="33">
          <cell r="A33">
            <v>247724</v>
          </cell>
          <cell r="X33">
            <v>45307</v>
          </cell>
        </row>
        <row r="34">
          <cell r="A34">
            <v>247824</v>
          </cell>
          <cell r="X34">
            <v>45307</v>
          </cell>
        </row>
        <row r="35">
          <cell r="A35">
            <v>247924</v>
          </cell>
          <cell r="X35">
            <v>45307</v>
          </cell>
        </row>
        <row r="36">
          <cell r="A36">
            <v>248024</v>
          </cell>
          <cell r="X36">
            <v>45307</v>
          </cell>
        </row>
        <row r="37">
          <cell r="A37">
            <v>248124</v>
          </cell>
          <cell r="X37">
            <v>45307</v>
          </cell>
        </row>
        <row r="38">
          <cell r="A38">
            <v>248224</v>
          </cell>
          <cell r="X38">
            <v>45307</v>
          </cell>
        </row>
        <row r="39">
          <cell r="A39">
            <v>248324</v>
          </cell>
          <cell r="X39">
            <v>45307</v>
          </cell>
        </row>
        <row r="40">
          <cell r="A40">
            <v>248424</v>
          </cell>
          <cell r="X40">
            <v>45310</v>
          </cell>
        </row>
        <row r="41">
          <cell r="A41">
            <v>248524</v>
          </cell>
          <cell r="X41">
            <v>45310</v>
          </cell>
        </row>
        <row r="42">
          <cell r="A42">
            <v>248624</v>
          </cell>
          <cell r="X42">
            <v>45310</v>
          </cell>
        </row>
        <row r="43">
          <cell r="A43">
            <v>248724</v>
          </cell>
          <cell r="X43">
            <v>45310</v>
          </cell>
        </row>
        <row r="44">
          <cell r="A44">
            <v>248824</v>
          </cell>
          <cell r="X44">
            <v>45310</v>
          </cell>
        </row>
        <row r="45">
          <cell r="A45">
            <v>248924</v>
          </cell>
          <cell r="X45">
            <v>45310</v>
          </cell>
        </row>
        <row r="46">
          <cell r="A46">
            <v>249024</v>
          </cell>
          <cell r="X46">
            <v>45310</v>
          </cell>
        </row>
        <row r="47">
          <cell r="A47">
            <v>249124</v>
          </cell>
          <cell r="X47">
            <v>45310</v>
          </cell>
        </row>
        <row r="48">
          <cell r="A48">
            <v>249224</v>
          </cell>
          <cell r="X48">
            <v>45310</v>
          </cell>
        </row>
        <row r="49">
          <cell r="A49">
            <v>249324</v>
          </cell>
          <cell r="X49">
            <v>45310</v>
          </cell>
        </row>
        <row r="50">
          <cell r="A50">
            <v>249424</v>
          </cell>
          <cell r="X50">
            <v>45310</v>
          </cell>
        </row>
        <row r="51">
          <cell r="A51">
            <v>249524</v>
          </cell>
          <cell r="X51">
            <v>45310</v>
          </cell>
        </row>
        <row r="52">
          <cell r="A52">
            <v>249624</v>
          </cell>
          <cell r="X52">
            <v>45310</v>
          </cell>
        </row>
        <row r="53">
          <cell r="A53">
            <v>249724</v>
          </cell>
          <cell r="X53">
            <v>45310</v>
          </cell>
        </row>
        <row r="54">
          <cell r="A54">
            <v>249824</v>
          </cell>
          <cell r="X54">
            <v>45313</v>
          </cell>
        </row>
        <row r="55">
          <cell r="A55">
            <v>249924</v>
          </cell>
          <cell r="X55">
            <v>45313</v>
          </cell>
        </row>
        <row r="56">
          <cell r="A56">
            <v>250024</v>
          </cell>
          <cell r="X56">
            <v>45313</v>
          </cell>
        </row>
        <row r="57">
          <cell r="A57">
            <v>250124</v>
          </cell>
          <cell r="X57">
            <v>45314</v>
          </cell>
        </row>
        <row r="58">
          <cell r="A58">
            <v>250224</v>
          </cell>
          <cell r="X58">
            <v>45314</v>
          </cell>
        </row>
        <row r="59">
          <cell r="A59">
            <v>250324</v>
          </cell>
          <cell r="X59">
            <v>45314</v>
          </cell>
        </row>
        <row r="60">
          <cell r="A60">
            <v>250424</v>
          </cell>
          <cell r="X60">
            <v>45314</v>
          </cell>
        </row>
        <row r="61">
          <cell r="A61">
            <v>250524</v>
          </cell>
          <cell r="X61">
            <v>45314</v>
          </cell>
        </row>
        <row r="62">
          <cell r="A62">
            <v>250624</v>
          </cell>
          <cell r="X62">
            <v>45314</v>
          </cell>
        </row>
        <row r="63">
          <cell r="A63">
            <v>250724</v>
          </cell>
          <cell r="X63">
            <v>45314</v>
          </cell>
        </row>
        <row r="64">
          <cell r="A64">
            <v>250824</v>
          </cell>
          <cell r="X64">
            <v>45314</v>
          </cell>
        </row>
        <row r="65">
          <cell r="A65">
            <v>250924</v>
          </cell>
          <cell r="X65">
            <v>45316</v>
          </cell>
        </row>
        <row r="66">
          <cell r="A66">
            <v>251024</v>
          </cell>
          <cell r="X66">
            <v>45316</v>
          </cell>
        </row>
        <row r="67">
          <cell r="A67">
            <v>251124</v>
          </cell>
          <cell r="X67">
            <v>45316</v>
          </cell>
        </row>
        <row r="68">
          <cell r="A68">
            <v>251224</v>
          </cell>
          <cell r="X68">
            <v>45322</v>
          </cell>
        </row>
        <row r="69">
          <cell r="A69">
            <v>251324</v>
          </cell>
          <cell r="X69">
            <v>45322</v>
          </cell>
        </row>
        <row r="70">
          <cell r="A70">
            <v>251424</v>
          </cell>
          <cell r="X70">
            <v>45322</v>
          </cell>
        </row>
        <row r="71">
          <cell r="A71">
            <v>251524</v>
          </cell>
          <cell r="X71">
            <v>45326</v>
          </cell>
        </row>
        <row r="72">
          <cell r="A72">
            <v>251624</v>
          </cell>
          <cell r="X72">
            <v>45326</v>
          </cell>
        </row>
        <row r="73">
          <cell r="A73">
            <v>251724</v>
          </cell>
          <cell r="X73">
            <v>45326</v>
          </cell>
        </row>
        <row r="74">
          <cell r="A74">
            <v>251824</v>
          </cell>
          <cell r="X74">
            <v>45326</v>
          </cell>
        </row>
        <row r="75">
          <cell r="A75">
            <v>251924</v>
          </cell>
          <cell r="X75">
            <v>45326</v>
          </cell>
        </row>
        <row r="76">
          <cell r="A76">
            <v>252024</v>
          </cell>
          <cell r="X76">
            <v>45326</v>
          </cell>
        </row>
        <row r="77">
          <cell r="A77">
            <v>252124</v>
          </cell>
          <cell r="X77">
            <v>45326</v>
          </cell>
        </row>
        <row r="78">
          <cell r="A78">
            <v>252224</v>
          </cell>
          <cell r="X78">
            <v>45326</v>
          </cell>
        </row>
        <row r="79">
          <cell r="A79">
            <v>252324</v>
          </cell>
          <cell r="X79">
            <v>45326</v>
          </cell>
        </row>
        <row r="80">
          <cell r="A80">
            <v>252424</v>
          </cell>
          <cell r="X80">
            <v>45326</v>
          </cell>
        </row>
        <row r="81">
          <cell r="A81">
            <v>252524</v>
          </cell>
          <cell r="X81">
            <v>45326</v>
          </cell>
        </row>
        <row r="82">
          <cell r="A82">
            <v>252624</v>
          </cell>
          <cell r="X82">
            <v>45326</v>
          </cell>
        </row>
        <row r="83">
          <cell r="A83">
            <v>252724</v>
          </cell>
          <cell r="X83">
            <v>45326</v>
          </cell>
        </row>
        <row r="84">
          <cell r="A84">
            <v>252824</v>
          </cell>
          <cell r="X84">
            <v>45326</v>
          </cell>
        </row>
        <row r="85">
          <cell r="A85">
            <v>252924</v>
          </cell>
          <cell r="X85">
            <v>45326</v>
          </cell>
        </row>
        <row r="86">
          <cell r="A86">
            <v>253024</v>
          </cell>
          <cell r="X86">
            <v>45326</v>
          </cell>
        </row>
        <row r="87">
          <cell r="A87">
            <v>253124</v>
          </cell>
          <cell r="X87">
            <v>45326</v>
          </cell>
        </row>
        <row r="88">
          <cell r="A88">
            <v>253224</v>
          </cell>
          <cell r="X88">
            <v>45328</v>
          </cell>
        </row>
        <row r="89">
          <cell r="A89">
            <v>253324</v>
          </cell>
          <cell r="X89">
            <v>45328</v>
          </cell>
        </row>
        <row r="90">
          <cell r="A90">
            <v>253424</v>
          </cell>
          <cell r="X90">
            <v>45328</v>
          </cell>
        </row>
        <row r="91">
          <cell r="A91">
            <v>253524</v>
          </cell>
          <cell r="X91">
            <v>45328</v>
          </cell>
        </row>
        <row r="92">
          <cell r="A92">
            <v>253624</v>
          </cell>
          <cell r="X92">
            <v>45328</v>
          </cell>
        </row>
        <row r="93">
          <cell r="A93">
            <v>253724</v>
          </cell>
          <cell r="X93">
            <v>45328</v>
          </cell>
        </row>
        <row r="94">
          <cell r="A94">
            <v>253824</v>
          </cell>
          <cell r="X94">
            <v>45328</v>
          </cell>
        </row>
        <row r="95">
          <cell r="A95">
            <v>253924</v>
          </cell>
          <cell r="X95">
            <v>45328</v>
          </cell>
        </row>
        <row r="96">
          <cell r="A96">
            <v>254024</v>
          </cell>
          <cell r="X96">
            <v>45328</v>
          </cell>
        </row>
        <row r="97">
          <cell r="A97">
            <v>254124</v>
          </cell>
          <cell r="X97">
            <v>45328</v>
          </cell>
        </row>
        <row r="98">
          <cell r="A98">
            <v>254224</v>
          </cell>
          <cell r="X98">
            <v>45328</v>
          </cell>
        </row>
        <row r="99">
          <cell r="A99">
            <v>254324</v>
          </cell>
          <cell r="X99">
            <v>45328</v>
          </cell>
        </row>
        <row r="100">
          <cell r="A100">
            <v>254424</v>
          </cell>
          <cell r="X100">
            <v>45328</v>
          </cell>
        </row>
        <row r="101">
          <cell r="A101">
            <v>254524</v>
          </cell>
          <cell r="X101">
            <v>45328</v>
          </cell>
        </row>
        <row r="102">
          <cell r="A102">
            <v>254624</v>
          </cell>
          <cell r="X102">
            <v>45328</v>
          </cell>
        </row>
        <row r="103">
          <cell r="A103">
            <v>254724</v>
          </cell>
          <cell r="X103">
            <v>45328</v>
          </cell>
        </row>
        <row r="104">
          <cell r="A104">
            <v>254824</v>
          </cell>
          <cell r="X104">
            <v>45330</v>
          </cell>
        </row>
        <row r="105">
          <cell r="A105">
            <v>254924</v>
          </cell>
          <cell r="X105">
            <v>45330</v>
          </cell>
        </row>
        <row r="106">
          <cell r="A106">
            <v>255024</v>
          </cell>
          <cell r="X106">
            <v>45330</v>
          </cell>
        </row>
        <row r="107">
          <cell r="A107">
            <v>255124</v>
          </cell>
          <cell r="X107">
            <v>45330</v>
          </cell>
        </row>
        <row r="108">
          <cell r="A108">
            <v>255224</v>
          </cell>
          <cell r="X108">
            <v>45330</v>
          </cell>
        </row>
        <row r="109">
          <cell r="A109">
            <v>255324</v>
          </cell>
          <cell r="X109">
            <v>45331</v>
          </cell>
        </row>
        <row r="110">
          <cell r="A110">
            <v>255424</v>
          </cell>
          <cell r="X110">
            <v>45336</v>
          </cell>
        </row>
        <row r="111">
          <cell r="A111">
            <v>255524</v>
          </cell>
          <cell r="X111">
            <v>45336</v>
          </cell>
        </row>
        <row r="112">
          <cell r="A112">
            <v>255624</v>
          </cell>
          <cell r="X112">
            <v>45336</v>
          </cell>
        </row>
        <row r="113">
          <cell r="A113">
            <v>255724</v>
          </cell>
          <cell r="X113">
            <v>45336</v>
          </cell>
        </row>
        <row r="114">
          <cell r="A114">
            <v>255824</v>
          </cell>
          <cell r="X114">
            <v>45338</v>
          </cell>
        </row>
        <row r="115">
          <cell r="A115">
            <v>255924</v>
          </cell>
          <cell r="X115">
            <v>45341</v>
          </cell>
        </row>
        <row r="116">
          <cell r="A116">
            <v>256024</v>
          </cell>
          <cell r="X116">
            <v>45342</v>
          </cell>
        </row>
        <row r="117">
          <cell r="A117">
            <v>256124</v>
          </cell>
          <cell r="X117">
            <v>45342</v>
          </cell>
        </row>
        <row r="118">
          <cell r="A118">
            <v>256224</v>
          </cell>
          <cell r="X118">
            <v>45342</v>
          </cell>
        </row>
        <row r="119">
          <cell r="A119">
            <v>256324</v>
          </cell>
          <cell r="X119">
            <v>45342</v>
          </cell>
        </row>
        <row r="120">
          <cell r="A120">
            <v>256424</v>
          </cell>
          <cell r="X120">
            <v>45342</v>
          </cell>
        </row>
        <row r="121">
          <cell r="A121">
            <v>256524</v>
          </cell>
          <cell r="X121">
            <v>45342</v>
          </cell>
        </row>
        <row r="122">
          <cell r="A122">
            <v>256624</v>
          </cell>
          <cell r="X122">
            <v>45580</v>
          </cell>
        </row>
        <row r="123">
          <cell r="A123">
            <v>256724</v>
          </cell>
          <cell r="X123">
            <v>45342</v>
          </cell>
        </row>
        <row r="124">
          <cell r="A124">
            <v>256824</v>
          </cell>
          <cell r="X124">
            <v>45342</v>
          </cell>
        </row>
        <row r="125">
          <cell r="A125">
            <v>256924</v>
          </cell>
          <cell r="X125">
            <v>45342</v>
          </cell>
        </row>
        <row r="126">
          <cell r="A126">
            <v>257024</v>
          </cell>
          <cell r="X126">
            <v>45342</v>
          </cell>
        </row>
        <row r="127">
          <cell r="A127">
            <v>257124</v>
          </cell>
          <cell r="X127">
            <v>45344</v>
          </cell>
        </row>
        <row r="128">
          <cell r="A128">
            <v>257224</v>
          </cell>
          <cell r="X128">
            <v>45344</v>
          </cell>
        </row>
        <row r="129">
          <cell r="A129">
            <v>257324</v>
          </cell>
          <cell r="X129">
            <v>45348</v>
          </cell>
        </row>
        <row r="130">
          <cell r="A130">
            <v>257424</v>
          </cell>
          <cell r="X130">
            <v>45349</v>
          </cell>
        </row>
        <row r="131">
          <cell r="A131">
            <v>257524</v>
          </cell>
          <cell r="X131">
            <v>45349</v>
          </cell>
        </row>
        <row r="132">
          <cell r="A132">
            <v>257624</v>
          </cell>
          <cell r="X132">
            <v>45349</v>
          </cell>
        </row>
        <row r="133">
          <cell r="A133">
            <v>257724</v>
          </cell>
          <cell r="X133">
            <v>45349</v>
          </cell>
        </row>
        <row r="134">
          <cell r="A134">
            <v>257824</v>
          </cell>
          <cell r="X134">
            <v>45349</v>
          </cell>
        </row>
        <row r="135">
          <cell r="A135">
            <v>257924</v>
          </cell>
          <cell r="X135">
            <v>45349</v>
          </cell>
        </row>
        <row r="136">
          <cell r="A136">
            <v>258024</v>
          </cell>
          <cell r="X136">
            <v>45349</v>
          </cell>
        </row>
        <row r="137">
          <cell r="A137">
            <v>258124</v>
          </cell>
          <cell r="X137">
            <v>45349</v>
          </cell>
        </row>
        <row r="138">
          <cell r="A138">
            <v>258224</v>
          </cell>
          <cell r="X138">
            <v>45356</v>
          </cell>
        </row>
        <row r="139">
          <cell r="A139">
            <v>258324</v>
          </cell>
          <cell r="X139">
            <v>45356</v>
          </cell>
        </row>
        <row r="140">
          <cell r="A140">
            <v>258424</v>
          </cell>
          <cell r="X140">
            <v>45356</v>
          </cell>
        </row>
        <row r="141">
          <cell r="A141">
            <v>258524</v>
          </cell>
          <cell r="X141">
            <v>45356</v>
          </cell>
        </row>
        <row r="142">
          <cell r="A142">
            <v>258624</v>
          </cell>
          <cell r="X142">
            <v>45356</v>
          </cell>
        </row>
        <row r="143">
          <cell r="A143">
            <v>258724</v>
          </cell>
          <cell r="X143">
            <v>45356</v>
          </cell>
        </row>
        <row r="144">
          <cell r="A144">
            <v>258824</v>
          </cell>
          <cell r="X144">
            <v>45362</v>
          </cell>
        </row>
        <row r="145">
          <cell r="A145">
            <v>258924</v>
          </cell>
          <cell r="X145">
            <v>45362</v>
          </cell>
        </row>
        <row r="146">
          <cell r="A146">
            <v>259024</v>
          </cell>
          <cell r="X146">
            <v>45362</v>
          </cell>
        </row>
        <row r="147">
          <cell r="A147">
            <v>259124</v>
          </cell>
          <cell r="X147">
            <v>45362</v>
          </cell>
        </row>
        <row r="148">
          <cell r="A148">
            <v>259224</v>
          </cell>
          <cell r="X148">
            <v>45362</v>
          </cell>
        </row>
        <row r="149">
          <cell r="A149">
            <v>259324</v>
          </cell>
          <cell r="X149">
            <v>45364</v>
          </cell>
        </row>
        <row r="150">
          <cell r="A150">
            <v>259424</v>
          </cell>
          <cell r="X150">
            <v>45364</v>
          </cell>
        </row>
        <row r="151">
          <cell r="A151">
            <v>259524</v>
          </cell>
          <cell r="X151">
            <v>45364</v>
          </cell>
        </row>
        <row r="152">
          <cell r="A152">
            <v>259624</v>
          </cell>
          <cell r="X152">
            <v>45365</v>
          </cell>
        </row>
        <row r="153">
          <cell r="A153">
            <v>259724</v>
          </cell>
          <cell r="X153">
            <v>45365</v>
          </cell>
        </row>
        <row r="154">
          <cell r="A154">
            <v>259824</v>
          </cell>
          <cell r="X154">
            <v>45365</v>
          </cell>
        </row>
        <row r="155">
          <cell r="A155">
            <v>259924</v>
          </cell>
          <cell r="X155">
            <v>45365</v>
          </cell>
        </row>
        <row r="156">
          <cell r="A156">
            <v>260024</v>
          </cell>
          <cell r="X156">
            <v>45365</v>
          </cell>
        </row>
        <row r="157">
          <cell r="A157">
            <v>260124</v>
          </cell>
          <cell r="X157">
            <v>45365</v>
          </cell>
        </row>
        <row r="158">
          <cell r="A158">
            <v>260224</v>
          </cell>
          <cell r="X158">
            <v>45349</v>
          </cell>
        </row>
        <row r="159">
          <cell r="A159">
            <v>260324</v>
          </cell>
          <cell r="X159">
            <v>45367</v>
          </cell>
        </row>
        <row r="160">
          <cell r="A160">
            <v>260424</v>
          </cell>
          <cell r="X160">
            <v>45367</v>
          </cell>
        </row>
        <row r="161">
          <cell r="A161">
            <v>260524</v>
          </cell>
          <cell r="X161">
            <v>45366</v>
          </cell>
        </row>
        <row r="162">
          <cell r="A162">
            <v>260624</v>
          </cell>
          <cell r="X162">
            <v>45366</v>
          </cell>
        </row>
        <row r="163">
          <cell r="A163">
            <v>260724</v>
          </cell>
          <cell r="X163">
            <v>45366</v>
          </cell>
        </row>
        <row r="164">
          <cell r="A164">
            <v>260824</v>
          </cell>
          <cell r="X164">
            <v>45366</v>
          </cell>
        </row>
        <row r="165">
          <cell r="A165">
            <v>260924</v>
          </cell>
          <cell r="X165">
            <v>45366</v>
          </cell>
        </row>
        <row r="166">
          <cell r="A166">
            <v>261024</v>
          </cell>
          <cell r="X166">
            <v>45369</v>
          </cell>
        </row>
        <row r="167">
          <cell r="A167">
            <v>261124</v>
          </cell>
          <cell r="X167">
            <v>45369</v>
          </cell>
        </row>
        <row r="168">
          <cell r="A168">
            <v>261224</v>
          </cell>
          <cell r="X168">
            <v>45369</v>
          </cell>
        </row>
        <row r="169">
          <cell r="A169">
            <v>261324</v>
          </cell>
          <cell r="X169">
            <v>45369</v>
          </cell>
        </row>
        <row r="170">
          <cell r="A170">
            <v>261424</v>
          </cell>
          <cell r="X170">
            <v>45369</v>
          </cell>
        </row>
        <row r="171">
          <cell r="A171">
            <v>261524</v>
          </cell>
          <cell r="X171">
            <v>45370</v>
          </cell>
        </row>
        <row r="172">
          <cell r="A172">
            <v>261624</v>
          </cell>
          <cell r="X172">
            <v>45373</v>
          </cell>
        </row>
        <row r="173">
          <cell r="A173">
            <v>261724</v>
          </cell>
          <cell r="X173">
            <v>45373</v>
          </cell>
        </row>
        <row r="174">
          <cell r="A174">
            <v>261824</v>
          </cell>
          <cell r="X174">
            <v>45373</v>
          </cell>
        </row>
        <row r="175">
          <cell r="A175">
            <v>261924</v>
          </cell>
          <cell r="X175">
            <v>45373</v>
          </cell>
        </row>
        <row r="176">
          <cell r="A176">
            <v>262024</v>
          </cell>
          <cell r="X176">
            <v>45373</v>
          </cell>
        </row>
        <row r="177">
          <cell r="A177">
            <v>262124</v>
          </cell>
          <cell r="X177">
            <v>45376</v>
          </cell>
        </row>
        <row r="178">
          <cell r="A178">
            <v>262224</v>
          </cell>
          <cell r="X178">
            <v>45376</v>
          </cell>
        </row>
        <row r="179">
          <cell r="A179">
            <v>262324</v>
          </cell>
          <cell r="X179">
            <v>45376</v>
          </cell>
        </row>
        <row r="180">
          <cell r="A180">
            <v>262424</v>
          </cell>
          <cell r="X180">
            <v>45376</v>
          </cell>
        </row>
        <row r="181">
          <cell r="A181">
            <v>262524</v>
          </cell>
          <cell r="X181">
            <v>45377</v>
          </cell>
        </row>
        <row r="182">
          <cell r="A182">
            <v>262624</v>
          </cell>
          <cell r="X182">
            <v>45377</v>
          </cell>
        </row>
        <row r="183">
          <cell r="A183">
            <v>262724</v>
          </cell>
          <cell r="X183">
            <v>45377</v>
          </cell>
        </row>
        <row r="184">
          <cell r="A184">
            <v>262824</v>
          </cell>
          <cell r="X184">
            <v>45378</v>
          </cell>
        </row>
        <row r="185">
          <cell r="A185">
            <v>262924</v>
          </cell>
          <cell r="X185">
            <v>45378</v>
          </cell>
        </row>
        <row r="186">
          <cell r="A186">
            <v>263024</v>
          </cell>
          <cell r="X186">
            <v>45378</v>
          </cell>
        </row>
        <row r="187">
          <cell r="A187">
            <v>263124</v>
          </cell>
          <cell r="X187">
            <v>45378</v>
          </cell>
        </row>
        <row r="188">
          <cell r="A188">
            <v>263224</v>
          </cell>
          <cell r="X188">
            <v>45378</v>
          </cell>
        </row>
        <row r="189">
          <cell r="A189">
            <v>263324</v>
          </cell>
          <cell r="X189">
            <v>45378</v>
          </cell>
        </row>
        <row r="190">
          <cell r="A190">
            <v>263424</v>
          </cell>
          <cell r="X190">
            <v>45383</v>
          </cell>
        </row>
        <row r="191">
          <cell r="A191">
            <v>263524</v>
          </cell>
          <cell r="X191">
            <v>45383</v>
          </cell>
        </row>
        <row r="192">
          <cell r="A192">
            <v>263624</v>
          </cell>
          <cell r="X192">
            <v>45383</v>
          </cell>
        </row>
        <row r="193">
          <cell r="A193">
            <v>263724</v>
          </cell>
          <cell r="X193">
            <v>45383</v>
          </cell>
        </row>
        <row r="194">
          <cell r="A194">
            <v>263824</v>
          </cell>
          <cell r="X194">
            <v>45383</v>
          </cell>
        </row>
        <row r="195">
          <cell r="A195">
            <v>263924</v>
          </cell>
          <cell r="X195">
            <v>45383</v>
          </cell>
        </row>
        <row r="196">
          <cell r="A196">
            <v>264024</v>
          </cell>
          <cell r="X196">
            <v>45383</v>
          </cell>
        </row>
        <row r="197">
          <cell r="A197">
            <v>264124</v>
          </cell>
          <cell r="X197">
            <v>45384</v>
          </cell>
        </row>
        <row r="198">
          <cell r="A198">
            <v>264224</v>
          </cell>
          <cell r="X198">
            <v>45384</v>
          </cell>
        </row>
        <row r="199">
          <cell r="A199">
            <v>264324</v>
          </cell>
          <cell r="X199">
            <v>45384</v>
          </cell>
        </row>
        <row r="200">
          <cell r="A200">
            <v>264424</v>
          </cell>
          <cell r="X200">
            <v>45384</v>
          </cell>
        </row>
        <row r="201">
          <cell r="A201">
            <v>264524</v>
          </cell>
          <cell r="X201">
            <v>45384</v>
          </cell>
        </row>
        <row r="202">
          <cell r="A202">
            <v>264624</v>
          </cell>
          <cell r="X202">
            <v>45392</v>
          </cell>
        </row>
        <row r="203">
          <cell r="A203">
            <v>264724</v>
          </cell>
          <cell r="X203">
            <v>45392</v>
          </cell>
        </row>
        <row r="204">
          <cell r="A204">
            <v>264824</v>
          </cell>
          <cell r="X204">
            <v>45392</v>
          </cell>
        </row>
        <row r="205">
          <cell r="A205">
            <v>264924</v>
          </cell>
          <cell r="X205">
            <v>45392</v>
          </cell>
        </row>
        <row r="206">
          <cell r="A206">
            <v>265024</v>
          </cell>
          <cell r="X206">
            <v>45392</v>
          </cell>
        </row>
        <row r="207">
          <cell r="A207">
            <v>265124</v>
          </cell>
          <cell r="X207">
            <v>45392</v>
          </cell>
        </row>
        <row r="208">
          <cell r="A208">
            <v>265224</v>
          </cell>
          <cell r="X208">
            <v>45392</v>
          </cell>
        </row>
        <row r="209">
          <cell r="A209">
            <v>265324</v>
          </cell>
          <cell r="X209">
            <v>45392</v>
          </cell>
        </row>
        <row r="210">
          <cell r="A210">
            <v>265424</v>
          </cell>
          <cell r="X210">
            <v>45392</v>
          </cell>
        </row>
        <row r="211">
          <cell r="A211">
            <v>265524</v>
          </cell>
          <cell r="X211">
            <v>45392</v>
          </cell>
        </row>
        <row r="212">
          <cell r="A212">
            <v>265624</v>
          </cell>
          <cell r="X212">
            <v>45393</v>
          </cell>
        </row>
        <row r="213">
          <cell r="A213">
            <v>265724</v>
          </cell>
          <cell r="X213">
            <v>45393</v>
          </cell>
        </row>
        <row r="214">
          <cell r="A214">
            <v>265824</v>
          </cell>
          <cell r="X214">
            <v>45393</v>
          </cell>
        </row>
        <row r="215">
          <cell r="A215">
            <v>265924</v>
          </cell>
          <cell r="X215">
            <v>45393</v>
          </cell>
        </row>
        <row r="216">
          <cell r="A216">
            <v>266024</v>
          </cell>
          <cell r="X216">
            <v>45398</v>
          </cell>
        </row>
        <row r="217">
          <cell r="A217">
            <v>266124</v>
          </cell>
          <cell r="X217">
            <v>45398</v>
          </cell>
        </row>
        <row r="218">
          <cell r="A218">
            <v>266224</v>
          </cell>
          <cell r="X218">
            <v>45398</v>
          </cell>
        </row>
        <row r="219">
          <cell r="A219">
            <v>266324</v>
          </cell>
          <cell r="X219">
            <v>45398</v>
          </cell>
        </row>
        <row r="220">
          <cell r="A220">
            <v>266424</v>
          </cell>
          <cell r="X220">
            <v>45398</v>
          </cell>
        </row>
        <row r="221">
          <cell r="A221">
            <v>266524</v>
          </cell>
          <cell r="X221">
            <v>45398</v>
          </cell>
        </row>
        <row r="222">
          <cell r="A222">
            <v>266624</v>
          </cell>
          <cell r="X222">
            <v>45398</v>
          </cell>
        </row>
        <row r="223">
          <cell r="A223">
            <v>266724</v>
          </cell>
          <cell r="X223">
            <v>45398</v>
          </cell>
        </row>
        <row r="224">
          <cell r="A224">
            <v>266824</v>
          </cell>
          <cell r="X224">
            <v>45400</v>
          </cell>
        </row>
        <row r="225">
          <cell r="A225">
            <v>266924</v>
          </cell>
          <cell r="X225">
            <v>45400</v>
          </cell>
        </row>
        <row r="226">
          <cell r="A226">
            <v>267024</v>
          </cell>
          <cell r="X226">
            <v>45401</v>
          </cell>
        </row>
        <row r="227">
          <cell r="A227">
            <v>267124</v>
          </cell>
          <cell r="X227">
            <v>45401</v>
          </cell>
        </row>
        <row r="228">
          <cell r="A228">
            <v>267224</v>
          </cell>
          <cell r="X228">
            <v>45401</v>
          </cell>
        </row>
        <row r="229">
          <cell r="A229">
            <v>267324</v>
          </cell>
          <cell r="X229">
            <v>45401</v>
          </cell>
        </row>
        <row r="230">
          <cell r="A230">
            <v>267424</v>
          </cell>
          <cell r="X230">
            <v>45404</v>
          </cell>
        </row>
        <row r="231">
          <cell r="A231">
            <v>267524</v>
          </cell>
          <cell r="X231">
            <v>45404</v>
          </cell>
        </row>
        <row r="232">
          <cell r="A232">
            <v>267624</v>
          </cell>
          <cell r="X232">
            <v>45404</v>
          </cell>
        </row>
        <row r="233">
          <cell r="A233">
            <v>267724</v>
          </cell>
          <cell r="X233">
            <v>45404</v>
          </cell>
        </row>
        <row r="234">
          <cell r="A234">
            <v>267824</v>
          </cell>
          <cell r="X234">
            <v>45404</v>
          </cell>
        </row>
        <row r="235">
          <cell r="A235">
            <v>267924</v>
          </cell>
          <cell r="X235">
            <v>45404</v>
          </cell>
        </row>
        <row r="236">
          <cell r="A236">
            <v>268024</v>
          </cell>
          <cell r="X236">
            <v>45404</v>
          </cell>
        </row>
        <row r="237">
          <cell r="A237">
            <v>268124</v>
          </cell>
          <cell r="X237">
            <v>45404</v>
          </cell>
        </row>
        <row r="238">
          <cell r="A238">
            <v>268224</v>
          </cell>
          <cell r="X238">
            <v>45404</v>
          </cell>
        </row>
        <row r="239">
          <cell r="A239">
            <v>268324</v>
          </cell>
          <cell r="X239">
            <v>45404</v>
          </cell>
        </row>
        <row r="240">
          <cell r="A240">
            <v>268424</v>
          </cell>
          <cell r="X240">
            <v>45404</v>
          </cell>
        </row>
        <row r="241">
          <cell r="A241">
            <v>268524</v>
          </cell>
          <cell r="X241">
            <v>45404</v>
          </cell>
        </row>
        <row r="242">
          <cell r="A242">
            <v>268624</v>
          </cell>
          <cell r="X242">
            <v>45404</v>
          </cell>
        </row>
        <row r="243">
          <cell r="A243">
            <v>268724</v>
          </cell>
          <cell r="X243">
            <v>45404</v>
          </cell>
        </row>
        <row r="244">
          <cell r="A244">
            <v>268824</v>
          </cell>
          <cell r="X244">
            <v>45404</v>
          </cell>
        </row>
        <row r="245">
          <cell r="A245">
            <v>268924</v>
          </cell>
          <cell r="X245">
            <v>45410</v>
          </cell>
        </row>
        <row r="246">
          <cell r="A246">
            <v>269024</v>
          </cell>
          <cell r="X246">
            <v>45412</v>
          </cell>
        </row>
        <row r="247">
          <cell r="A247">
            <v>269124</v>
          </cell>
          <cell r="X247">
            <v>45412</v>
          </cell>
        </row>
        <row r="248">
          <cell r="A248">
            <v>269224</v>
          </cell>
          <cell r="X248">
            <v>45412</v>
          </cell>
        </row>
        <row r="249">
          <cell r="A249">
            <v>269324</v>
          </cell>
          <cell r="X249">
            <v>45412</v>
          </cell>
        </row>
        <row r="250">
          <cell r="A250">
            <v>269424</v>
          </cell>
          <cell r="X250">
            <v>45412</v>
          </cell>
        </row>
        <row r="251">
          <cell r="A251">
            <v>269524</v>
          </cell>
          <cell r="X251">
            <v>45412</v>
          </cell>
        </row>
        <row r="252">
          <cell r="A252">
            <v>269624</v>
          </cell>
          <cell r="X252">
            <v>45412</v>
          </cell>
        </row>
        <row r="253">
          <cell r="A253">
            <v>269724</v>
          </cell>
          <cell r="X253">
            <v>45415</v>
          </cell>
        </row>
        <row r="254">
          <cell r="A254">
            <v>269824</v>
          </cell>
          <cell r="X254">
            <v>45415</v>
          </cell>
        </row>
        <row r="255">
          <cell r="A255">
            <v>269924</v>
          </cell>
          <cell r="X255">
            <v>45416</v>
          </cell>
        </row>
        <row r="256">
          <cell r="A256">
            <v>270024</v>
          </cell>
          <cell r="X256">
            <v>45416</v>
          </cell>
        </row>
        <row r="257">
          <cell r="A257">
            <v>270124</v>
          </cell>
          <cell r="X257">
            <v>45418</v>
          </cell>
        </row>
        <row r="258">
          <cell r="A258">
            <v>270224</v>
          </cell>
          <cell r="X258">
            <v>45425</v>
          </cell>
        </row>
        <row r="259">
          <cell r="A259">
            <v>270324</v>
          </cell>
          <cell r="X259">
            <v>45425</v>
          </cell>
        </row>
        <row r="260">
          <cell r="A260">
            <v>270424</v>
          </cell>
          <cell r="X260">
            <v>45425</v>
          </cell>
        </row>
        <row r="261">
          <cell r="A261">
            <v>270524</v>
          </cell>
          <cell r="X261">
            <v>45425</v>
          </cell>
        </row>
        <row r="262">
          <cell r="A262">
            <v>270624</v>
          </cell>
          <cell r="X262">
            <v>45425</v>
          </cell>
        </row>
        <row r="263">
          <cell r="A263">
            <v>270724</v>
          </cell>
          <cell r="X263">
            <v>45425</v>
          </cell>
        </row>
        <row r="264">
          <cell r="A264">
            <v>270824</v>
          </cell>
          <cell r="X264">
            <v>45425</v>
          </cell>
        </row>
        <row r="265">
          <cell r="A265">
            <v>270924</v>
          </cell>
          <cell r="X265">
            <v>45425</v>
          </cell>
        </row>
        <row r="266">
          <cell r="A266">
            <v>271024</v>
          </cell>
          <cell r="X266">
            <v>45425</v>
          </cell>
        </row>
        <row r="267">
          <cell r="A267">
            <v>271124</v>
          </cell>
          <cell r="X267">
            <v>45425</v>
          </cell>
        </row>
        <row r="268">
          <cell r="A268">
            <v>271224</v>
          </cell>
          <cell r="X268">
            <v>45425</v>
          </cell>
        </row>
        <row r="269">
          <cell r="A269">
            <v>271324</v>
          </cell>
          <cell r="X269">
            <v>45425</v>
          </cell>
        </row>
        <row r="270">
          <cell r="A270">
            <v>271424</v>
          </cell>
          <cell r="X270">
            <v>45427</v>
          </cell>
        </row>
        <row r="271">
          <cell r="A271">
            <v>271524</v>
          </cell>
          <cell r="X271">
            <v>45427</v>
          </cell>
        </row>
        <row r="272">
          <cell r="A272">
            <v>271624</v>
          </cell>
          <cell r="X272">
            <v>45427</v>
          </cell>
        </row>
        <row r="273">
          <cell r="A273">
            <v>271724</v>
          </cell>
          <cell r="X273">
            <v>45427</v>
          </cell>
        </row>
        <row r="274">
          <cell r="A274">
            <v>271824</v>
          </cell>
          <cell r="X274">
            <v>45427</v>
          </cell>
        </row>
        <row r="275">
          <cell r="A275">
            <v>271924</v>
          </cell>
          <cell r="X275">
            <v>45427</v>
          </cell>
        </row>
        <row r="276">
          <cell r="A276">
            <v>272024</v>
          </cell>
          <cell r="X276">
            <v>45432</v>
          </cell>
        </row>
        <row r="277">
          <cell r="A277">
            <v>272124</v>
          </cell>
          <cell r="X277">
            <v>45436</v>
          </cell>
        </row>
        <row r="278">
          <cell r="A278">
            <v>272224</v>
          </cell>
          <cell r="X278">
            <v>45436</v>
          </cell>
        </row>
        <row r="279">
          <cell r="A279">
            <v>272324</v>
          </cell>
          <cell r="X279">
            <v>45439</v>
          </cell>
        </row>
        <row r="280">
          <cell r="A280">
            <v>272424</v>
          </cell>
          <cell r="X280">
            <v>45439</v>
          </cell>
        </row>
        <row r="281">
          <cell r="A281">
            <v>272524</v>
          </cell>
          <cell r="X281">
            <v>45442</v>
          </cell>
        </row>
        <row r="282">
          <cell r="A282">
            <v>272624</v>
          </cell>
          <cell r="X282">
            <v>45442</v>
          </cell>
        </row>
        <row r="283">
          <cell r="A283">
            <v>272724</v>
          </cell>
          <cell r="X283">
            <v>45442</v>
          </cell>
        </row>
        <row r="284">
          <cell r="A284">
            <v>272824</v>
          </cell>
          <cell r="X284">
            <v>45442</v>
          </cell>
        </row>
        <row r="285">
          <cell r="A285">
            <v>272924</v>
          </cell>
          <cell r="X285">
            <v>45442</v>
          </cell>
        </row>
        <row r="286">
          <cell r="A286">
            <v>273024</v>
          </cell>
          <cell r="X286">
            <v>45442</v>
          </cell>
        </row>
        <row r="287">
          <cell r="A287">
            <v>273124</v>
          </cell>
          <cell r="X287">
            <v>45442</v>
          </cell>
        </row>
        <row r="288">
          <cell r="A288">
            <v>273224</v>
          </cell>
          <cell r="X288">
            <v>45442</v>
          </cell>
        </row>
        <row r="289">
          <cell r="A289">
            <v>273324</v>
          </cell>
          <cell r="X289">
            <v>45442</v>
          </cell>
        </row>
        <row r="290">
          <cell r="A290">
            <v>273424</v>
          </cell>
          <cell r="X290">
            <v>45442</v>
          </cell>
        </row>
        <row r="291">
          <cell r="A291">
            <v>273524</v>
          </cell>
          <cell r="X291">
            <v>45449</v>
          </cell>
        </row>
        <row r="292">
          <cell r="A292">
            <v>273624</v>
          </cell>
          <cell r="X292">
            <v>45449</v>
          </cell>
        </row>
        <row r="293">
          <cell r="A293">
            <v>273724</v>
          </cell>
          <cell r="X293">
            <v>45449</v>
          </cell>
        </row>
        <row r="294">
          <cell r="A294">
            <v>273824</v>
          </cell>
          <cell r="X294">
            <v>45449</v>
          </cell>
        </row>
        <row r="295">
          <cell r="A295">
            <v>273924</v>
          </cell>
          <cell r="X295">
            <v>45449</v>
          </cell>
        </row>
        <row r="296">
          <cell r="A296">
            <v>274024</v>
          </cell>
          <cell r="X296">
            <v>45449</v>
          </cell>
        </row>
        <row r="297">
          <cell r="A297">
            <v>274124</v>
          </cell>
          <cell r="X297">
            <v>45449</v>
          </cell>
        </row>
        <row r="298">
          <cell r="A298">
            <v>274224</v>
          </cell>
          <cell r="X298">
            <v>45449</v>
          </cell>
        </row>
        <row r="299">
          <cell r="A299">
            <v>274324</v>
          </cell>
          <cell r="X299">
            <v>45449</v>
          </cell>
        </row>
        <row r="300">
          <cell r="A300">
            <v>274424</v>
          </cell>
          <cell r="X300">
            <v>45449</v>
          </cell>
        </row>
        <row r="301">
          <cell r="A301">
            <v>274524</v>
          </cell>
          <cell r="X301">
            <v>45449</v>
          </cell>
        </row>
        <row r="302">
          <cell r="A302">
            <v>274624</v>
          </cell>
          <cell r="X302">
            <v>45449</v>
          </cell>
        </row>
        <row r="303">
          <cell r="A303">
            <v>274724</v>
          </cell>
          <cell r="X303">
            <v>45449</v>
          </cell>
        </row>
        <row r="304">
          <cell r="A304">
            <v>274824</v>
          </cell>
          <cell r="X304">
            <v>45449</v>
          </cell>
        </row>
        <row r="305">
          <cell r="A305">
            <v>274924</v>
          </cell>
          <cell r="X305">
            <v>45453</v>
          </cell>
        </row>
        <row r="306">
          <cell r="A306">
            <v>275024</v>
          </cell>
          <cell r="X306">
            <v>45453</v>
          </cell>
        </row>
        <row r="307">
          <cell r="A307">
            <v>275124</v>
          </cell>
          <cell r="X307">
            <v>45456</v>
          </cell>
        </row>
        <row r="308">
          <cell r="A308">
            <v>275224</v>
          </cell>
          <cell r="X308">
            <v>45456</v>
          </cell>
        </row>
        <row r="309">
          <cell r="A309">
            <v>275324</v>
          </cell>
          <cell r="X309">
            <v>45456</v>
          </cell>
        </row>
        <row r="310">
          <cell r="A310">
            <v>275424</v>
          </cell>
          <cell r="X310">
            <v>45456</v>
          </cell>
        </row>
        <row r="311">
          <cell r="A311">
            <v>275524</v>
          </cell>
          <cell r="X311">
            <v>45451</v>
          </cell>
        </row>
        <row r="312">
          <cell r="A312">
            <v>275624</v>
          </cell>
          <cell r="X312">
            <v>45451</v>
          </cell>
        </row>
        <row r="313">
          <cell r="A313">
            <v>275724</v>
          </cell>
          <cell r="X313">
            <v>45451</v>
          </cell>
        </row>
        <row r="314">
          <cell r="A314">
            <v>275824</v>
          </cell>
          <cell r="X314">
            <v>45451</v>
          </cell>
        </row>
        <row r="315">
          <cell r="A315">
            <v>275924</v>
          </cell>
          <cell r="X315">
            <v>45451</v>
          </cell>
        </row>
        <row r="316">
          <cell r="A316">
            <v>276024</v>
          </cell>
          <cell r="X316">
            <v>45461</v>
          </cell>
        </row>
        <row r="317">
          <cell r="A317">
            <v>276124</v>
          </cell>
          <cell r="X317">
            <v>45461</v>
          </cell>
        </row>
        <row r="318">
          <cell r="A318">
            <v>276224</v>
          </cell>
          <cell r="X318">
            <v>45461</v>
          </cell>
        </row>
        <row r="319">
          <cell r="A319">
            <v>276324</v>
          </cell>
          <cell r="X319">
            <v>45461</v>
          </cell>
        </row>
        <row r="320">
          <cell r="A320">
            <v>276424</v>
          </cell>
          <cell r="X320">
            <v>45462</v>
          </cell>
        </row>
        <row r="321">
          <cell r="A321">
            <v>276524</v>
          </cell>
          <cell r="X321">
            <v>45462</v>
          </cell>
        </row>
        <row r="322">
          <cell r="A322">
            <v>276624</v>
          </cell>
          <cell r="X322">
            <v>45462</v>
          </cell>
        </row>
        <row r="323">
          <cell r="A323">
            <v>276724</v>
          </cell>
          <cell r="X323">
            <v>45462</v>
          </cell>
        </row>
        <row r="324">
          <cell r="A324">
            <v>276824</v>
          </cell>
          <cell r="X324">
            <v>45462</v>
          </cell>
        </row>
        <row r="325">
          <cell r="A325">
            <v>276924</v>
          </cell>
          <cell r="X325">
            <v>45462</v>
          </cell>
        </row>
        <row r="326">
          <cell r="A326">
            <v>277024</v>
          </cell>
          <cell r="X326">
            <v>45462</v>
          </cell>
        </row>
        <row r="327">
          <cell r="A327">
            <v>277124</v>
          </cell>
          <cell r="X327">
            <v>45467</v>
          </cell>
        </row>
        <row r="328">
          <cell r="A328">
            <v>277224</v>
          </cell>
          <cell r="X328">
            <v>45467</v>
          </cell>
        </row>
        <row r="329">
          <cell r="A329">
            <v>277324</v>
          </cell>
          <cell r="X329">
            <v>45467</v>
          </cell>
        </row>
        <row r="330">
          <cell r="A330">
            <v>277424</v>
          </cell>
          <cell r="X330">
            <v>45467</v>
          </cell>
        </row>
        <row r="331">
          <cell r="A331">
            <v>277524</v>
          </cell>
          <cell r="X331">
            <v>45467</v>
          </cell>
        </row>
        <row r="332">
          <cell r="A332">
            <v>277624</v>
          </cell>
          <cell r="X332">
            <v>45470</v>
          </cell>
        </row>
        <row r="333">
          <cell r="A333">
            <v>277724</v>
          </cell>
          <cell r="X333">
            <v>45470</v>
          </cell>
        </row>
        <row r="334">
          <cell r="A334">
            <v>277824</v>
          </cell>
          <cell r="X334">
            <v>45470</v>
          </cell>
        </row>
        <row r="335">
          <cell r="A335">
            <v>277924</v>
          </cell>
          <cell r="X335">
            <v>45470</v>
          </cell>
        </row>
        <row r="336">
          <cell r="A336">
            <v>278024</v>
          </cell>
          <cell r="X336">
            <v>45470</v>
          </cell>
        </row>
        <row r="337">
          <cell r="A337">
            <v>278124</v>
          </cell>
          <cell r="X337">
            <v>45470</v>
          </cell>
        </row>
        <row r="338">
          <cell r="A338">
            <v>278224</v>
          </cell>
          <cell r="X338">
            <v>45470</v>
          </cell>
        </row>
        <row r="339">
          <cell r="A339">
            <v>278324</v>
          </cell>
          <cell r="X339">
            <v>45472</v>
          </cell>
        </row>
        <row r="340">
          <cell r="A340">
            <v>278424</v>
          </cell>
          <cell r="X340">
            <v>45472</v>
          </cell>
        </row>
        <row r="341">
          <cell r="A341">
            <v>278524</v>
          </cell>
          <cell r="X341">
            <v>45475</v>
          </cell>
        </row>
        <row r="342">
          <cell r="A342">
            <v>278624</v>
          </cell>
          <cell r="X342">
            <v>45475</v>
          </cell>
        </row>
        <row r="343">
          <cell r="A343">
            <v>278724</v>
          </cell>
          <cell r="X343">
            <v>45474</v>
          </cell>
        </row>
        <row r="344">
          <cell r="A344">
            <v>278824</v>
          </cell>
          <cell r="X344">
            <v>45474</v>
          </cell>
        </row>
        <row r="345">
          <cell r="A345">
            <v>278924</v>
          </cell>
          <cell r="X345">
            <v>45474</v>
          </cell>
        </row>
        <row r="346">
          <cell r="A346">
            <v>279024</v>
          </cell>
          <cell r="X346">
            <v>45474</v>
          </cell>
        </row>
        <row r="347">
          <cell r="A347">
            <v>279124</v>
          </cell>
          <cell r="X347">
            <v>45474</v>
          </cell>
        </row>
        <row r="348">
          <cell r="A348">
            <v>279224</v>
          </cell>
          <cell r="X348">
            <v>45474</v>
          </cell>
        </row>
        <row r="349">
          <cell r="A349">
            <v>279324</v>
          </cell>
          <cell r="X349">
            <v>45476</v>
          </cell>
        </row>
        <row r="350">
          <cell r="A350">
            <v>279424</v>
          </cell>
          <cell r="X350">
            <v>45476</v>
          </cell>
        </row>
        <row r="351">
          <cell r="A351">
            <v>279524</v>
          </cell>
          <cell r="X351">
            <v>45478</v>
          </cell>
        </row>
        <row r="352">
          <cell r="A352">
            <v>279624</v>
          </cell>
          <cell r="X352">
            <v>45483</v>
          </cell>
        </row>
        <row r="353">
          <cell r="A353">
            <v>279724</v>
          </cell>
          <cell r="X353">
            <v>45484</v>
          </cell>
        </row>
        <row r="354">
          <cell r="A354">
            <v>279824</v>
          </cell>
          <cell r="X354">
            <v>45484</v>
          </cell>
        </row>
        <row r="355">
          <cell r="A355">
            <v>279924</v>
          </cell>
          <cell r="X355">
            <v>45484</v>
          </cell>
        </row>
        <row r="356">
          <cell r="A356">
            <v>280024</v>
          </cell>
          <cell r="X356">
            <v>45484</v>
          </cell>
        </row>
        <row r="357">
          <cell r="A357">
            <v>280124</v>
          </cell>
          <cell r="X357">
            <v>45484</v>
          </cell>
        </row>
        <row r="358">
          <cell r="A358">
            <v>280224</v>
          </cell>
          <cell r="X358">
            <v>45484</v>
          </cell>
        </row>
        <row r="359">
          <cell r="A359">
            <v>280324</v>
          </cell>
          <cell r="X359">
            <v>45484</v>
          </cell>
        </row>
        <row r="360">
          <cell r="A360">
            <v>280424</v>
          </cell>
          <cell r="X360">
            <v>45484</v>
          </cell>
        </row>
        <row r="361">
          <cell r="A361">
            <v>280524</v>
          </cell>
          <cell r="X361">
            <v>45484</v>
          </cell>
        </row>
        <row r="362">
          <cell r="A362">
            <v>280624</v>
          </cell>
          <cell r="X362">
            <v>45492</v>
          </cell>
        </row>
        <row r="363">
          <cell r="A363">
            <v>280724</v>
          </cell>
          <cell r="X363">
            <v>45492</v>
          </cell>
        </row>
        <row r="364">
          <cell r="A364">
            <v>280824</v>
          </cell>
          <cell r="X364">
            <v>45492</v>
          </cell>
        </row>
        <row r="365">
          <cell r="A365">
            <v>280924</v>
          </cell>
          <cell r="X365">
            <v>45492</v>
          </cell>
        </row>
        <row r="366">
          <cell r="A366">
            <v>281024</v>
          </cell>
          <cell r="X366">
            <v>45492</v>
          </cell>
        </row>
        <row r="367">
          <cell r="A367">
            <v>281124</v>
          </cell>
          <cell r="X367">
            <v>45492</v>
          </cell>
        </row>
        <row r="368">
          <cell r="A368">
            <v>281224</v>
          </cell>
          <cell r="X368">
            <v>45492</v>
          </cell>
        </row>
        <row r="369">
          <cell r="A369">
            <v>281324</v>
          </cell>
          <cell r="X369">
            <v>45492</v>
          </cell>
        </row>
        <row r="370">
          <cell r="A370">
            <v>281424</v>
          </cell>
          <cell r="X370">
            <v>45492</v>
          </cell>
        </row>
        <row r="371">
          <cell r="A371">
            <v>281524</v>
          </cell>
          <cell r="X371">
            <v>45492</v>
          </cell>
        </row>
        <row r="372">
          <cell r="A372">
            <v>281624</v>
          </cell>
          <cell r="X372">
            <v>45492</v>
          </cell>
        </row>
        <row r="373">
          <cell r="A373">
            <v>281724</v>
          </cell>
          <cell r="X373">
            <v>45492</v>
          </cell>
        </row>
        <row r="374">
          <cell r="A374">
            <v>281824</v>
          </cell>
          <cell r="X374">
            <v>45492</v>
          </cell>
        </row>
        <row r="375">
          <cell r="A375">
            <v>281924</v>
          </cell>
          <cell r="X375">
            <v>45492</v>
          </cell>
        </row>
        <row r="376">
          <cell r="A376">
            <v>282024</v>
          </cell>
          <cell r="X376">
            <v>45492</v>
          </cell>
        </row>
        <row r="377">
          <cell r="A377">
            <v>282124</v>
          </cell>
          <cell r="X377">
            <v>45492</v>
          </cell>
        </row>
        <row r="378">
          <cell r="A378">
            <v>282224</v>
          </cell>
          <cell r="X378">
            <v>45492</v>
          </cell>
        </row>
        <row r="379">
          <cell r="A379">
            <v>282324</v>
          </cell>
          <cell r="X379">
            <v>45492</v>
          </cell>
        </row>
        <row r="380">
          <cell r="A380">
            <v>282424</v>
          </cell>
          <cell r="X380">
            <v>45492</v>
          </cell>
        </row>
        <row r="381">
          <cell r="A381">
            <v>282524</v>
          </cell>
          <cell r="X381">
            <v>45499</v>
          </cell>
        </row>
        <row r="382">
          <cell r="A382">
            <v>282624</v>
          </cell>
          <cell r="X382">
            <v>45499</v>
          </cell>
        </row>
        <row r="383">
          <cell r="A383">
            <v>282724</v>
          </cell>
          <cell r="X383">
            <v>45499</v>
          </cell>
        </row>
        <row r="384">
          <cell r="A384">
            <v>282824</v>
          </cell>
          <cell r="X384">
            <v>45499</v>
          </cell>
        </row>
        <row r="385">
          <cell r="A385">
            <v>282924</v>
          </cell>
          <cell r="X385">
            <v>45499</v>
          </cell>
        </row>
        <row r="386">
          <cell r="A386">
            <v>283024</v>
          </cell>
          <cell r="X386">
            <v>45499</v>
          </cell>
        </row>
        <row r="387">
          <cell r="A387">
            <v>283124</v>
          </cell>
          <cell r="X387">
            <v>45499</v>
          </cell>
        </row>
        <row r="388">
          <cell r="A388">
            <v>283224</v>
          </cell>
          <cell r="X388">
            <v>45499</v>
          </cell>
        </row>
        <row r="389">
          <cell r="A389">
            <v>283324</v>
          </cell>
          <cell r="X389">
            <v>45499</v>
          </cell>
        </row>
        <row r="390">
          <cell r="A390">
            <v>283424</v>
          </cell>
          <cell r="X390">
            <v>45499</v>
          </cell>
        </row>
        <row r="391">
          <cell r="A391">
            <v>283524</v>
          </cell>
          <cell r="X391">
            <v>45499</v>
          </cell>
        </row>
        <row r="392">
          <cell r="A392">
            <v>283624</v>
          </cell>
          <cell r="X392">
            <v>45499</v>
          </cell>
        </row>
        <row r="393">
          <cell r="A393">
            <v>283724</v>
          </cell>
          <cell r="X393">
            <v>45504</v>
          </cell>
        </row>
        <row r="394">
          <cell r="A394">
            <v>283824</v>
          </cell>
          <cell r="X394">
            <v>45504</v>
          </cell>
        </row>
        <row r="395">
          <cell r="A395">
            <v>283924</v>
          </cell>
          <cell r="X395">
            <v>45504</v>
          </cell>
        </row>
        <row r="396">
          <cell r="A396">
            <v>284024</v>
          </cell>
          <cell r="X396">
            <v>45505</v>
          </cell>
        </row>
        <row r="397">
          <cell r="A397">
            <v>284124</v>
          </cell>
          <cell r="X397">
            <v>45505</v>
          </cell>
        </row>
        <row r="398">
          <cell r="A398">
            <v>284224</v>
          </cell>
          <cell r="X398">
            <v>45505</v>
          </cell>
        </row>
        <row r="399">
          <cell r="A399">
            <v>284324</v>
          </cell>
          <cell r="X399">
            <v>45509</v>
          </cell>
        </row>
        <row r="400">
          <cell r="A400">
            <v>284424</v>
          </cell>
          <cell r="X400">
            <v>45509</v>
          </cell>
        </row>
        <row r="401">
          <cell r="A401">
            <v>284524</v>
          </cell>
          <cell r="X401">
            <v>45509</v>
          </cell>
        </row>
        <row r="402">
          <cell r="A402">
            <v>284624</v>
          </cell>
          <cell r="X402">
            <v>45509</v>
          </cell>
        </row>
        <row r="403">
          <cell r="A403">
            <v>284724</v>
          </cell>
          <cell r="X403">
            <v>45509</v>
          </cell>
        </row>
        <row r="404">
          <cell r="A404">
            <v>284824</v>
          </cell>
          <cell r="X404">
            <v>45509</v>
          </cell>
        </row>
        <row r="405">
          <cell r="A405">
            <v>284924</v>
          </cell>
          <cell r="X405">
            <v>45509</v>
          </cell>
        </row>
        <row r="406">
          <cell r="A406">
            <v>285024</v>
          </cell>
          <cell r="X406">
            <v>45509</v>
          </cell>
        </row>
        <row r="407">
          <cell r="A407">
            <v>285124</v>
          </cell>
          <cell r="X407">
            <v>45509</v>
          </cell>
        </row>
        <row r="408">
          <cell r="A408">
            <v>285224</v>
          </cell>
          <cell r="X408">
            <v>45509</v>
          </cell>
        </row>
        <row r="409">
          <cell r="A409">
            <v>285324</v>
          </cell>
          <cell r="X409">
            <v>45509</v>
          </cell>
        </row>
        <row r="410">
          <cell r="A410">
            <v>285424</v>
          </cell>
          <cell r="X410">
            <v>45509</v>
          </cell>
        </row>
        <row r="411">
          <cell r="A411">
            <v>285524</v>
          </cell>
          <cell r="X411">
            <v>45509</v>
          </cell>
        </row>
        <row r="412">
          <cell r="A412">
            <v>285624</v>
          </cell>
          <cell r="X412">
            <v>45509</v>
          </cell>
        </row>
        <row r="413">
          <cell r="A413">
            <v>285724</v>
          </cell>
          <cell r="X413">
            <v>45509</v>
          </cell>
        </row>
        <row r="414">
          <cell r="A414">
            <v>285824</v>
          </cell>
          <cell r="X414">
            <v>45509</v>
          </cell>
        </row>
        <row r="415">
          <cell r="A415">
            <v>285924</v>
          </cell>
          <cell r="X415">
            <v>45512</v>
          </cell>
        </row>
        <row r="416">
          <cell r="A416">
            <v>286024</v>
          </cell>
          <cell r="X416">
            <v>45518</v>
          </cell>
        </row>
        <row r="417">
          <cell r="A417">
            <v>286124</v>
          </cell>
          <cell r="X417">
            <v>45518</v>
          </cell>
        </row>
        <row r="418">
          <cell r="A418">
            <v>286224</v>
          </cell>
          <cell r="X418">
            <v>45518</v>
          </cell>
        </row>
        <row r="419">
          <cell r="A419">
            <v>286324</v>
          </cell>
          <cell r="X419">
            <v>45520</v>
          </cell>
        </row>
        <row r="420">
          <cell r="A420">
            <v>286424</v>
          </cell>
          <cell r="X420">
            <v>45520</v>
          </cell>
        </row>
        <row r="421">
          <cell r="A421">
            <v>286524</v>
          </cell>
          <cell r="X421">
            <v>45520</v>
          </cell>
        </row>
        <row r="422">
          <cell r="A422">
            <v>286624</v>
          </cell>
          <cell r="X422">
            <v>45525</v>
          </cell>
        </row>
        <row r="423">
          <cell r="A423">
            <v>286724</v>
          </cell>
          <cell r="X423">
            <v>45531</v>
          </cell>
        </row>
        <row r="424">
          <cell r="A424">
            <v>286824</v>
          </cell>
          <cell r="X424">
            <v>45531</v>
          </cell>
        </row>
        <row r="425">
          <cell r="A425">
            <v>286924</v>
          </cell>
          <cell r="X425">
            <v>45531</v>
          </cell>
        </row>
        <row r="426">
          <cell r="A426">
            <v>287024</v>
          </cell>
          <cell r="X426">
            <v>45526</v>
          </cell>
        </row>
        <row r="427">
          <cell r="A427">
            <v>287124</v>
          </cell>
          <cell r="X427">
            <v>45526</v>
          </cell>
        </row>
        <row r="428">
          <cell r="A428">
            <v>287224</v>
          </cell>
          <cell r="X428">
            <v>45526</v>
          </cell>
        </row>
        <row r="429">
          <cell r="A429">
            <v>287324</v>
          </cell>
          <cell r="X429">
            <v>45526</v>
          </cell>
        </row>
        <row r="430">
          <cell r="A430">
            <v>287424</v>
          </cell>
          <cell r="X430">
            <v>45533</v>
          </cell>
        </row>
        <row r="431">
          <cell r="A431">
            <v>287524</v>
          </cell>
          <cell r="X431">
            <v>45533</v>
          </cell>
        </row>
        <row r="432">
          <cell r="A432">
            <v>287624</v>
          </cell>
          <cell r="X432">
            <v>45533</v>
          </cell>
        </row>
        <row r="433">
          <cell r="A433">
            <v>287724</v>
          </cell>
          <cell r="X433">
            <v>45533</v>
          </cell>
        </row>
        <row r="434">
          <cell r="A434">
            <v>287824</v>
          </cell>
          <cell r="X434">
            <v>45533</v>
          </cell>
        </row>
        <row r="435">
          <cell r="A435">
            <v>287924</v>
          </cell>
          <cell r="X435">
            <v>45533</v>
          </cell>
        </row>
        <row r="436">
          <cell r="A436">
            <v>288024</v>
          </cell>
          <cell r="X436">
            <v>45533</v>
          </cell>
        </row>
        <row r="437">
          <cell r="A437">
            <v>288124</v>
          </cell>
          <cell r="X437">
            <v>45533</v>
          </cell>
        </row>
        <row r="438">
          <cell r="A438">
            <v>288224</v>
          </cell>
          <cell r="X438">
            <v>45533</v>
          </cell>
        </row>
        <row r="439">
          <cell r="A439">
            <v>288324</v>
          </cell>
          <cell r="X439">
            <v>45538</v>
          </cell>
        </row>
        <row r="440">
          <cell r="A440">
            <v>288424</v>
          </cell>
          <cell r="X440">
            <v>45545</v>
          </cell>
        </row>
        <row r="441">
          <cell r="A441">
            <v>288524</v>
          </cell>
          <cell r="X441">
            <v>45545</v>
          </cell>
        </row>
        <row r="442">
          <cell r="A442">
            <v>288624</v>
          </cell>
          <cell r="X442">
            <v>45546</v>
          </cell>
        </row>
        <row r="443">
          <cell r="A443">
            <v>288724</v>
          </cell>
          <cell r="X443">
            <v>45546</v>
          </cell>
        </row>
        <row r="444">
          <cell r="A444">
            <v>288824</v>
          </cell>
          <cell r="X444">
            <v>45547</v>
          </cell>
        </row>
        <row r="445">
          <cell r="A445">
            <v>288924</v>
          </cell>
          <cell r="X445">
            <v>45547</v>
          </cell>
        </row>
        <row r="446">
          <cell r="A446">
            <v>289024</v>
          </cell>
          <cell r="X446">
            <v>45547</v>
          </cell>
        </row>
        <row r="447">
          <cell r="A447">
            <v>289124</v>
          </cell>
          <cell r="X447">
            <v>45547</v>
          </cell>
        </row>
        <row r="448">
          <cell r="A448">
            <v>289224</v>
          </cell>
          <cell r="X448">
            <v>45548</v>
          </cell>
        </row>
        <row r="449">
          <cell r="A449">
            <v>289324</v>
          </cell>
          <cell r="X449">
            <v>45548</v>
          </cell>
        </row>
        <row r="450">
          <cell r="A450">
            <v>289424</v>
          </cell>
          <cell r="X450">
            <v>45550</v>
          </cell>
        </row>
        <row r="451">
          <cell r="A451">
            <v>289524</v>
          </cell>
          <cell r="X451">
            <v>45554</v>
          </cell>
        </row>
        <row r="452">
          <cell r="A452">
            <v>289624</v>
          </cell>
          <cell r="X452">
            <v>45554</v>
          </cell>
        </row>
        <row r="453">
          <cell r="A453">
            <v>289724</v>
          </cell>
          <cell r="X453">
            <v>45554</v>
          </cell>
        </row>
        <row r="454">
          <cell r="A454">
            <v>289824</v>
          </cell>
          <cell r="X454">
            <v>45555</v>
          </cell>
        </row>
        <row r="455">
          <cell r="A455">
            <v>289924</v>
          </cell>
          <cell r="X455">
            <v>45555</v>
          </cell>
        </row>
        <row r="456">
          <cell r="A456">
            <v>290024</v>
          </cell>
          <cell r="X456">
            <v>45555</v>
          </cell>
        </row>
        <row r="457">
          <cell r="A457">
            <v>290124</v>
          </cell>
          <cell r="X457">
            <v>45555</v>
          </cell>
        </row>
        <row r="458">
          <cell r="A458">
            <v>290224</v>
          </cell>
          <cell r="X458">
            <v>45555</v>
          </cell>
        </row>
        <row r="459">
          <cell r="A459">
            <v>290324</v>
          </cell>
          <cell r="X459">
            <v>45555</v>
          </cell>
        </row>
        <row r="460">
          <cell r="A460">
            <v>290424</v>
          </cell>
          <cell r="X460">
            <v>45555</v>
          </cell>
        </row>
        <row r="461">
          <cell r="A461">
            <v>290524</v>
          </cell>
          <cell r="X461">
            <v>45555</v>
          </cell>
        </row>
        <row r="462">
          <cell r="A462">
            <v>290624</v>
          </cell>
          <cell r="X462">
            <v>45555</v>
          </cell>
        </row>
        <row r="463">
          <cell r="A463">
            <v>290724</v>
          </cell>
          <cell r="X463">
            <v>45555</v>
          </cell>
        </row>
        <row r="464">
          <cell r="A464">
            <v>290824</v>
          </cell>
          <cell r="X464">
            <v>45555</v>
          </cell>
        </row>
        <row r="465">
          <cell r="A465">
            <v>290924</v>
          </cell>
          <cell r="X465">
            <v>45555</v>
          </cell>
        </row>
        <row r="466">
          <cell r="A466">
            <v>291024</v>
          </cell>
          <cell r="X466">
            <v>45555</v>
          </cell>
        </row>
        <row r="467">
          <cell r="A467">
            <v>291124</v>
          </cell>
          <cell r="X467">
            <v>45555</v>
          </cell>
        </row>
        <row r="468">
          <cell r="A468">
            <v>291224</v>
          </cell>
          <cell r="X468">
            <v>45555</v>
          </cell>
        </row>
        <row r="469">
          <cell r="A469">
            <v>291324</v>
          </cell>
          <cell r="X469">
            <v>45555</v>
          </cell>
        </row>
        <row r="470">
          <cell r="A470">
            <v>291424</v>
          </cell>
          <cell r="X470">
            <v>45558</v>
          </cell>
        </row>
        <row r="471">
          <cell r="A471">
            <v>291524</v>
          </cell>
          <cell r="X471">
            <v>45558</v>
          </cell>
        </row>
        <row r="472">
          <cell r="A472">
            <v>291624</v>
          </cell>
          <cell r="X472">
            <v>45558</v>
          </cell>
        </row>
        <row r="473">
          <cell r="A473">
            <v>291724</v>
          </cell>
          <cell r="X473">
            <v>45558</v>
          </cell>
        </row>
        <row r="474">
          <cell r="A474">
            <v>291824</v>
          </cell>
          <cell r="X474">
            <v>45558</v>
          </cell>
        </row>
        <row r="475">
          <cell r="A475">
            <v>291924</v>
          </cell>
          <cell r="X475">
            <v>45558</v>
          </cell>
        </row>
        <row r="476">
          <cell r="A476">
            <v>292024</v>
          </cell>
          <cell r="X476">
            <v>45558</v>
          </cell>
        </row>
        <row r="477">
          <cell r="A477">
            <v>292124</v>
          </cell>
          <cell r="X477">
            <v>45558</v>
          </cell>
        </row>
        <row r="478">
          <cell r="A478">
            <v>292224</v>
          </cell>
          <cell r="X478">
            <v>45558</v>
          </cell>
        </row>
        <row r="479">
          <cell r="A479">
            <v>292324</v>
          </cell>
          <cell r="X479">
            <v>45558</v>
          </cell>
        </row>
        <row r="480">
          <cell r="A480">
            <v>292424</v>
          </cell>
          <cell r="X480">
            <v>45558</v>
          </cell>
        </row>
        <row r="481">
          <cell r="A481">
            <v>292524</v>
          </cell>
          <cell r="X481">
            <v>45558</v>
          </cell>
        </row>
        <row r="482">
          <cell r="A482">
            <v>292624</v>
          </cell>
          <cell r="X482">
            <v>45558</v>
          </cell>
        </row>
        <row r="483">
          <cell r="A483">
            <v>292724</v>
          </cell>
          <cell r="X483">
            <v>45558</v>
          </cell>
        </row>
        <row r="484">
          <cell r="A484">
            <v>292824</v>
          </cell>
          <cell r="X484">
            <v>45558</v>
          </cell>
        </row>
        <row r="485">
          <cell r="A485">
            <v>292924</v>
          </cell>
          <cell r="X485">
            <v>45558</v>
          </cell>
        </row>
        <row r="486">
          <cell r="A486">
            <v>293024</v>
          </cell>
          <cell r="X486">
            <v>45558</v>
          </cell>
        </row>
        <row r="487">
          <cell r="A487">
            <v>293124</v>
          </cell>
          <cell r="X487">
            <v>45558</v>
          </cell>
        </row>
        <row r="488">
          <cell r="A488">
            <v>293224</v>
          </cell>
          <cell r="X488">
            <v>45558</v>
          </cell>
        </row>
        <row r="489">
          <cell r="A489">
            <v>293324</v>
          </cell>
          <cell r="X489">
            <v>45566</v>
          </cell>
        </row>
        <row r="490">
          <cell r="A490">
            <v>293424</v>
          </cell>
          <cell r="X490">
            <v>45566</v>
          </cell>
        </row>
        <row r="491">
          <cell r="A491">
            <v>293524</v>
          </cell>
          <cell r="X491">
            <v>45566</v>
          </cell>
        </row>
        <row r="492">
          <cell r="A492">
            <v>293624</v>
          </cell>
          <cell r="X492">
            <v>45566</v>
          </cell>
        </row>
        <row r="493">
          <cell r="A493">
            <v>293724</v>
          </cell>
          <cell r="X493">
            <v>45566</v>
          </cell>
        </row>
        <row r="494">
          <cell r="A494">
            <v>293824</v>
          </cell>
          <cell r="X494">
            <v>45566</v>
          </cell>
        </row>
        <row r="495">
          <cell r="A495">
            <v>293924</v>
          </cell>
          <cell r="X495">
            <v>45566</v>
          </cell>
        </row>
        <row r="496">
          <cell r="A496">
            <v>294024</v>
          </cell>
          <cell r="X496">
            <v>45566</v>
          </cell>
        </row>
        <row r="497">
          <cell r="A497">
            <v>294124</v>
          </cell>
          <cell r="X497">
            <v>45566</v>
          </cell>
        </row>
        <row r="498">
          <cell r="A498">
            <v>294224</v>
          </cell>
          <cell r="X498">
            <v>45566</v>
          </cell>
        </row>
        <row r="499">
          <cell r="A499">
            <v>294324</v>
          </cell>
          <cell r="X499">
            <v>45566</v>
          </cell>
        </row>
        <row r="500">
          <cell r="A500">
            <v>294424</v>
          </cell>
          <cell r="X500">
            <v>45568</v>
          </cell>
        </row>
        <row r="501">
          <cell r="A501">
            <v>294524</v>
          </cell>
          <cell r="X501">
            <v>45569</v>
          </cell>
        </row>
        <row r="502">
          <cell r="A502">
            <v>294624</v>
          </cell>
          <cell r="X502">
            <v>45569</v>
          </cell>
        </row>
        <row r="503">
          <cell r="A503">
            <v>294724</v>
          </cell>
          <cell r="X503">
            <v>45569</v>
          </cell>
        </row>
        <row r="504">
          <cell r="A504">
            <v>294824</v>
          </cell>
          <cell r="X504">
            <v>45569</v>
          </cell>
        </row>
        <row r="505">
          <cell r="A505">
            <v>294924</v>
          </cell>
          <cell r="X505">
            <v>45572</v>
          </cell>
        </row>
        <row r="506">
          <cell r="A506">
            <v>295024</v>
          </cell>
          <cell r="X506">
            <v>45572</v>
          </cell>
        </row>
        <row r="507">
          <cell r="A507">
            <v>295124</v>
          </cell>
          <cell r="X507">
            <v>45572</v>
          </cell>
        </row>
        <row r="508">
          <cell r="A508">
            <v>295224</v>
          </cell>
          <cell r="X508">
            <v>45572</v>
          </cell>
        </row>
        <row r="509">
          <cell r="A509">
            <v>295324</v>
          </cell>
          <cell r="X509">
            <v>45572</v>
          </cell>
        </row>
        <row r="510">
          <cell r="A510">
            <v>295424</v>
          </cell>
          <cell r="X510">
            <v>45572</v>
          </cell>
        </row>
        <row r="511">
          <cell r="A511">
            <v>295524</v>
          </cell>
          <cell r="X511">
            <v>45572</v>
          </cell>
        </row>
        <row r="512">
          <cell r="A512">
            <v>295624</v>
          </cell>
          <cell r="X512">
            <v>45572</v>
          </cell>
        </row>
        <row r="513">
          <cell r="A513">
            <v>295724</v>
          </cell>
          <cell r="X513">
            <v>45572</v>
          </cell>
        </row>
        <row r="514">
          <cell r="A514">
            <v>295824</v>
          </cell>
          <cell r="X514">
            <v>45572</v>
          </cell>
        </row>
        <row r="515">
          <cell r="A515">
            <v>295924</v>
          </cell>
          <cell r="X515">
            <v>45572</v>
          </cell>
        </row>
        <row r="516">
          <cell r="A516">
            <v>296024</v>
          </cell>
          <cell r="X516">
            <v>45572</v>
          </cell>
        </row>
        <row r="517">
          <cell r="A517">
            <v>296124</v>
          </cell>
          <cell r="X517">
            <v>45575</v>
          </cell>
        </row>
        <row r="518">
          <cell r="A518">
            <v>296224</v>
          </cell>
          <cell r="X518">
            <v>45575</v>
          </cell>
        </row>
        <row r="519">
          <cell r="A519">
            <v>296324</v>
          </cell>
          <cell r="X519">
            <v>45575</v>
          </cell>
        </row>
        <row r="520">
          <cell r="A520">
            <v>296424</v>
          </cell>
          <cell r="X520">
            <v>45575</v>
          </cell>
        </row>
        <row r="521">
          <cell r="A521">
            <v>296524</v>
          </cell>
          <cell r="X521">
            <v>45575</v>
          </cell>
        </row>
        <row r="522">
          <cell r="A522">
            <v>296624</v>
          </cell>
          <cell r="X522">
            <v>45575</v>
          </cell>
        </row>
        <row r="523">
          <cell r="A523">
            <v>296724</v>
          </cell>
          <cell r="X523">
            <v>45575</v>
          </cell>
        </row>
        <row r="524">
          <cell r="A524">
            <v>296824</v>
          </cell>
          <cell r="X524">
            <v>45575</v>
          </cell>
        </row>
        <row r="525">
          <cell r="A525">
            <v>296924</v>
          </cell>
          <cell r="X525">
            <v>45575</v>
          </cell>
        </row>
        <row r="526">
          <cell r="A526">
            <v>297024</v>
          </cell>
          <cell r="X526">
            <v>45579</v>
          </cell>
        </row>
        <row r="527">
          <cell r="A527">
            <v>297124</v>
          </cell>
          <cell r="X527">
            <v>45579</v>
          </cell>
        </row>
        <row r="528">
          <cell r="A528">
            <v>297224</v>
          </cell>
          <cell r="X528">
            <v>45580</v>
          </cell>
        </row>
        <row r="529">
          <cell r="A529">
            <v>297324</v>
          </cell>
          <cell r="X529">
            <v>45580</v>
          </cell>
        </row>
        <row r="530">
          <cell r="A530">
            <v>297424</v>
          </cell>
          <cell r="X530">
            <v>45580</v>
          </cell>
        </row>
        <row r="531">
          <cell r="A531">
            <v>297524</v>
          </cell>
          <cell r="X531">
            <v>45342</v>
          </cell>
        </row>
        <row r="532">
          <cell r="A532">
            <v>297624</v>
          </cell>
          <cell r="X532">
            <v>45580</v>
          </cell>
        </row>
        <row r="533">
          <cell r="A533">
            <v>297724</v>
          </cell>
          <cell r="X533">
            <v>45580</v>
          </cell>
        </row>
        <row r="534">
          <cell r="A534">
            <v>297824</v>
          </cell>
          <cell r="X534">
            <v>45580</v>
          </cell>
        </row>
        <row r="535">
          <cell r="A535">
            <v>297924</v>
          </cell>
          <cell r="X535">
            <v>45580</v>
          </cell>
        </row>
        <row r="536">
          <cell r="A536">
            <v>298024</v>
          </cell>
          <cell r="X536">
            <v>45581</v>
          </cell>
        </row>
        <row r="537">
          <cell r="A537">
            <v>298124</v>
          </cell>
          <cell r="X537">
            <v>45583</v>
          </cell>
        </row>
        <row r="538">
          <cell r="A538">
            <v>298224</v>
          </cell>
          <cell r="X538">
            <v>45586</v>
          </cell>
        </row>
        <row r="539">
          <cell r="A539">
            <v>298324</v>
          </cell>
          <cell r="X539">
            <v>45586</v>
          </cell>
        </row>
        <row r="540">
          <cell r="A540">
            <v>298424</v>
          </cell>
          <cell r="X540">
            <v>45586</v>
          </cell>
        </row>
        <row r="541">
          <cell r="A541">
            <v>298524</v>
          </cell>
          <cell r="X541">
            <v>45586</v>
          </cell>
        </row>
        <row r="542">
          <cell r="A542">
            <v>298624</v>
          </cell>
          <cell r="X542">
            <v>45586</v>
          </cell>
        </row>
        <row r="543">
          <cell r="A543">
            <v>298724</v>
          </cell>
          <cell r="X543">
            <v>45586</v>
          </cell>
        </row>
        <row r="544">
          <cell r="A544">
            <v>298824</v>
          </cell>
          <cell r="X544">
            <v>45586</v>
          </cell>
        </row>
        <row r="545">
          <cell r="A545">
            <v>298924</v>
          </cell>
          <cell r="X545">
            <v>45587</v>
          </cell>
        </row>
        <row r="546">
          <cell r="A546">
            <v>299024</v>
          </cell>
          <cell r="X546">
            <v>45587</v>
          </cell>
        </row>
        <row r="547">
          <cell r="A547">
            <v>299124</v>
          </cell>
          <cell r="X547">
            <v>45594</v>
          </cell>
        </row>
        <row r="548">
          <cell r="A548">
            <v>299224</v>
          </cell>
          <cell r="X548">
            <v>45588</v>
          </cell>
        </row>
        <row r="549">
          <cell r="A549">
            <v>299324</v>
          </cell>
          <cell r="X549">
            <v>45588</v>
          </cell>
        </row>
        <row r="550">
          <cell r="A550">
            <v>299424</v>
          </cell>
          <cell r="X550">
            <v>45588</v>
          </cell>
        </row>
        <row r="551">
          <cell r="A551">
            <v>299524</v>
          </cell>
          <cell r="X551">
            <v>45591</v>
          </cell>
        </row>
        <row r="552">
          <cell r="A552">
            <v>299624</v>
          </cell>
          <cell r="X552">
            <v>45591</v>
          </cell>
        </row>
        <row r="553">
          <cell r="A553">
            <v>299724</v>
          </cell>
          <cell r="X553">
            <v>45591</v>
          </cell>
        </row>
        <row r="554">
          <cell r="A554">
            <v>299824</v>
          </cell>
          <cell r="X554">
            <v>45591</v>
          </cell>
        </row>
        <row r="555">
          <cell r="A555">
            <v>299924</v>
          </cell>
          <cell r="X555">
            <v>45594</v>
          </cell>
        </row>
        <row r="556">
          <cell r="A556">
            <v>300024</v>
          </cell>
          <cell r="X556">
            <v>45594</v>
          </cell>
        </row>
        <row r="557">
          <cell r="A557">
            <v>300124</v>
          </cell>
          <cell r="X557">
            <v>45594</v>
          </cell>
        </row>
        <row r="558">
          <cell r="A558">
            <v>300224</v>
          </cell>
          <cell r="X558">
            <v>45594</v>
          </cell>
        </row>
        <row r="559">
          <cell r="A559">
            <v>300324</v>
          </cell>
          <cell r="X559">
            <v>45594</v>
          </cell>
        </row>
        <row r="560">
          <cell r="A560">
            <v>300424</v>
          </cell>
          <cell r="X560">
            <v>45594</v>
          </cell>
        </row>
        <row r="561">
          <cell r="A561">
            <v>300524</v>
          </cell>
          <cell r="X561">
            <v>45594</v>
          </cell>
        </row>
        <row r="562">
          <cell r="A562">
            <v>300624</v>
          </cell>
          <cell r="X562">
            <v>45594</v>
          </cell>
        </row>
        <row r="563">
          <cell r="A563">
            <v>300724</v>
          </cell>
          <cell r="X563">
            <v>45594</v>
          </cell>
        </row>
        <row r="564">
          <cell r="A564">
            <v>300824</v>
          </cell>
          <cell r="X564">
            <v>45594</v>
          </cell>
        </row>
        <row r="565">
          <cell r="A565">
            <v>300924</v>
          </cell>
          <cell r="X565">
            <v>45594</v>
          </cell>
        </row>
        <row r="566">
          <cell r="A566">
            <v>301024</v>
          </cell>
          <cell r="X566">
            <v>45594</v>
          </cell>
        </row>
        <row r="567">
          <cell r="A567">
            <v>301124</v>
          </cell>
          <cell r="X567">
            <v>45594</v>
          </cell>
        </row>
        <row r="568">
          <cell r="A568">
            <v>301224</v>
          </cell>
          <cell r="X568">
            <v>45594</v>
          </cell>
        </row>
        <row r="569">
          <cell r="A569">
            <v>301324</v>
          </cell>
          <cell r="X569">
            <v>45596</v>
          </cell>
        </row>
        <row r="570">
          <cell r="A570">
            <v>301424</v>
          </cell>
          <cell r="X570">
            <v>45596</v>
          </cell>
        </row>
        <row r="571">
          <cell r="A571">
            <v>301524</v>
          </cell>
          <cell r="X571">
            <v>45596</v>
          </cell>
        </row>
        <row r="572">
          <cell r="A572">
            <v>301624</v>
          </cell>
          <cell r="X572">
            <v>45596</v>
          </cell>
        </row>
        <row r="573">
          <cell r="A573">
            <v>301724</v>
          </cell>
          <cell r="X573">
            <v>45596</v>
          </cell>
        </row>
        <row r="574">
          <cell r="A574">
            <v>301824</v>
          </cell>
          <cell r="X574">
            <v>45595</v>
          </cell>
        </row>
        <row r="575">
          <cell r="A575">
            <v>301924</v>
          </cell>
          <cell r="X575">
            <v>45595</v>
          </cell>
        </row>
        <row r="576">
          <cell r="A576">
            <v>302024</v>
          </cell>
          <cell r="X576">
            <v>45600</v>
          </cell>
        </row>
        <row r="577">
          <cell r="A577">
            <v>302124</v>
          </cell>
          <cell r="X577">
            <v>45600</v>
          </cell>
        </row>
        <row r="578">
          <cell r="A578">
            <v>302224</v>
          </cell>
          <cell r="X578">
            <v>45600</v>
          </cell>
        </row>
        <row r="579">
          <cell r="A579">
            <v>302324</v>
          </cell>
          <cell r="X579">
            <v>45600</v>
          </cell>
        </row>
        <row r="580">
          <cell r="A580">
            <v>302424</v>
          </cell>
          <cell r="X580">
            <v>45600</v>
          </cell>
        </row>
        <row r="581">
          <cell r="A581">
            <v>302524</v>
          </cell>
          <cell r="X581">
            <v>45600</v>
          </cell>
        </row>
        <row r="582">
          <cell r="A582">
            <v>302624</v>
          </cell>
          <cell r="X582">
            <v>45600</v>
          </cell>
        </row>
        <row r="583">
          <cell r="A583">
            <v>302724</v>
          </cell>
          <cell r="X583">
            <v>45601</v>
          </cell>
        </row>
        <row r="584">
          <cell r="A584">
            <v>302824</v>
          </cell>
          <cell r="X584">
            <v>45601</v>
          </cell>
        </row>
        <row r="585">
          <cell r="A585">
            <v>302924</v>
          </cell>
          <cell r="X585">
            <v>45609</v>
          </cell>
        </row>
        <row r="586">
          <cell r="A586">
            <v>303024</v>
          </cell>
          <cell r="X586">
            <v>45600</v>
          </cell>
        </row>
        <row r="587">
          <cell r="A587">
            <v>303124</v>
          </cell>
          <cell r="X587">
            <v>45600</v>
          </cell>
        </row>
        <row r="588">
          <cell r="A588">
            <v>303224</v>
          </cell>
          <cell r="X588">
            <v>45600</v>
          </cell>
        </row>
        <row r="589">
          <cell r="A589">
            <v>303324</v>
          </cell>
          <cell r="X589">
            <v>45600</v>
          </cell>
        </row>
        <row r="590">
          <cell r="A590">
            <v>303424</v>
          </cell>
          <cell r="X590">
            <v>45600</v>
          </cell>
        </row>
        <row r="591">
          <cell r="A591">
            <v>303524</v>
          </cell>
          <cell r="X591">
            <v>45600</v>
          </cell>
        </row>
        <row r="592">
          <cell r="A592">
            <v>303624</v>
          </cell>
          <cell r="X592">
            <v>45600</v>
          </cell>
        </row>
        <row r="593">
          <cell r="A593">
            <v>303724</v>
          </cell>
          <cell r="X593">
            <v>45605</v>
          </cell>
        </row>
        <row r="594">
          <cell r="A594">
            <v>303824</v>
          </cell>
          <cell r="X594">
            <v>45605</v>
          </cell>
        </row>
        <row r="595">
          <cell r="A595">
            <v>303924</v>
          </cell>
          <cell r="X595">
            <v>45607</v>
          </cell>
        </row>
        <row r="596">
          <cell r="A596">
            <v>304024</v>
          </cell>
          <cell r="X596">
            <v>45608</v>
          </cell>
        </row>
        <row r="597">
          <cell r="A597">
            <v>304124</v>
          </cell>
          <cell r="X597">
            <v>45608</v>
          </cell>
        </row>
        <row r="598">
          <cell r="A598">
            <v>304224</v>
          </cell>
          <cell r="X598">
            <v>45614</v>
          </cell>
        </row>
        <row r="599">
          <cell r="A599">
            <v>304324</v>
          </cell>
          <cell r="X599">
            <v>45608</v>
          </cell>
        </row>
        <row r="600">
          <cell r="A600">
            <v>304424</v>
          </cell>
          <cell r="X600">
            <v>45608</v>
          </cell>
        </row>
        <row r="601">
          <cell r="A601">
            <v>304524</v>
          </cell>
          <cell r="X601">
            <v>45608</v>
          </cell>
        </row>
        <row r="602">
          <cell r="A602">
            <v>304624</v>
          </cell>
          <cell r="X602">
            <v>45608</v>
          </cell>
        </row>
        <row r="603">
          <cell r="A603">
            <v>304724</v>
          </cell>
          <cell r="X603">
            <v>45610</v>
          </cell>
        </row>
        <row r="604">
          <cell r="A604">
            <v>304824</v>
          </cell>
          <cell r="X604">
            <v>45610</v>
          </cell>
        </row>
        <row r="605">
          <cell r="A605">
            <v>304924</v>
          </cell>
          <cell r="X605">
            <v>45617</v>
          </cell>
        </row>
        <row r="606">
          <cell r="A606">
            <v>305024</v>
          </cell>
          <cell r="X606">
            <v>45617</v>
          </cell>
        </row>
        <row r="607">
          <cell r="A607">
            <v>305124</v>
          </cell>
          <cell r="X607">
            <v>45617</v>
          </cell>
        </row>
        <row r="608">
          <cell r="A608">
            <v>305224</v>
          </cell>
          <cell r="X608">
            <v>45618</v>
          </cell>
        </row>
        <row r="609">
          <cell r="A609">
            <v>305324</v>
          </cell>
          <cell r="X609">
            <v>45618</v>
          </cell>
        </row>
        <row r="610">
          <cell r="A610">
            <v>305424</v>
          </cell>
          <cell r="X610">
            <v>45618</v>
          </cell>
        </row>
        <row r="611">
          <cell r="A611">
            <v>305524</v>
          </cell>
          <cell r="X611">
            <v>45618</v>
          </cell>
        </row>
        <row r="612">
          <cell r="A612">
            <v>305624</v>
          </cell>
          <cell r="X612">
            <v>45618</v>
          </cell>
        </row>
        <row r="613">
          <cell r="A613">
            <v>305724</v>
          </cell>
          <cell r="X613">
            <v>45618</v>
          </cell>
        </row>
        <row r="614">
          <cell r="A614">
            <v>305824</v>
          </cell>
          <cell r="X614">
            <v>45618</v>
          </cell>
        </row>
        <row r="615">
          <cell r="A615">
            <v>305924</v>
          </cell>
          <cell r="X615">
            <v>45618</v>
          </cell>
        </row>
        <row r="616">
          <cell r="A616">
            <v>306024</v>
          </cell>
          <cell r="X616">
            <v>45616</v>
          </cell>
        </row>
        <row r="617">
          <cell r="A617">
            <v>306124</v>
          </cell>
          <cell r="X617">
            <v>45621</v>
          </cell>
        </row>
        <row r="618">
          <cell r="A618">
            <v>306224</v>
          </cell>
          <cell r="X618">
            <v>45621</v>
          </cell>
        </row>
        <row r="619">
          <cell r="A619">
            <v>306324</v>
          </cell>
          <cell r="X619">
            <v>45621</v>
          </cell>
        </row>
        <row r="620">
          <cell r="A620">
            <v>306424</v>
          </cell>
          <cell r="X620">
            <v>45621</v>
          </cell>
        </row>
        <row r="621">
          <cell r="A621">
            <v>306524</v>
          </cell>
          <cell r="X621">
            <v>45616</v>
          </cell>
        </row>
        <row r="622">
          <cell r="A622">
            <v>306624</v>
          </cell>
          <cell r="X622">
            <v>45616</v>
          </cell>
        </row>
        <row r="623">
          <cell r="A623">
            <v>306724</v>
          </cell>
          <cell r="X623">
            <v>45616</v>
          </cell>
        </row>
        <row r="624">
          <cell r="A624">
            <v>306824</v>
          </cell>
          <cell r="X624">
            <v>45719</v>
          </cell>
        </row>
        <row r="625">
          <cell r="A625">
            <v>306924</v>
          </cell>
          <cell r="X625">
            <v>45719</v>
          </cell>
        </row>
        <row r="626">
          <cell r="A626">
            <v>307024</v>
          </cell>
          <cell r="X626">
            <v>45618</v>
          </cell>
        </row>
        <row r="627">
          <cell r="A627">
            <v>307124</v>
          </cell>
          <cell r="X627">
            <v>45618</v>
          </cell>
        </row>
        <row r="628">
          <cell r="A628">
            <v>307224</v>
          </cell>
          <cell r="X628">
            <v>45626</v>
          </cell>
        </row>
        <row r="629">
          <cell r="A629">
            <v>307324</v>
          </cell>
          <cell r="X629">
            <v>45626</v>
          </cell>
        </row>
        <row r="630">
          <cell r="A630">
            <v>307424</v>
          </cell>
          <cell r="X630">
            <v>45626</v>
          </cell>
        </row>
        <row r="631">
          <cell r="A631">
            <v>307524</v>
          </cell>
          <cell r="X631">
            <v>45632</v>
          </cell>
        </row>
        <row r="632">
          <cell r="A632">
            <v>307624</v>
          </cell>
          <cell r="X632">
            <v>45632</v>
          </cell>
        </row>
        <row r="633">
          <cell r="A633">
            <v>307724</v>
          </cell>
          <cell r="X633">
            <v>45632</v>
          </cell>
        </row>
        <row r="634">
          <cell r="A634">
            <v>307824</v>
          </cell>
          <cell r="X634">
            <v>45631</v>
          </cell>
        </row>
        <row r="635">
          <cell r="A635">
            <v>307924</v>
          </cell>
          <cell r="X635">
            <v>45631</v>
          </cell>
        </row>
        <row r="636">
          <cell r="A636">
            <v>308024</v>
          </cell>
          <cell r="X636">
            <v>45637</v>
          </cell>
        </row>
        <row r="637">
          <cell r="A637">
            <v>308124</v>
          </cell>
          <cell r="X637">
            <v>45637</v>
          </cell>
        </row>
        <row r="638">
          <cell r="A638">
            <v>308224</v>
          </cell>
          <cell r="X638">
            <v>45637</v>
          </cell>
        </row>
        <row r="639">
          <cell r="A639">
            <v>308324</v>
          </cell>
          <cell r="X639">
            <v>45637</v>
          </cell>
        </row>
        <row r="640">
          <cell r="A640">
            <v>308424</v>
          </cell>
          <cell r="X640">
            <v>45637</v>
          </cell>
        </row>
        <row r="641">
          <cell r="A641">
            <v>308524</v>
          </cell>
          <cell r="X641">
            <v>45637</v>
          </cell>
        </row>
        <row r="642">
          <cell r="A642">
            <v>308624</v>
          </cell>
          <cell r="X642">
            <v>45637</v>
          </cell>
        </row>
        <row r="643">
          <cell r="A643">
            <v>308724</v>
          </cell>
          <cell r="X643">
            <v>45637</v>
          </cell>
        </row>
        <row r="644">
          <cell r="A644">
            <v>308824</v>
          </cell>
          <cell r="X644">
            <v>45637</v>
          </cell>
        </row>
        <row r="645">
          <cell r="A645">
            <v>308924</v>
          </cell>
          <cell r="X645">
            <v>45637</v>
          </cell>
        </row>
        <row r="646">
          <cell r="A646">
            <v>309024</v>
          </cell>
          <cell r="X646">
            <v>45637</v>
          </cell>
        </row>
        <row r="647">
          <cell r="A647">
            <v>309124</v>
          </cell>
          <cell r="X647">
            <v>45637</v>
          </cell>
        </row>
        <row r="648">
          <cell r="A648">
            <v>309224</v>
          </cell>
          <cell r="X648">
            <v>45639</v>
          </cell>
        </row>
        <row r="649">
          <cell r="A649">
            <v>309324</v>
          </cell>
          <cell r="X649">
            <v>45639</v>
          </cell>
        </row>
        <row r="650">
          <cell r="A650">
            <v>309424</v>
          </cell>
          <cell r="X650">
            <v>45639</v>
          </cell>
        </row>
        <row r="651">
          <cell r="A651">
            <v>309524</v>
          </cell>
          <cell r="X651">
            <v>45639</v>
          </cell>
        </row>
        <row r="652">
          <cell r="A652">
            <v>309624</v>
          </cell>
          <cell r="X652">
            <v>45639</v>
          </cell>
        </row>
        <row r="653">
          <cell r="A653">
            <v>309724</v>
          </cell>
          <cell r="X653">
            <v>45639</v>
          </cell>
        </row>
        <row r="654">
          <cell r="A654">
            <v>309824</v>
          </cell>
          <cell r="X654">
            <v>45639</v>
          </cell>
        </row>
        <row r="655">
          <cell r="A655">
            <v>309924</v>
          </cell>
          <cell r="X655">
            <v>45643</v>
          </cell>
        </row>
        <row r="656">
          <cell r="A656">
            <v>310024</v>
          </cell>
          <cell r="X656">
            <v>45643</v>
          </cell>
        </row>
        <row r="657">
          <cell r="A657">
            <v>310124</v>
          </cell>
          <cell r="X657">
            <v>45643</v>
          </cell>
        </row>
        <row r="658">
          <cell r="A658">
            <v>310224</v>
          </cell>
          <cell r="X658">
            <v>45643</v>
          </cell>
        </row>
        <row r="659">
          <cell r="A659">
            <v>310324</v>
          </cell>
          <cell r="X659">
            <v>45643</v>
          </cell>
        </row>
        <row r="660">
          <cell r="A660">
            <v>310424</v>
          </cell>
          <cell r="X660">
            <v>45643</v>
          </cell>
        </row>
        <row r="661">
          <cell r="A661">
            <v>310524</v>
          </cell>
          <cell r="X661">
            <v>45643</v>
          </cell>
        </row>
        <row r="662">
          <cell r="A662">
            <v>310624</v>
          </cell>
          <cell r="X662">
            <v>45644</v>
          </cell>
        </row>
        <row r="663">
          <cell r="A663">
            <v>310724</v>
          </cell>
          <cell r="X663">
            <v>45644</v>
          </cell>
        </row>
        <row r="664">
          <cell r="A664">
            <v>310824</v>
          </cell>
          <cell r="X664">
            <v>45649</v>
          </cell>
        </row>
        <row r="665">
          <cell r="A665">
            <v>310924</v>
          </cell>
          <cell r="X665">
            <v>45649</v>
          </cell>
        </row>
        <row r="666">
          <cell r="A666">
            <v>311024</v>
          </cell>
          <cell r="X666">
            <v>45649</v>
          </cell>
        </row>
        <row r="667">
          <cell r="A667">
            <v>311124</v>
          </cell>
          <cell r="X667">
            <v>45649</v>
          </cell>
        </row>
        <row r="668">
          <cell r="A668">
            <v>311224</v>
          </cell>
          <cell r="X668">
            <v>45644</v>
          </cell>
        </row>
        <row r="669">
          <cell r="A669">
            <v>311324</v>
          </cell>
          <cell r="X669">
            <v>45644</v>
          </cell>
        </row>
        <row r="670">
          <cell r="A670">
            <v>311424</v>
          </cell>
          <cell r="X670">
            <v>45650</v>
          </cell>
        </row>
        <row r="671">
          <cell r="A671">
            <v>311524</v>
          </cell>
          <cell r="X671">
            <v>45650</v>
          </cell>
        </row>
        <row r="672">
          <cell r="A672">
            <v>311624</v>
          </cell>
          <cell r="X672">
            <v>45650</v>
          </cell>
        </row>
        <row r="673">
          <cell r="A673">
            <v>311724</v>
          </cell>
          <cell r="X673">
            <v>45650</v>
          </cell>
        </row>
        <row r="674">
          <cell r="A674">
            <v>311824</v>
          </cell>
          <cell r="X674">
            <v>45650</v>
          </cell>
        </row>
        <row r="675">
          <cell r="A675">
            <v>311924</v>
          </cell>
          <cell r="X675">
            <v>45650</v>
          </cell>
        </row>
        <row r="676">
          <cell r="A676">
            <v>312024</v>
          </cell>
          <cell r="X676">
            <v>45650</v>
          </cell>
        </row>
        <row r="677">
          <cell r="A677">
            <v>312124</v>
          </cell>
          <cell r="X677">
            <v>45650</v>
          </cell>
        </row>
        <row r="678">
          <cell r="A678">
            <v>312224</v>
          </cell>
          <cell r="X678">
            <v>45650</v>
          </cell>
        </row>
        <row r="679">
          <cell r="A679">
            <v>312325</v>
          </cell>
          <cell r="X679">
            <v>45663</v>
          </cell>
        </row>
        <row r="680">
          <cell r="A680">
            <v>312425</v>
          </cell>
          <cell r="X680">
            <v>45663</v>
          </cell>
        </row>
        <row r="681">
          <cell r="A681">
            <v>312525</v>
          </cell>
          <cell r="X681">
            <v>45663</v>
          </cell>
        </row>
        <row r="682">
          <cell r="A682">
            <v>312625</v>
          </cell>
          <cell r="X682">
            <v>45663</v>
          </cell>
        </row>
        <row r="683">
          <cell r="A683">
            <v>312725</v>
          </cell>
          <cell r="X683">
            <v>45663</v>
          </cell>
        </row>
        <row r="684">
          <cell r="A684">
            <v>312825</v>
          </cell>
          <cell r="X684">
            <v>45663</v>
          </cell>
        </row>
        <row r="685">
          <cell r="A685">
            <v>312925</v>
          </cell>
          <cell r="X685">
            <v>45663</v>
          </cell>
        </row>
        <row r="686">
          <cell r="A686">
            <v>313025</v>
          </cell>
          <cell r="X686">
            <v>45663</v>
          </cell>
        </row>
        <row r="687">
          <cell r="A687">
            <v>313125</v>
          </cell>
          <cell r="X687">
            <v>45663</v>
          </cell>
        </row>
        <row r="688">
          <cell r="A688">
            <v>313225</v>
          </cell>
          <cell r="X688">
            <v>45663</v>
          </cell>
        </row>
        <row r="689">
          <cell r="A689">
            <v>313325</v>
          </cell>
          <cell r="X689">
            <v>45663</v>
          </cell>
        </row>
        <row r="690">
          <cell r="A690">
            <v>313425</v>
          </cell>
          <cell r="X690">
            <v>45663</v>
          </cell>
        </row>
        <row r="691">
          <cell r="A691">
            <v>313525</v>
          </cell>
          <cell r="X691">
            <v>45663</v>
          </cell>
        </row>
        <row r="692">
          <cell r="A692">
            <v>313625</v>
          </cell>
          <cell r="X692">
            <v>45663</v>
          </cell>
        </row>
        <row r="693">
          <cell r="A693">
            <v>313725</v>
          </cell>
          <cell r="X693">
            <v>45666</v>
          </cell>
        </row>
        <row r="694">
          <cell r="A694">
            <v>313825</v>
          </cell>
          <cell r="X694">
            <v>45666</v>
          </cell>
        </row>
        <row r="695">
          <cell r="A695">
            <v>313925</v>
          </cell>
          <cell r="X695">
            <v>45666</v>
          </cell>
        </row>
        <row r="696">
          <cell r="A696">
            <v>314025</v>
          </cell>
          <cell r="X696">
            <v>45666</v>
          </cell>
        </row>
        <row r="697">
          <cell r="A697">
            <v>314125</v>
          </cell>
          <cell r="X697">
            <v>45666</v>
          </cell>
        </row>
        <row r="698">
          <cell r="A698">
            <v>314225</v>
          </cell>
          <cell r="X698">
            <v>45666</v>
          </cell>
        </row>
        <row r="699">
          <cell r="A699">
            <v>314325</v>
          </cell>
          <cell r="X699">
            <v>45666</v>
          </cell>
        </row>
        <row r="700">
          <cell r="A700">
            <v>314425</v>
          </cell>
          <cell r="X700">
            <v>45666</v>
          </cell>
        </row>
        <row r="701">
          <cell r="A701">
            <v>314525</v>
          </cell>
          <cell r="X701">
            <v>45666</v>
          </cell>
        </row>
        <row r="702">
          <cell r="A702">
            <v>314625</v>
          </cell>
          <cell r="X702">
            <v>45666</v>
          </cell>
        </row>
        <row r="703">
          <cell r="A703">
            <v>314725</v>
          </cell>
          <cell r="X703">
            <v>45666</v>
          </cell>
        </row>
        <row r="704">
          <cell r="A704">
            <v>314825</v>
          </cell>
          <cell r="X704">
            <v>45666</v>
          </cell>
        </row>
        <row r="705">
          <cell r="A705">
            <v>314925</v>
          </cell>
          <cell r="X705">
            <v>45666</v>
          </cell>
        </row>
        <row r="706">
          <cell r="A706">
            <v>315025</v>
          </cell>
          <cell r="X706">
            <v>45666</v>
          </cell>
        </row>
        <row r="707">
          <cell r="A707">
            <v>315125</v>
          </cell>
          <cell r="X707">
            <v>45666</v>
          </cell>
        </row>
        <row r="708">
          <cell r="A708">
            <v>315225</v>
          </cell>
          <cell r="X708">
            <v>45666</v>
          </cell>
        </row>
        <row r="709">
          <cell r="A709">
            <v>315325</v>
          </cell>
          <cell r="X709">
            <v>45666</v>
          </cell>
        </row>
        <row r="710">
          <cell r="A710">
            <v>315425</v>
          </cell>
          <cell r="X710">
            <v>45666</v>
          </cell>
        </row>
        <row r="711">
          <cell r="A711">
            <v>315525</v>
          </cell>
          <cell r="X711">
            <v>45673</v>
          </cell>
        </row>
        <row r="712">
          <cell r="A712">
            <v>315625</v>
          </cell>
          <cell r="X712">
            <v>45673</v>
          </cell>
        </row>
        <row r="713">
          <cell r="A713">
            <v>315725</v>
          </cell>
          <cell r="X713">
            <v>45673</v>
          </cell>
        </row>
        <row r="714">
          <cell r="A714">
            <v>315825</v>
          </cell>
          <cell r="X714">
            <v>45677</v>
          </cell>
        </row>
        <row r="715">
          <cell r="A715">
            <v>315925</v>
          </cell>
          <cell r="X715">
            <v>45677</v>
          </cell>
        </row>
        <row r="716">
          <cell r="A716">
            <v>316025</v>
          </cell>
          <cell r="X716">
            <v>45677</v>
          </cell>
        </row>
        <row r="717">
          <cell r="A717">
            <v>316125</v>
          </cell>
          <cell r="X717">
            <v>45677</v>
          </cell>
        </row>
        <row r="718">
          <cell r="A718">
            <v>316225</v>
          </cell>
          <cell r="X718">
            <v>45677</v>
          </cell>
        </row>
        <row r="719">
          <cell r="A719">
            <v>316325</v>
          </cell>
          <cell r="X719">
            <v>45677</v>
          </cell>
        </row>
        <row r="720">
          <cell r="A720">
            <v>316425</v>
          </cell>
          <cell r="X720">
            <v>45677</v>
          </cell>
        </row>
        <row r="721">
          <cell r="A721">
            <v>316525</v>
          </cell>
          <cell r="X721">
            <v>45674</v>
          </cell>
        </row>
        <row r="722">
          <cell r="A722">
            <v>316625</v>
          </cell>
          <cell r="X722">
            <v>45674</v>
          </cell>
        </row>
        <row r="723">
          <cell r="A723">
            <v>316725</v>
          </cell>
          <cell r="X723">
            <v>45674</v>
          </cell>
        </row>
        <row r="724">
          <cell r="A724">
            <v>316825</v>
          </cell>
          <cell r="X724">
            <v>45674</v>
          </cell>
        </row>
        <row r="725">
          <cell r="A725">
            <v>316925</v>
          </cell>
          <cell r="X725">
            <v>45674</v>
          </cell>
        </row>
        <row r="726">
          <cell r="A726">
            <v>317025</v>
          </cell>
          <cell r="X726">
            <v>45674</v>
          </cell>
        </row>
        <row r="727">
          <cell r="A727">
            <v>317125</v>
          </cell>
          <cell r="X727">
            <v>45680</v>
          </cell>
        </row>
        <row r="728">
          <cell r="A728">
            <v>317225</v>
          </cell>
          <cell r="X728">
            <v>45684</v>
          </cell>
        </row>
        <row r="729">
          <cell r="A729">
            <v>317325</v>
          </cell>
          <cell r="X729">
            <v>45684</v>
          </cell>
        </row>
        <row r="730">
          <cell r="A730">
            <v>317425</v>
          </cell>
          <cell r="X730">
            <v>45677</v>
          </cell>
        </row>
        <row r="731">
          <cell r="A731">
            <v>317525</v>
          </cell>
          <cell r="X731">
            <v>45677</v>
          </cell>
        </row>
        <row r="732">
          <cell r="A732">
            <v>317625</v>
          </cell>
          <cell r="X732">
            <v>45680</v>
          </cell>
        </row>
        <row r="733">
          <cell r="A733">
            <v>317725</v>
          </cell>
          <cell r="X733">
            <v>45680</v>
          </cell>
        </row>
        <row r="734">
          <cell r="A734">
            <v>317825</v>
          </cell>
          <cell r="X734">
            <v>45680</v>
          </cell>
        </row>
        <row r="735">
          <cell r="A735">
            <v>317925</v>
          </cell>
          <cell r="X735">
            <v>45680</v>
          </cell>
        </row>
        <row r="736">
          <cell r="A736">
            <v>318025</v>
          </cell>
          <cell r="X736">
            <v>45680</v>
          </cell>
        </row>
        <row r="737">
          <cell r="A737">
            <v>318125</v>
          </cell>
          <cell r="X737">
            <v>45680</v>
          </cell>
        </row>
        <row r="738">
          <cell r="A738">
            <v>318225</v>
          </cell>
          <cell r="X738">
            <v>45680</v>
          </cell>
        </row>
        <row r="739">
          <cell r="A739">
            <v>318325</v>
          </cell>
          <cell r="X739">
            <v>45680</v>
          </cell>
        </row>
        <row r="740">
          <cell r="A740">
            <v>318425</v>
          </cell>
          <cell r="X740">
            <v>45680</v>
          </cell>
        </row>
        <row r="741">
          <cell r="A741">
            <v>318525</v>
          </cell>
          <cell r="X741">
            <v>45696</v>
          </cell>
        </row>
        <row r="742">
          <cell r="A742">
            <v>318625</v>
          </cell>
          <cell r="X742">
            <v>45696</v>
          </cell>
        </row>
        <row r="743">
          <cell r="A743">
            <v>318725</v>
          </cell>
          <cell r="X743">
            <v>45696</v>
          </cell>
        </row>
        <row r="744">
          <cell r="A744">
            <v>318825</v>
          </cell>
          <cell r="X744">
            <v>45694</v>
          </cell>
        </row>
        <row r="745">
          <cell r="A745">
            <v>318925</v>
          </cell>
          <cell r="X745">
            <v>45694</v>
          </cell>
        </row>
        <row r="746">
          <cell r="A746">
            <v>319025</v>
          </cell>
          <cell r="X746">
            <v>45694</v>
          </cell>
        </row>
        <row r="747">
          <cell r="A747">
            <v>319125</v>
          </cell>
          <cell r="X747">
            <v>45694</v>
          </cell>
        </row>
        <row r="748">
          <cell r="A748">
            <v>319225</v>
          </cell>
          <cell r="X748">
            <v>45694</v>
          </cell>
        </row>
        <row r="749">
          <cell r="A749">
            <v>319325</v>
          </cell>
          <cell r="X749">
            <v>45694</v>
          </cell>
        </row>
        <row r="750">
          <cell r="A750">
            <v>319425</v>
          </cell>
          <cell r="X750">
            <v>45694</v>
          </cell>
        </row>
        <row r="751">
          <cell r="A751">
            <v>319525</v>
          </cell>
          <cell r="X751">
            <v>45694</v>
          </cell>
        </row>
        <row r="752">
          <cell r="A752">
            <v>319625</v>
          </cell>
          <cell r="X752">
            <v>45694</v>
          </cell>
        </row>
        <row r="753">
          <cell r="A753">
            <v>319725</v>
          </cell>
          <cell r="X753">
            <v>45699</v>
          </cell>
        </row>
        <row r="754">
          <cell r="A754">
            <v>319825</v>
          </cell>
          <cell r="X754">
            <v>45699</v>
          </cell>
        </row>
        <row r="755">
          <cell r="A755">
            <v>319925</v>
          </cell>
          <cell r="X755">
            <v>45699</v>
          </cell>
        </row>
        <row r="756">
          <cell r="A756">
            <v>320025</v>
          </cell>
          <cell r="X756">
            <v>45699</v>
          </cell>
        </row>
        <row r="757">
          <cell r="A757">
            <v>320125</v>
          </cell>
          <cell r="X757">
            <v>45699</v>
          </cell>
        </row>
        <row r="758">
          <cell r="A758">
            <v>320225</v>
          </cell>
          <cell r="X758">
            <v>45699</v>
          </cell>
        </row>
        <row r="759">
          <cell r="A759">
            <v>320325</v>
          </cell>
          <cell r="X759">
            <v>45699</v>
          </cell>
        </row>
        <row r="760">
          <cell r="A760">
            <v>320425</v>
          </cell>
          <cell r="X760">
            <v>45699</v>
          </cell>
        </row>
        <row r="761">
          <cell r="A761">
            <v>320525</v>
          </cell>
          <cell r="X761">
            <v>45699</v>
          </cell>
        </row>
        <row r="762">
          <cell r="A762">
            <v>320625</v>
          </cell>
          <cell r="X762">
            <v>45699</v>
          </cell>
        </row>
        <row r="763">
          <cell r="A763">
            <v>320725</v>
          </cell>
          <cell r="X763">
            <v>45699</v>
          </cell>
        </row>
        <row r="764">
          <cell r="A764">
            <v>320825</v>
          </cell>
          <cell r="X764">
            <v>45699</v>
          </cell>
        </row>
        <row r="765">
          <cell r="A765">
            <v>320925</v>
          </cell>
          <cell r="X765">
            <v>45699</v>
          </cell>
        </row>
        <row r="766">
          <cell r="A766">
            <v>321025</v>
          </cell>
          <cell r="X766">
            <v>45699</v>
          </cell>
        </row>
        <row r="767">
          <cell r="A767">
            <v>321125</v>
          </cell>
          <cell r="X767">
            <v>45706</v>
          </cell>
        </row>
        <row r="768">
          <cell r="A768">
            <v>321225</v>
          </cell>
          <cell r="X768">
            <v>45706</v>
          </cell>
        </row>
        <row r="769">
          <cell r="A769">
            <v>321325</v>
          </cell>
          <cell r="X769">
            <v>45706</v>
          </cell>
        </row>
        <row r="770">
          <cell r="A770">
            <v>321425</v>
          </cell>
          <cell r="X770">
            <v>45706</v>
          </cell>
        </row>
        <row r="771">
          <cell r="A771">
            <v>321525</v>
          </cell>
          <cell r="X771">
            <v>45712</v>
          </cell>
        </row>
        <row r="772">
          <cell r="A772">
            <v>321625</v>
          </cell>
          <cell r="X772">
            <v>45712</v>
          </cell>
        </row>
        <row r="773">
          <cell r="A773">
            <v>321725</v>
          </cell>
          <cell r="X773">
            <v>45712</v>
          </cell>
        </row>
        <row r="774">
          <cell r="A774">
            <v>321825</v>
          </cell>
          <cell r="X774">
            <v>45712</v>
          </cell>
        </row>
        <row r="775">
          <cell r="A775">
            <v>321925</v>
          </cell>
          <cell r="X775">
            <v>45712</v>
          </cell>
        </row>
        <row r="776">
          <cell r="A776">
            <v>322025</v>
          </cell>
          <cell r="X776">
            <v>45712</v>
          </cell>
        </row>
        <row r="777">
          <cell r="A777">
            <v>322125</v>
          </cell>
          <cell r="X777">
            <v>45712</v>
          </cell>
        </row>
        <row r="778">
          <cell r="A778">
            <v>322225</v>
          </cell>
          <cell r="X778">
            <v>45712</v>
          </cell>
        </row>
        <row r="779">
          <cell r="A779">
            <v>322325</v>
          </cell>
          <cell r="X779">
            <v>45712</v>
          </cell>
        </row>
        <row r="780">
          <cell r="A780">
            <v>322425</v>
          </cell>
          <cell r="X780">
            <v>45712</v>
          </cell>
        </row>
        <row r="781">
          <cell r="A781">
            <v>322525</v>
          </cell>
          <cell r="X781">
            <v>45712</v>
          </cell>
        </row>
        <row r="782">
          <cell r="A782">
            <v>322625</v>
          </cell>
          <cell r="X782">
            <v>45712</v>
          </cell>
        </row>
        <row r="783">
          <cell r="A783">
            <v>322725</v>
          </cell>
          <cell r="X783">
            <v>45712</v>
          </cell>
        </row>
        <row r="784">
          <cell r="A784">
            <v>322825</v>
          </cell>
          <cell r="X784">
            <v>45712</v>
          </cell>
        </row>
        <row r="785">
          <cell r="A785">
            <v>322925</v>
          </cell>
          <cell r="X785">
            <v>45712</v>
          </cell>
        </row>
        <row r="786">
          <cell r="A786">
            <v>323025</v>
          </cell>
          <cell r="X786">
            <v>45712</v>
          </cell>
        </row>
        <row r="787">
          <cell r="A787">
            <v>323125</v>
          </cell>
          <cell r="X787">
            <v>45714</v>
          </cell>
        </row>
        <row r="788">
          <cell r="A788">
            <v>323225</v>
          </cell>
          <cell r="X788">
            <v>45714</v>
          </cell>
        </row>
        <row r="789">
          <cell r="A789">
            <v>323325</v>
          </cell>
          <cell r="X789">
            <v>45714</v>
          </cell>
        </row>
        <row r="790">
          <cell r="A790">
            <v>323425</v>
          </cell>
          <cell r="X790">
            <v>45714</v>
          </cell>
        </row>
        <row r="791">
          <cell r="A791">
            <v>323525</v>
          </cell>
          <cell r="X791">
            <v>45714</v>
          </cell>
        </row>
        <row r="792">
          <cell r="A792">
            <v>323625</v>
          </cell>
          <cell r="X792">
            <v>45714</v>
          </cell>
        </row>
        <row r="793">
          <cell r="A793">
            <v>323725</v>
          </cell>
          <cell r="X793">
            <v>45714</v>
          </cell>
        </row>
        <row r="794">
          <cell r="A794">
            <v>323825</v>
          </cell>
          <cell r="X794">
            <v>45716</v>
          </cell>
        </row>
        <row r="795">
          <cell r="A795">
            <v>323925</v>
          </cell>
          <cell r="X795">
            <v>45716</v>
          </cell>
        </row>
        <row r="796">
          <cell r="A796">
            <v>324025</v>
          </cell>
          <cell r="X796">
            <v>45722</v>
          </cell>
        </row>
        <row r="797">
          <cell r="A797">
            <v>324125</v>
          </cell>
          <cell r="X797">
            <v>45727</v>
          </cell>
        </row>
        <row r="798">
          <cell r="A798">
            <v>324225</v>
          </cell>
          <cell r="X798">
            <v>45727</v>
          </cell>
        </row>
        <row r="799">
          <cell r="A799">
            <v>324325</v>
          </cell>
          <cell r="X799">
            <v>45727</v>
          </cell>
        </row>
        <row r="800">
          <cell r="A800">
            <v>324425</v>
          </cell>
          <cell r="X800">
            <v>45727</v>
          </cell>
        </row>
        <row r="801">
          <cell r="A801">
            <v>324525</v>
          </cell>
          <cell r="X801">
            <v>45727</v>
          </cell>
        </row>
        <row r="802">
          <cell r="A802">
            <v>324625</v>
          </cell>
          <cell r="X802">
            <v>45727</v>
          </cell>
        </row>
        <row r="803">
          <cell r="A803">
            <v>324725</v>
          </cell>
          <cell r="X803">
            <v>45727</v>
          </cell>
        </row>
        <row r="804">
          <cell r="A804">
            <v>324825</v>
          </cell>
          <cell r="X804">
            <v>45734</v>
          </cell>
        </row>
        <row r="805">
          <cell r="A805">
            <v>324925</v>
          </cell>
          <cell r="X805">
            <v>45734</v>
          </cell>
        </row>
        <row r="806">
          <cell r="A806">
            <v>325025</v>
          </cell>
          <cell r="X806">
            <v>45734</v>
          </cell>
        </row>
        <row r="807">
          <cell r="A807">
            <v>325125</v>
          </cell>
          <cell r="X807">
            <v>45734</v>
          </cell>
        </row>
        <row r="808">
          <cell r="A808">
            <v>325225</v>
          </cell>
          <cell r="X808">
            <v>45734</v>
          </cell>
        </row>
        <row r="809">
          <cell r="A809">
            <v>325325</v>
          </cell>
          <cell r="X809">
            <v>45734</v>
          </cell>
        </row>
        <row r="810">
          <cell r="A810">
            <v>325425</v>
          </cell>
          <cell r="X810">
            <v>45734</v>
          </cell>
        </row>
        <row r="811">
          <cell r="A811">
            <v>325525</v>
          </cell>
          <cell r="X811">
            <v>45734</v>
          </cell>
        </row>
        <row r="812">
          <cell r="A812">
            <v>325625</v>
          </cell>
          <cell r="X812">
            <v>45734</v>
          </cell>
        </row>
        <row r="813">
          <cell r="A813">
            <v>325725</v>
          </cell>
          <cell r="X813">
            <v>45734</v>
          </cell>
        </row>
        <row r="814">
          <cell r="A814">
            <v>325825</v>
          </cell>
          <cell r="X814">
            <v>45734</v>
          </cell>
        </row>
        <row r="815">
          <cell r="A815">
            <v>325925</v>
          </cell>
          <cell r="X815">
            <v>45734</v>
          </cell>
        </row>
        <row r="816">
          <cell r="A816">
            <v>326025</v>
          </cell>
          <cell r="X816">
            <v>45734</v>
          </cell>
        </row>
        <row r="817">
          <cell r="A817">
            <v>326125</v>
          </cell>
          <cell r="X817">
            <v>45734</v>
          </cell>
        </row>
        <row r="818">
          <cell r="A818">
            <v>326225</v>
          </cell>
          <cell r="X818">
            <v>45734</v>
          </cell>
        </row>
        <row r="819">
          <cell r="A819">
            <v>326325</v>
          </cell>
          <cell r="X819">
            <v>45734</v>
          </cell>
        </row>
        <row r="820">
          <cell r="A820">
            <v>326425</v>
          </cell>
          <cell r="X820">
            <v>45740</v>
          </cell>
        </row>
        <row r="821">
          <cell r="A821">
            <v>326525</v>
          </cell>
          <cell r="X821">
            <v>45743</v>
          </cell>
        </row>
        <row r="822">
          <cell r="A822">
            <v>326625</v>
          </cell>
          <cell r="X822">
            <v>45743</v>
          </cell>
        </row>
        <row r="823">
          <cell r="A823">
            <v>326725</v>
          </cell>
          <cell r="X823">
            <v>45743</v>
          </cell>
        </row>
        <row r="824">
          <cell r="A824">
            <v>326825</v>
          </cell>
          <cell r="X824">
            <v>45743</v>
          </cell>
        </row>
        <row r="825">
          <cell r="A825">
            <v>326925</v>
          </cell>
          <cell r="X825">
            <v>45743</v>
          </cell>
        </row>
        <row r="826">
          <cell r="A826">
            <v>327025</v>
          </cell>
          <cell r="X826">
            <v>45743</v>
          </cell>
        </row>
        <row r="827">
          <cell r="A827">
            <v>327125</v>
          </cell>
          <cell r="X827">
            <v>45744</v>
          </cell>
        </row>
        <row r="828">
          <cell r="A828">
            <v>327225</v>
          </cell>
          <cell r="X828">
            <v>45744</v>
          </cell>
        </row>
        <row r="829">
          <cell r="A829">
            <v>327325</v>
          </cell>
          <cell r="X829">
            <v>45744</v>
          </cell>
        </row>
        <row r="830">
          <cell r="A830">
            <v>327425</v>
          </cell>
          <cell r="X830">
            <v>45744</v>
          </cell>
        </row>
        <row r="831">
          <cell r="A831">
            <v>327525</v>
          </cell>
          <cell r="X831">
            <v>45744</v>
          </cell>
        </row>
        <row r="832">
          <cell r="A832">
            <v>327625</v>
          </cell>
          <cell r="X832">
            <v>45744</v>
          </cell>
        </row>
        <row r="833">
          <cell r="A833">
            <v>327725</v>
          </cell>
          <cell r="X833">
            <v>45744</v>
          </cell>
        </row>
        <row r="834">
          <cell r="A834">
            <v>327825</v>
          </cell>
          <cell r="X834">
            <v>45744</v>
          </cell>
        </row>
        <row r="835">
          <cell r="A835">
            <v>327925</v>
          </cell>
          <cell r="X835">
            <v>45744</v>
          </cell>
        </row>
        <row r="836">
          <cell r="A836">
            <v>328025</v>
          </cell>
          <cell r="X836">
            <v>45747</v>
          </cell>
        </row>
        <row r="837">
          <cell r="A837">
            <v>328125</v>
          </cell>
          <cell r="X837">
            <v>45747</v>
          </cell>
        </row>
        <row r="838">
          <cell r="A838">
            <v>328225</v>
          </cell>
          <cell r="X838">
            <v>45747</v>
          </cell>
        </row>
        <row r="839">
          <cell r="A839">
            <v>328325</v>
          </cell>
          <cell r="X839">
            <v>45747</v>
          </cell>
        </row>
        <row r="840">
          <cell r="A840">
            <v>328425</v>
          </cell>
          <cell r="X840">
            <v>45747</v>
          </cell>
        </row>
        <row r="841">
          <cell r="A841">
            <v>328525</v>
          </cell>
          <cell r="X841">
            <v>45747</v>
          </cell>
        </row>
        <row r="842">
          <cell r="A842">
            <v>328625</v>
          </cell>
          <cell r="X842">
            <v>45747</v>
          </cell>
        </row>
        <row r="843">
          <cell r="A843">
            <v>328725</v>
          </cell>
          <cell r="X843">
            <v>45747</v>
          </cell>
        </row>
        <row r="844">
          <cell r="A844">
            <v>328825</v>
          </cell>
          <cell r="X844">
            <v>45747</v>
          </cell>
        </row>
        <row r="845">
          <cell r="A845">
            <v>328925</v>
          </cell>
          <cell r="X845">
            <v>45747</v>
          </cell>
        </row>
        <row r="846">
          <cell r="A846">
            <v>329025</v>
          </cell>
          <cell r="X846">
            <v>45747</v>
          </cell>
        </row>
        <row r="847">
          <cell r="A847">
            <v>329125</v>
          </cell>
          <cell r="X847">
            <v>45747</v>
          </cell>
        </row>
        <row r="848">
          <cell r="A848">
            <v>329225</v>
          </cell>
          <cell r="X848">
            <v>45747</v>
          </cell>
        </row>
        <row r="849">
          <cell r="A849">
            <v>329325</v>
          </cell>
          <cell r="X849">
            <v>45747</v>
          </cell>
        </row>
        <row r="850">
          <cell r="A850">
            <v>329425</v>
          </cell>
          <cell r="X850">
            <v>45747</v>
          </cell>
        </row>
        <row r="851">
          <cell r="A851">
            <v>329525</v>
          </cell>
          <cell r="X851">
            <v>45747</v>
          </cell>
        </row>
        <row r="852">
          <cell r="A852">
            <v>329625</v>
          </cell>
          <cell r="X852">
            <v>45747</v>
          </cell>
        </row>
        <row r="853">
          <cell r="A853">
            <v>329725</v>
          </cell>
          <cell r="X853">
            <v>45747</v>
          </cell>
        </row>
        <row r="854">
          <cell r="A854">
            <v>329825</v>
          </cell>
          <cell r="X854">
            <v>45747</v>
          </cell>
        </row>
        <row r="855">
          <cell r="A855">
            <v>329925</v>
          </cell>
          <cell r="X855">
            <v>45747</v>
          </cell>
        </row>
        <row r="856">
          <cell r="A856">
            <v>330025</v>
          </cell>
          <cell r="X856">
            <v>45756</v>
          </cell>
        </row>
        <row r="857">
          <cell r="A857">
            <v>330125</v>
          </cell>
          <cell r="X857">
            <v>45750</v>
          </cell>
        </row>
        <row r="858">
          <cell r="A858">
            <v>330225</v>
          </cell>
          <cell r="X858">
            <v>45756</v>
          </cell>
        </row>
        <row r="859">
          <cell r="A859">
            <v>330325</v>
          </cell>
          <cell r="X859">
            <v>45756</v>
          </cell>
        </row>
        <row r="860">
          <cell r="A860">
            <v>330425</v>
          </cell>
          <cell r="X860">
            <v>45761</v>
          </cell>
        </row>
        <row r="861">
          <cell r="A861">
            <v>330525</v>
          </cell>
          <cell r="X861">
            <v>45761</v>
          </cell>
        </row>
        <row r="862">
          <cell r="A862">
            <v>330625</v>
          </cell>
          <cell r="X862">
            <v>45761</v>
          </cell>
        </row>
        <row r="863">
          <cell r="A863">
            <v>330725</v>
          </cell>
          <cell r="X863">
            <v>45761</v>
          </cell>
        </row>
        <row r="864">
          <cell r="A864">
            <v>330825</v>
          </cell>
          <cell r="X864">
            <v>45761</v>
          </cell>
        </row>
        <row r="865">
          <cell r="A865">
            <v>330925</v>
          </cell>
          <cell r="X865">
            <v>45769</v>
          </cell>
        </row>
        <row r="866">
          <cell r="A866">
            <v>331025</v>
          </cell>
          <cell r="X866">
            <v>45763</v>
          </cell>
        </row>
        <row r="867">
          <cell r="A867">
            <v>331125</v>
          </cell>
          <cell r="X867">
            <v>45763</v>
          </cell>
        </row>
        <row r="868">
          <cell r="A868">
            <v>331225</v>
          </cell>
          <cell r="X868">
            <v>45763</v>
          </cell>
        </row>
        <row r="869">
          <cell r="A869">
            <v>331325</v>
          </cell>
          <cell r="X869">
            <v>45769</v>
          </cell>
        </row>
        <row r="870">
          <cell r="A870">
            <v>331425</v>
          </cell>
          <cell r="X870">
            <v>45769</v>
          </cell>
        </row>
        <row r="871">
          <cell r="A871">
            <v>331525</v>
          </cell>
          <cell r="X871">
            <v>45769</v>
          </cell>
        </row>
        <row r="872">
          <cell r="A872">
            <v>331625</v>
          </cell>
          <cell r="X872">
            <v>45769</v>
          </cell>
        </row>
        <row r="873">
          <cell r="A873">
            <v>331725</v>
          </cell>
          <cell r="X873">
            <v>45769</v>
          </cell>
        </row>
        <row r="874">
          <cell r="A874">
            <v>331825</v>
          </cell>
          <cell r="X874">
            <v>45769</v>
          </cell>
        </row>
        <row r="875">
          <cell r="A875">
            <v>331925</v>
          </cell>
          <cell r="X875">
            <v>45769</v>
          </cell>
        </row>
        <row r="876">
          <cell r="A876">
            <v>332025</v>
          </cell>
          <cell r="X876">
            <v>45769</v>
          </cell>
        </row>
        <row r="877">
          <cell r="A877">
            <v>332125</v>
          </cell>
          <cell r="X877">
            <v>45769</v>
          </cell>
        </row>
        <row r="878">
          <cell r="A878">
            <v>332225</v>
          </cell>
          <cell r="X878">
            <v>45769</v>
          </cell>
        </row>
        <row r="879">
          <cell r="A879">
            <v>332325</v>
          </cell>
          <cell r="X879">
            <v>45769</v>
          </cell>
        </row>
        <row r="880">
          <cell r="A880">
            <v>332425</v>
          </cell>
          <cell r="X880">
            <v>45769</v>
          </cell>
        </row>
        <row r="881">
          <cell r="A881">
            <v>332525</v>
          </cell>
          <cell r="X881">
            <v>45769</v>
          </cell>
        </row>
        <row r="882">
          <cell r="A882">
            <v>332625</v>
          </cell>
          <cell r="X882">
            <v>45769</v>
          </cell>
        </row>
        <row r="883">
          <cell r="A883">
            <v>332725</v>
          </cell>
          <cell r="X883">
            <v>45779</v>
          </cell>
        </row>
        <row r="884">
          <cell r="A884">
            <v>332825</v>
          </cell>
          <cell r="X884">
            <v>45779</v>
          </cell>
        </row>
        <row r="885">
          <cell r="A885">
            <v>332925</v>
          </cell>
          <cell r="X885">
            <v>45776</v>
          </cell>
        </row>
        <row r="886">
          <cell r="A886">
            <v>333025</v>
          </cell>
          <cell r="X886">
            <v>45776</v>
          </cell>
        </row>
        <row r="887">
          <cell r="A887">
            <v>333125</v>
          </cell>
          <cell r="X887">
            <v>45776</v>
          </cell>
        </row>
        <row r="888">
          <cell r="A888">
            <v>333225</v>
          </cell>
          <cell r="X888">
            <v>45776</v>
          </cell>
        </row>
        <row r="889">
          <cell r="A889">
            <v>333325</v>
          </cell>
          <cell r="X889">
            <v>45776</v>
          </cell>
        </row>
        <row r="890">
          <cell r="A890">
            <v>353425</v>
          </cell>
          <cell r="X890">
            <v>45783</v>
          </cell>
        </row>
        <row r="891">
          <cell r="A891">
            <v>333525</v>
          </cell>
          <cell r="X891">
            <v>45783</v>
          </cell>
        </row>
        <row r="892">
          <cell r="A892">
            <v>333625</v>
          </cell>
          <cell r="X892">
            <v>45783</v>
          </cell>
        </row>
        <row r="893">
          <cell r="A893">
            <v>333725</v>
          </cell>
          <cell r="X893">
            <v>45783</v>
          </cell>
        </row>
        <row r="894">
          <cell r="A894">
            <v>333825</v>
          </cell>
          <cell r="X894">
            <v>45783</v>
          </cell>
        </row>
        <row r="895">
          <cell r="A895">
            <v>333925</v>
          </cell>
          <cell r="X895">
            <v>45783</v>
          </cell>
        </row>
        <row r="896">
          <cell r="A896">
            <v>334025</v>
          </cell>
          <cell r="X896">
            <v>45783</v>
          </cell>
        </row>
        <row r="897">
          <cell r="A897">
            <v>334125</v>
          </cell>
          <cell r="X897">
            <v>45785</v>
          </cell>
        </row>
        <row r="898">
          <cell r="A898">
            <v>334225</v>
          </cell>
          <cell r="X898">
            <v>45789</v>
          </cell>
        </row>
        <row r="899">
          <cell r="A899">
            <v>334325</v>
          </cell>
          <cell r="X899">
            <v>45789</v>
          </cell>
        </row>
        <row r="900">
          <cell r="A900">
            <v>334425</v>
          </cell>
          <cell r="X900">
            <v>45789</v>
          </cell>
        </row>
        <row r="901">
          <cell r="A901">
            <v>334525</v>
          </cell>
          <cell r="X901">
            <v>45789</v>
          </cell>
        </row>
        <row r="902">
          <cell r="A902">
            <v>334625</v>
          </cell>
          <cell r="X902">
            <v>45790</v>
          </cell>
        </row>
        <row r="903">
          <cell r="A903">
            <v>334725</v>
          </cell>
          <cell r="X903">
            <v>45790</v>
          </cell>
        </row>
        <row r="904">
          <cell r="A904">
            <v>334825</v>
          </cell>
          <cell r="X904">
            <v>45790</v>
          </cell>
        </row>
        <row r="905">
          <cell r="A905">
            <v>334925</v>
          </cell>
          <cell r="X905">
            <v>45790</v>
          </cell>
        </row>
        <row r="906">
          <cell r="A906">
            <v>335025</v>
          </cell>
          <cell r="X906">
            <v>45790</v>
          </cell>
        </row>
        <row r="907">
          <cell r="A907">
            <v>335125</v>
          </cell>
          <cell r="X907">
            <v>45790</v>
          </cell>
        </row>
        <row r="908">
          <cell r="A908">
            <v>335225</v>
          </cell>
          <cell r="X908">
            <v>45790</v>
          </cell>
        </row>
        <row r="909">
          <cell r="A909">
            <v>335325</v>
          </cell>
          <cell r="X909">
            <v>45790</v>
          </cell>
        </row>
        <row r="910">
          <cell r="A910">
            <v>335425</v>
          </cell>
          <cell r="X910">
            <v>45794</v>
          </cell>
        </row>
        <row r="911">
          <cell r="A911">
            <v>335525</v>
          </cell>
          <cell r="X911">
            <v>45794</v>
          </cell>
        </row>
        <row r="912">
          <cell r="A912">
            <v>335625</v>
          </cell>
          <cell r="X912">
            <v>45794</v>
          </cell>
        </row>
        <row r="913">
          <cell r="A913">
            <v>335725</v>
          </cell>
          <cell r="X913">
            <v>45794</v>
          </cell>
        </row>
        <row r="914">
          <cell r="A914">
            <v>335825</v>
          </cell>
          <cell r="X914">
            <v>45794</v>
          </cell>
        </row>
        <row r="915">
          <cell r="A915">
            <v>335925</v>
          </cell>
          <cell r="X915">
            <v>45794</v>
          </cell>
        </row>
        <row r="916">
          <cell r="A916">
            <v>336025</v>
          </cell>
          <cell r="X916">
            <v>45794</v>
          </cell>
        </row>
        <row r="917">
          <cell r="A917">
            <v>336125</v>
          </cell>
          <cell r="X917">
            <v>45794</v>
          </cell>
        </row>
        <row r="918">
          <cell r="A918">
            <v>336225</v>
          </cell>
          <cell r="X918">
            <v>45794</v>
          </cell>
        </row>
        <row r="919">
          <cell r="A919">
            <v>336325</v>
          </cell>
          <cell r="X919">
            <v>45794</v>
          </cell>
        </row>
        <row r="920">
          <cell r="A920">
            <v>336425</v>
          </cell>
          <cell r="X920">
            <v>45794</v>
          </cell>
        </row>
        <row r="921">
          <cell r="A921">
            <v>336525</v>
          </cell>
          <cell r="X921">
            <v>45797</v>
          </cell>
        </row>
        <row r="922">
          <cell r="A922">
            <v>336625</v>
          </cell>
          <cell r="X922">
            <v>45797</v>
          </cell>
        </row>
        <row r="923">
          <cell r="A923">
            <v>336725</v>
          </cell>
          <cell r="X923">
            <v>45797</v>
          </cell>
        </row>
        <row r="924">
          <cell r="A924">
            <v>336825</v>
          </cell>
          <cell r="X924">
            <v>45797</v>
          </cell>
        </row>
        <row r="925">
          <cell r="A925">
            <v>336925</v>
          </cell>
          <cell r="X925">
            <v>45797</v>
          </cell>
        </row>
        <row r="926">
          <cell r="A926">
            <v>337025</v>
          </cell>
          <cell r="X926">
            <v>45800</v>
          </cell>
        </row>
        <row r="927">
          <cell r="A927">
            <v>337125</v>
          </cell>
          <cell r="X927">
            <v>45803</v>
          </cell>
        </row>
        <row r="928">
          <cell r="A928">
            <v>337225</v>
          </cell>
          <cell r="X928">
            <v>45803</v>
          </cell>
        </row>
        <row r="929">
          <cell r="A929">
            <v>337325</v>
          </cell>
          <cell r="X929">
            <v>45803</v>
          </cell>
        </row>
        <row r="930">
          <cell r="A930">
            <v>337425</v>
          </cell>
          <cell r="X930">
            <v>45803</v>
          </cell>
        </row>
        <row r="931">
          <cell r="A931">
            <v>337525</v>
          </cell>
          <cell r="X931">
            <v>45803</v>
          </cell>
        </row>
        <row r="932">
          <cell r="A932">
            <v>337625</v>
          </cell>
          <cell r="X932">
            <v>45803</v>
          </cell>
        </row>
        <row r="933">
          <cell r="A933">
            <v>337725</v>
          </cell>
          <cell r="X933">
            <v>45803</v>
          </cell>
        </row>
        <row r="934">
          <cell r="A934">
            <v>337825</v>
          </cell>
          <cell r="X934">
            <v>45803</v>
          </cell>
        </row>
        <row r="935">
          <cell r="A935">
            <v>337925</v>
          </cell>
          <cell r="X935">
            <v>45805</v>
          </cell>
        </row>
        <row r="936">
          <cell r="A936">
            <v>338025</v>
          </cell>
          <cell r="X936">
            <v>45811</v>
          </cell>
        </row>
        <row r="937">
          <cell r="A937">
            <v>338125</v>
          </cell>
          <cell r="X937">
            <v>45813</v>
          </cell>
        </row>
        <row r="938">
          <cell r="A938">
            <v>338225</v>
          </cell>
          <cell r="X938">
            <v>45817</v>
          </cell>
        </row>
        <row r="939">
          <cell r="A939">
            <v>338325</v>
          </cell>
          <cell r="X939">
            <v>45817</v>
          </cell>
        </row>
        <row r="940">
          <cell r="A940">
            <v>338425</v>
          </cell>
          <cell r="X940">
            <v>45817</v>
          </cell>
        </row>
        <row r="941">
          <cell r="A941">
            <v>338525</v>
          </cell>
          <cell r="X941">
            <v>45817</v>
          </cell>
        </row>
        <row r="942">
          <cell r="A942">
            <v>338625</v>
          </cell>
          <cell r="X942">
            <v>45819</v>
          </cell>
        </row>
        <row r="943">
          <cell r="A943">
            <v>338725</v>
          </cell>
          <cell r="X943">
            <v>45819</v>
          </cell>
        </row>
        <row r="944">
          <cell r="A944">
            <v>338825</v>
          </cell>
          <cell r="X944">
            <v>45819</v>
          </cell>
        </row>
        <row r="945">
          <cell r="A945">
            <v>338925</v>
          </cell>
          <cell r="X945">
            <v>45819</v>
          </cell>
        </row>
        <row r="946">
          <cell r="A946">
            <v>339025</v>
          </cell>
          <cell r="X946">
            <v>45819</v>
          </cell>
        </row>
        <row r="947">
          <cell r="A947">
            <v>339125</v>
          </cell>
          <cell r="X947">
            <v>45819</v>
          </cell>
        </row>
        <row r="948">
          <cell r="A948">
            <v>339225</v>
          </cell>
          <cell r="X948">
            <v>45819</v>
          </cell>
        </row>
        <row r="949">
          <cell r="A949">
            <v>339325</v>
          </cell>
          <cell r="X949">
            <v>45819</v>
          </cell>
        </row>
        <row r="950">
          <cell r="A950">
            <v>339425</v>
          </cell>
          <cell r="X950">
            <v>45819</v>
          </cell>
        </row>
        <row r="951">
          <cell r="A951">
            <v>339525</v>
          </cell>
          <cell r="X951">
            <v>45819</v>
          </cell>
        </row>
        <row r="952">
          <cell r="A952">
            <v>339625</v>
          </cell>
          <cell r="X952">
            <v>45819</v>
          </cell>
        </row>
        <row r="953">
          <cell r="A953">
            <v>339725</v>
          </cell>
          <cell r="X953">
            <v>45819</v>
          </cell>
        </row>
        <row r="954">
          <cell r="A954">
            <v>339825</v>
          </cell>
          <cell r="X954">
            <v>45819</v>
          </cell>
        </row>
        <row r="955">
          <cell r="A955">
            <v>339925</v>
          </cell>
          <cell r="X955">
            <v>45820</v>
          </cell>
        </row>
        <row r="956">
          <cell r="A956">
            <v>340025</v>
          </cell>
          <cell r="X956">
            <v>45825</v>
          </cell>
        </row>
        <row r="957">
          <cell r="A957">
            <v>340125</v>
          </cell>
          <cell r="X957">
            <v>45825</v>
          </cell>
        </row>
        <row r="958">
          <cell r="A958">
            <v>340225</v>
          </cell>
          <cell r="X958">
            <v>45825</v>
          </cell>
        </row>
        <row r="959">
          <cell r="A959">
            <v>340325</v>
          </cell>
          <cell r="X959">
            <v>45825</v>
          </cell>
        </row>
        <row r="960">
          <cell r="A960">
            <v>340425</v>
          </cell>
          <cell r="X960">
            <v>45825</v>
          </cell>
        </row>
        <row r="961">
          <cell r="A961">
            <v>340525</v>
          </cell>
          <cell r="X961">
            <v>45828</v>
          </cell>
        </row>
        <row r="962">
          <cell r="A962">
            <v>340625</v>
          </cell>
          <cell r="X962">
            <v>45828</v>
          </cell>
        </row>
        <row r="963">
          <cell r="A963">
            <v>340725</v>
          </cell>
          <cell r="X963">
            <v>45831</v>
          </cell>
        </row>
        <row r="964">
          <cell r="A964">
            <v>340825</v>
          </cell>
          <cell r="X964">
            <v>45831</v>
          </cell>
        </row>
        <row r="965">
          <cell r="A965">
            <v>340925</v>
          </cell>
          <cell r="X965">
            <v>45831</v>
          </cell>
        </row>
        <row r="966">
          <cell r="A966">
            <v>341025</v>
          </cell>
          <cell r="X966">
            <v>45831</v>
          </cell>
        </row>
        <row r="967">
          <cell r="A967">
            <v>341125</v>
          </cell>
          <cell r="X967">
            <v>45831</v>
          </cell>
        </row>
        <row r="968">
          <cell r="A968">
            <v>341225</v>
          </cell>
          <cell r="X968">
            <v>45831</v>
          </cell>
        </row>
        <row r="969">
          <cell r="A969">
            <v>341325</v>
          </cell>
          <cell r="X969">
            <v>45831</v>
          </cell>
        </row>
        <row r="970">
          <cell r="A970">
            <v>341425</v>
          </cell>
          <cell r="X970">
            <v>45831</v>
          </cell>
        </row>
        <row r="971">
          <cell r="A971">
            <v>341525</v>
          </cell>
          <cell r="X971">
            <v>45831</v>
          </cell>
        </row>
        <row r="972">
          <cell r="A972">
            <v>341625</v>
          </cell>
          <cell r="X972">
            <v>45831</v>
          </cell>
        </row>
        <row r="973">
          <cell r="A973">
            <v>341725</v>
          </cell>
          <cell r="X973">
            <v>45831</v>
          </cell>
        </row>
        <row r="974">
          <cell r="A974">
            <v>341825</v>
          </cell>
          <cell r="X974">
            <v>45831</v>
          </cell>
        </row>
        <row r="975">
          <cell r="A975">
            <v>341925</v>
          </cell>
          <cell r="X975">
            <v>45831</v>
          </cell>
        </row>
        <row r="976">
          <cell r="A976">
            <v>342025</v>
          </cell>
          <cell r="X976">
            <v>45831</v>
          </cell>
        </row>
        <row r="977">
          <cell r="A977">
            <v>342125</v>
          </cell>
          <cell r="X977">
            <v>45831</v>
          </cell>
        </row>
        <row r="978">
          <cell r="A978">
            <v>342225</v>
          </cell>
          <cell r="X978">
            <v>45831</v>
          </cell>
        </row>
        <row r="979">
          <cell r="A979">
            <v>342325</v>
          </cell>
          <cell r="X979">
            <v>45831</v>
          </cell>
        </row>
        <row r="980">
          <cell r="A980">
            <v>342425</v>
          </cell>
          <cell r="X980">
            <v>45831</v>
          </cell>
        </row>
        <row r="981">
          <cell r="A981">
            <v>342525</v>
          </cell>
          <cell r="X981">
            <v>45832</v>
          </cell>
        </row>
        <row r="982">
          <cell r="A982">
            <v>342625</v>
          </cell>
          <cell r="X982">
            <v>45832</v>
          </cell>
        </row>
        <row r="983">
          <cell r="A983">
            <v>342725</v>
          </cell>
          <cell r="X983">
            <v>45838</v>
          </cell>
        </row>
        <row r="984">
          <cell r="A984">
            <v>342825</v>
          </cell>
          <cell r="X984">
            <v>45838</v>
          </cell>
        </row>
        <row r="985">
          <cell r="A985">
            <v>342925</v>
          </cell>
          <cell r="X985">
            <v>45838</v>
          </cell>
        </row>
        <row r="986">
          <cell r="A986">
            <v>343025</v>
          </cell>
          <cell r="X986">
            <v>45838</v>
          </cell>
        </row>
        <row r="987">
          <cell r="A987">
            <v>343125</v>
          </cell>
          <cell r="X987">
            <v>45838</v>
          </cell>
        </row>
        <row r="988">
          <cell r="A988">
            <v>343225</v>
          </cell>
          <cell r="X988">
            <v>45838</v>
          </cell>
        </row>
        <row r="989">
          <cell r="A989">
            <v>343325</v>
          </cell>
          <cell r="X989">
            <v>45838</v>
          </cell>
        </row>
        <row r="990">
          <cell r="A990">
            <v>343425</v>
          </cell>
          <cell r="X990">
            <v>45838</v>
          </cell>
        </row>
        <row r="991">
          <cell r="A991">
            <v>343525</v>
          </cell>
          <cell r="X991">
            <v>45838</v>
          </cell>
        </row>
        <row r="992">
          <cell r="A992">
            <v>343625</v>
          </cell>
          <cell r="X992">
            <v>45838</v>
          </cell>
        </row>
        <row r="993">
          <cell r="A993">
            <v>343725</v>
          </cell>
          <cell r="X993">
            <v>45838</v>
          </cell>
        </row>
        <row r="994">
          <cell r="A994">
            <v>343825</v>
          </cell>
          <cell r="X994">
            <v>45846</v>
          </cell>
        </row>
        <row r="995">
          <cell r="A995">
            <v>343925</v>
          </cell>
          <cell r="X995">
            <v>45846</v>
          </cell>
        </row>
        <row r="996">
          <cell r="A996">
            <v>344025</v>
          </cell>
          <cell r="X996">
            <v>45851</v>
          </cell>
        </row>
        <row r="997">
          <cell r="A997">
            <v>344125</v>
          </cell>
          <cell r="X997">
            <v>45855</v>
          </cell>
        </row>
        <row r="998">
          <cell r="A998">
            <v>344225</v>
          </cell>
          <cell r="X998">
            <v>45855</v>
          </cell>
        </row>
        <row r="999">
          <cell r="A999">
            <v>344325</v>
          </cell>
          <cell r="X999">
            <v>45855</v>
          </cell>
        </row>
        <row r="1000">
          <cell r="A1000">
            <v>344425</v>
          </cell>
          <cell r="X1000">
            <v>45860</v>
          </cell>
        </row>
        <row r="1001">
          <cell r="A1001">
            <v>344525</v>
          </cell>
          <cell r="X1001">
            <v>45860</v>
          </cell>
        </row>
        <row r="1002">
          <cell r="A1002">
            <v>344625</v>
          </cell>
          <cell r="X1002">
            <v>45860</v>
          </cell>
        </row>
        <row r="1003">
          <cell r="A1003">
            <v>344725</v>
          </cell>
          <cell r="X1003">
            <v>45860</v>
          </cell>
        </row>
        <row r="1004">
          <cell r="A1004">
            <v>344825</v>
          </cell>
          <cell r="X1004">
            <v>45860</v>
          </cell>
        </row>
        <row r="1005">
          <cell r="A1005">
            <v>344925</v>
          </cell>
          <cell r="X1005">
            <v>45862</v>
          </cell>
        </row>
        <row r="1006">
          <cell r="A1006">
            <v>345025</v>
          </cell>
          <cell r="X1006">
            <v>45863</v>
          </cell>
        </row>
        <row r="1007">
          <cell r="A1007">
            <v>345125</v>
          </cell>
          <cell r="X1007">
            <v>45863</v>
          </cell>
        </row>
        <row r="1008">
          <cell r="A1008">
            <v>345225</v>
          </cell>
          <cell r="X1008">
            <v>45863</v>
          </cell>
        </row>
        <row r="1009">
          <cell r="A1009">
            <v>345325</v>
          </cell>
          <cell r="X1009">
            <v>45863</v>
          </cell>
        </row>
        <row r="1010">
          <cell r="A1010">
            <v>345425</v>
          </cell>
          <cell r="X1010">
            <v>45863</v>
          </cell>
        </row>
        <row r="1011">
          <cell r="A1011">
            <v>345525</v>
          </cell>
          <cell r="X1011">
            <v>45880</v>
          </cell>
        </row>
        <row r="1012">
          <cell r="A1012">
            <v>345625</v>
          </cell>
          <cell r="X1012">
            <v>45880</v>
          </cell>
        </row>
        <row r="1013">
          <cell r="A1013">
            <v>345725</v>
          </cell>
          <cell r="X1013">
            <v>45870</v>
          </cell>
        </row>
        <row r="1014">
          <cell r="A1014">
            <v>345825</v>
          </cell>
          <cell r="X1014">
            <v>45870</v>
          </cell>
        </row>
        <row r="1015">
          <cell r="A1015">
            <v>345925</v>
          </cell>
          <cell r="X1015">
            <v>45870</v>
          </cell>
        </row>
        <row r="1016">
          <cell r="A1016">
            <v>346025</v>
          </cell>
          <cell r="X1016">
            <v>45870</v>
          </cell>
        </row>
        <row r="1017">
          <cell r="A1017">
            <v>346125</v>
          </cell>
          <cell r="X1017">
            <v>45870</v>
          </cell>
        </row>
        <row r="1018">
          <cell r="A1018">
            <v>346225</v>
          </cell>
          <cell r="X1018">
            <v>45870</v>
          </cell>
        </row>
        <row r="1019">
          <cell r="A1019">
            <v>346325</v>
          </cell>
          <cell r="X1019">
            <v>45870</v>
          </cell>
        </row>
        <row r="1020">
          <cell r="A1020">
            <v>346425</v>
          </cell>
          <cell r="X1020">
            <v>45870</v>
          </cell>
        </row>
        <row r="1021">
          <cell r="A1021">
            <v>346525</v>
          </cell>
          <cell r="X1021">
            <v>45870</v>
          </cell>
        </row>
        <row r="1022">
          <cell r="A1022">
            <v>346625</v>
          </cell>
          <cell r="X1022">
            <v>45870</v>
          </cell>
        </row>
        <row r="1023">
          <cell r="A1023">
            <v>346725</v>
          </cell>
          <cell r="X1023">
            <v>45870</v>
          </cell>
        </row>
        <row r="1024">
          <cell r="A1024">
            <v>346825</v>
          </cell>
          <cell r="X1024">
            <v>45870</v>
          </cell>
        </row>
        <row r="1025">
          <cell r="A1025">
            <v>346925</v>
          </cell>
          <cell r="X1025">
            <v>45870</v>
          </cell>
        </row>
        <row r="1026">
          <cell r="A1026">
            <v>347025</v>
          </cell>
          <cell r="X1026">
            <v>45873</v>
          </cell>
        </row>
        <row r="1027">
          <cell r="A1027">
            <v>347125</v>
          </cell>
          <cell r="X1027">
            <v>45873</v>
          </cell>
        </row>
        <row r="1028">
          <cell r="A1028">
            <v>347225</v>
          </cell>
          <cell r="X1028">
            <v>45873</v>
          </cell>
        </row>
        <row r="1029">
          <cell r="A1029">
            <v>347325</v>
          </cell>
          <cell r="X1029">
            <v>45873</v>
          </cell>
        </row>
        <row r="1030">
          <cell r="A1030">
            <v>347425</v>
          </cell>
          <cell r="X1030">
            <v>45873</v>
          </cell>
        </row>
        <row r="1031">
          <cell r="A1031">
            <v>347525</v>
          </cell>
          <cell r="X1031">
            <v>45873</v>
          </cell>
        </row>
        <row r="1032">
          <cell r="A1032">
            <v>347625</v>
          </cell>
          <cell r="X1032">
            <v>45880</v>
          </cell>
        </row>
        <row r="1033">
          <cell r="A1033">
            <v>347725</v>
          </cell>
          <cell r="X1033">
            <v>45881</v>
          </cell>
        </row>
        <row r="1034">
          <cell r="A1034">
            <v>347825</v>
          </cell>
          <cell r="X1034">
            <v>45880</v>
          </cell>
        </row>
        <row r="1035">
          <cell r="A1035">
            <v>347925</v>
          </cell>
          <cell r="X1035">
            <v>45880</v>
          </cell>
        </row>
        <row r="1036">
          <cell r="A1036">
            <v>348025</v>
          </cell>
          <cell r="X1036">
            <v>45880</v>
          </cell>
        </row>
        <row r="1037">
          <cell r="A1037">
            <v>348125</v>
          </cell>
          <cell r="X1037">
            <v>45880</v>
          </cell>
        </row>
        <row r="1038">
          <cell r="A1038">
            <v>348225</v>
          </cell>
          <cell r="X1038">
            <v>45880</v>
          </cell>
        </row>
        <row r="1039">
          <cell r="A1039">
            <v>348325</v>
          </cell>
          <cell r="X1039">
            <v>45882</v>
          </cell>
        </row>
        <row r="1040">
          <cell r="A1040">
            <v>348425</v>
          </cell>
          <cell r="X1040">
            <v>45887</v>
          </cell>
        </row>
        <row r="1041">
          <cell r="A1041">
            <v>348525</v>
          </cell>
          <cell r="X1041">
            <v>45887</v>
          </cell>
        </row>
        <row r="1042">
          <cell r="A1042">
            <v>348625</v>
          </cell>
          <cell r="X1042">
            <v>45895</v>
          </cell>
        </row>
        <row r="1043">
          <cell r="A1043">
            <v>348725</v>
          </cell>
          <cell r="X1043">
            <v>45895</v>
          </cell>
        </row>
        <row r="1044">
          <cell r="A1044">
            <v>348825</v>
          </cell>
          <cell r="X1044">
            <v>45895</v>
          </cell>
        </row>
        <row r="1045">
          <cell r="A1045">
            <v>348925</v>
          </cell>
          <cell r="X1045">
            <v>45895</v>
          </cell>
        </row>
        <row r="1046">
          <cell r="A1046">
            <v>349025</v>
          </cell>
          <cell r="X1046">
            <v>45895</v>
          </cell>
        </row>
        <row r="1047">
          <cell r="A1047">
            <v>349125</v>
          </cell>
          <cell r="X1047">
            <v>45895</v>
          </cell>
        </row>
        <row r="1048">
          <cell r="A1048">
            <v>349225</v>
          </cell>
          <cell r="X1048">
            <v>45895</v>
          </cell>
        </row>
        <row r="1049">
          <cell r="A1049">
            <v>349325</v>
          </cell>
          <cell r="X1049">
            <v>45895</v>
          </cell>
        </row>
        <row r="1050">
          <cell r="A1050">
            <v>349425</v>
          </cell>
          <cell r="X1050">
            <v>45895</v>
          </cell>
        </row>
        <row r="1051">
          <cell r="A1051">
            <v>349525</v>
          </cell>
          <cell r="X1051">
            <v>45895</v>
          </cell>
        </row>
        <row r="1052">
          <cell r="A1052">
            <v>349625</v>
          </cell>
          <cell r="X1052">
            <v>45895</v>
          </cell>
        </row>
        <row r="1053">
          <cell r="A1053">
            <v>349725</v>
          </cell>
          <cell r="X1053">
            <v>45895</v>
          </cell>
        </row>
        <row r="1054">
          <cell r="A1054">
            <v>349825</v>
          </cell>
          <cell r="X1054">
            <v>45895</v>
          </cell>
        </row>
        <row r="1055">
          <cell r="A1055">
            <v>349925</v>
          </cell>
          <cell r="X1055">
            <v>45895</v>
          </cell>
        </row>
        <row r="1056">
          <cell r="A1056">
            <v>350025</v>
          </cell>
          <cell r="X1056">
            <v>45895</v>
          </cell>
        </row>
        <row r="1057">
          <cell r="A1057">
            <v>350125</v>
          </cell>
          <cell r="X1057">
            <v>45895</v>
          </cell>
        </row>
        <row r="1058">
          <cell r="A1058">
            <v>350225</v>
          </cell>
          <cell r="X1058">
            <v>45895</v>
          </cell>
        </row>
        <row r="1059">
          <cell r="A1059">
            <v>350325</v>
          </cell>
          <cell r="X1059">
            <v>45895</v>
          </cell>
        </row>
        <row r="1060">
          <cell r="A1060">
            <v>350425</v>
          </cell>
          <cell r="X1060">
            <v>45895</v>
          </cell>
        </row>
        <row r="1061">
          <cell r="A1061">
            <v>350525</v>
          </cell>
          <cell r="X1061">
            <v>45895</v>
          </cell>
        </row>
        <row r="1062">
          <cell r="A1062">
            <v>350625</v>
          </cell>
          <cell r="X1062">
            <v>45903</v>
          </cell>
        </row>
        <row r="1063">
          <cell r="A1063">
            <v>350725</v>
          </cell>
          <cell r="X1063">
            <v>45903</v>
          </cell>
        </row>
        <row r="1064">
          <cell r="A1064">
            <v>350825</v>
          </cell>
          <cell r="X1064">
            <v>45903</v>
          </cell>
        </row>
        <row r="1065">
          <cell r="A1065">
            <v>350925</v>
          </cell>
          <cell r="X1065">
            <v>45903</v>
          </cell>
        </row>
        <row r="1066">
          <cell r="A1066">
            <v>351025</v>
          </cell>
          <cell r="X1066">
            <v>45911</v>
          </cell>
        </row>
        <row r="1067">
          <cell r="A1067">
            <v>351125</v>
          </cell>
          <cell r="X1067">
            <v>45911</v>
          </cell>
        </row>
        <row r="1068">
          <cell r="A1068">
            <v>351225</v>
          </cell>
          <cell r="X1068">
            <v>45911</v>
          </cell>
        </row>
        <row r="1069">
          <cell r="A1069">
            <v>351325</v>
          </cell>
          <cell r="X1069">
            <v>45915</v>
          </cell>
        </row>
        <row r="1070">
          <cell r="A1070">
            <v>351425</v>
          </cell>
          <cell r="X1070">
            <v>45915</v>
          </cell>
        </row>
        <row r="1071">
          <cell r="A1071">
            <v>351525</v>
          </cell>
          <cell r="X1071">
            <v>45915</v>
          </cell>
        </row>
        <row r="1072">
          <cell r="A1072">
            <v>351625</v>
          </cell>
          <cell r="X1072">
            <v>45915</v>
          </cell>
        </row>
        <row r="1073">
          <cell r="A1073">
            <v>351725</v>
          </cell>
          <cell r="X1073">
            <v>45915</v>
          </cell>
        </row>
        <row r="1074">
          <cell r="A1074">
            <v>351825</v>
          </cell>
          <cell r="X1074">
            <v>45915</v>
          </cell>
        </row>
        <row r="1075">
          <cell r="A1075">
            <v>351925</v>
          </cell>
          <cell r="X1075">
            <v>45915</v>
          </cell>
        </row>
        <row r="1076">
          <cell r="A1076">
            <v>352025</v>
          </cell>
          <cell r="X1076">
            <v>45915</v>
          </cell>
        </row>
        <row r="1077">
          <cell r="A1077">
            <v>352125</v>
          </cell>
          <cell r="X1077">
            <v>45915</v>
          </cell>
        </row>
        <row r="1078">
          <cell r="A1078">
            <v>352225</v>
          </cell>
          <cell r="X1078">
            <v>45915</v>
          </cell>
        </row>
        <row r="1079">
          <cell r="A1079">
            <v>352325</v>
          </cell>
          <cell r="X1079">
            <v>45915</v>
          </cell>
        </row>
        <row r="1080">
          <cell r="A1080">
            <v>352425</v>
          </cell>
          <cell r="X1080">
            <v>45915</v>
          </cell>
        </row>
        <row r="1081">
          <cell r="A1081">
            <v>352525</v>
          </cell>
          <cell r="X1081">
            <v>45915</v>
          </cell>
        </row>
        <row r="1082">
          <cell r="A1082">
            <v>352625</v>
          </cell>
          <cell r="X1082">
            <v>45915</v>
          </cell>
        </row>
        <row r="1083">
          <cell r="A1083">
            <v>352725</v>
          </cell>
          <cell r="X1083">
            <v>45915</v>
          </cell>
        </row>
        <row r="1084">
          <cell r="A1084">
            <v>352825</v>
          </cell>
          <cell r="X1084">
            <v>45915</v>
          </cell>
        </row>
        <row r="1085">
          <cell r="A1085">
            <v>352925</v>
          </cell>
          <cell r="X1085">
            <v>45914</v>
          </cell>
        </row>
        <row r="1086">
          <cell r="A1086">
            <v>353025</v>
          </cell>
          <cell r="X1086">
            <v>45915</v>
          </cell>
        </row>
        <row r="1087">
          <cell r="A1087">
            <v>353125</v>
          </cell>
          <cell r="X1087">
            <v>45915</v>
          </cell>
        </row>
        <row r="1088">
          <cell r="A1088">
            <v>353225</v>
          </cell>
          <cell r="X1088">
            <v>45915</v>
          </cell>
        </row>
        <row r="1089">
          <cell r="A1089">
            <v>353325</v>
          </cell>
          <cell r="X1089">
            <v>45916</v>
          </cell>
        </row>
        <row r="1090">
          <cell r="A1090">
            <v>353425</v>
          </cell>
          <cell r="X1090">
            <v>45917</v>
          </cell>
        </row>
        <row r="1091">
          <cell r="A1091">
            <v>353525</v>
          </cell>
          <cell r="X1091">
            <v>45917</v>
          </cell>
        </row>
        <row r="1092">
          <cell r="A1092">
            <v>353625</v>
          </cell>
          <cell r="X1092">
            <v>45919</v>
          </cell>
        </row>
        <row r="1093">
          <cell r="A1093">
            <v>353725</v>
          </cell>
          <cell r="X1093">
            <v>45919</v>
          </cell>
        </row>
        <row r="1094">
          <cell r="A1094">
            <v>353825</v>
          </cell>
          <cell r="X1094">
            <v>45919</v>
          </cell>
        </row>
        <row r="1095">
          <cell r="A1095">
            <v>353925</v>
          </cell>
          <cell r="X1095">
            <v>45919</v>
          </cell>
        </row>
        <row r="1096">
          <cell r="A1096">
            <v>354025</v>
          </cell>
          <cell r="X1096">
            <v>45919</v>
          </cell>
        </row>
        <row r="1097">
          <cell r="A1097">
            <v>354125</v>
          </cell>
          <cell r="X1097">
            <v>45919</v>
          </cell>
        </row>
        <row r="1098">
          <cell r="A1098">
            <v>354225</v>
          </cell>
          <cell r="X1098">
            <v>45922</v>
          </cell>
        </row>
        <row r="1099">
          <cell r="A1099">
            <v>354325</v>
          </cell>
          <cell r="X1099">
            <v>45922</v>
          </cell>
        </row>
        <row r="1100">
          <cell r="A1100">
            <v>354425</v>
          </cell>
          <cell r="X1100">
            <v>45925</v>
          </cell>
        </row>
        <row r="1101">
          <cell r="A1101">
            <v>354525</v>
          </cell>
          <cell r="X1101">
            <v>45925</v>
          </cell>
        </row>
        <row r="1102">
          <cell r="A1102">
            <v>354625</v>
          </cell>
          <cell r="X1102">
            <v>45931</v>
          </cell>
        </row>
        <row r="1103">
          <cell r="A1103">
            <v>354725</v>
          </cell>
          <cell r="X1103">
            <v>45931</v>
          </cell>
        </row>
        <row r="1104">
          <cell r="A1104">
            <v>354825</v>
          </cell>
          <cell r="X1104">
            <v>45933</v>
          </cell>
        </row>
        <row r="1105">
          <cell r="A1105">
            <v>354925</v>
          </cell>
          <cell r="X1105">
            <v>45933</v>
          </cell>
        </row>
        <row r="1106">
          <cell r="A1106">
            <v>355025</v>
          </cell>
          <cell r="X1106">
            <v>45933</v>
          </cell>
        </row>
        <row r="1107">
          <cell r="A1107">
            <v>355125</v>
          </cell>
          <cell r="X1107">
            <v>45933</v>
          </cell>
        </row>
        <row r="1108">
          <cell r="A1108">
            <v>355225</v>
          </cell>
          <cell r="X1108">
            <v>45933</v>
          </cell>
        </row>
        <row r="1109">
          <cell r="A1109">
            <v>355325</v>
          </cell>
          <cell r="X1109">
            <v>45933</v>
          </cell>
        </row>
        <row r="1110">
          <cell r="A1110">
            <v>355425</v>
          </cell>
          <cell r="X1110">
            <v>45933</v>
          </cell>
        </row>
        <row r="1111">
          <cell r="A1111">
            <v>355525</v>
          </cell>
          <cell r="X1111">
            <v>45933</v>
          </cell>
        </row>
        <row r="1112">
          <cell r="A1112">
            <v>355625</v>
          </cell>
          <cell r="X1112">
            <v>45933</v>
          </cell>
        </row>
        <row r="1113">
          <cell r="A1113">
            <v>355725</v>
          </cell>
          <cell r="X1113">
            <v>45933</v>
          </cell>
        </row>
        <row r="1114">
          <cell r="A1114">
            <v>355825</v>
          </cell>
          <cell r="X1114">
            <v>45933</v>
          </cell>
        </row>
        <row r="1115">
          <cell r="A1115">
            <v>355925</v>
          </cell>
          <cell r="X1115">
            <v>45936</v>
          </cell>
        </row>
        <row r="1116">
          <cell r="A1116">
            <v>356025</v>
          </cell>
          <cell r="X1116">
            <v>45936</v>
          </cell>
        </row>
        <row r="1117">
          <cell r="A1117">
            <v>356125</v>
          </cell>
          <cell r="X1117">
            <v>45936</v>
          </cell>
        </row>
        <row r="1118">
          <cell r="A1118">
            <v>356225</v>
          </cell>
          <cell r="X1118">
            <v>45936</v>
          </cell>
        </row>
        <row r="1119">
          <cell r="A1119">
            <v>356325</v>
          </cell>
          <cell r="X1119">
            <v>45936</v>
          </cell>
        </row>
        <row r="1120">
          <cell r="A1120">
            <v>356425</v>
          </cell>
          <cell r="X1120">
            <v>45936</v>
          </cell>
        </row>
        <row r="1121">
          <cell r="A1121">
            <v>356525</v>
          </cell>
          <cell r="X1121">
            <v>45936</v>
          </cell>
        </row>
        <row r="1122">
          <cell r="A1122">
            <v>356625</v>
          </cell>
          <cell r="X1122">
            <v>45936</v>
          </cell>
        </row>
        <row r="1123">
          <cell r="A1123">
            <v>356725</v>
          </cell>
          <cell r="X1123">
            <v>45936</v>
          </cell>
        </row>
        <row r="1124">
          <cell r="A1124">
            <v>356825</v>
          </cell>
          <cell r="X1124">
            <v>45936</v>
          </cell>
        </row>
        <row r="1125">
          <cell r="A1125">
            <v>356925</v>
          </cell>
          <cell r="X1125">
            <v>45936</v>
          </cell>
        </row>
        <row r="1126">
          <cell r="A1126">
            <v>357025</v>
          </cell>
          <cell r="X1126">
            <v>45936</v>
          </cell>
        </row>
        <row r="1127">
          <cell r="A1127">
            <v>357125</v>
          </cell>
          <cell r="X1127">
            <v>45936</v>
          </cell>
        </row>
        <row r="1128">
          <cell r="A1128">
            <v>357225</v>
          </cell>
          <cell r="X1128">
            <v>45936</v>
          </cell>
        </row>
        <row r="1129">
          <cell r="A1129">
            <v>357325</v>
          </cell>
          <cell r="X1129">
            <v>45945</v>
          </cell>
        </row>
        <row r="1130">
          <cell r="A1130">
            <v>357425</v>
          </cell>
          <cell r="X1130">
            <v>45945</v>
          </cell>
        </row>
        <row r="1131">
          <cell r="A1131">
            <v>357525</v>
          </cell>
          <cell r="X1131">
            <v>45945</v>
          </cell>
        </row>
        <row r="1132">
          <cell r="A1132">
            <v>357625</v>
          </cell>
          <cell r="X1132">
            <v>45947</v>
          </cell>
        </row>
        <row r="1133">
          <cell r="A1133">
            <v>357725</v>
          </cell>
          <cell r="X1133">
            <v>45947</v>
          </cell>
        </row>
        <row r="1134">
          <cell r="A1134">
            <v>357825</v>
          </cell>
          <cell r="X1134">
            <v>45947</v>
          </cell>
        </row>
        <row r="1135">
          <cell r="A1135">
            <v>357925</v>
          </cell>
          <cell r="X1135">
            <v>45947</v>
          </cell>
        </row>
        <row r="1136">
          <cell r="A1136">
            <v>358025</v>
          </cell>
          <cell r="X1136">
            <v>45957</v>
          </cell>
        </row>
        <row r="1137">
          <cell r="A1137">
            <v>358125</v>
          </cell>
          <cell r="X1137">
            <v>45957</v>
          </cell>
        </row>
        <row r="1138">
          <cell r="A1138">
            <v>358225</v>
          </cell>
          <cell r="X1138">
            <v>45957</v>
          </cell>
        </row>
        <row r="1139">
          <cell r="A1139">
            <v>358325</v>
          </cell>
          <cell r="X1139">
            <v>45957</v>
          </cell>
        </row>
        <row r="1140">
          <cell r="A1140">
            <v>358425</v>
          </cell>
          <cell r="X1140">
            <v>45960</v>
          </cell>
        </row>
        <row r="1141">
          <cell r="A1141">
            <v>358525</v>
          </cell>
          <cell r="X1141">
            <v>45964</v>
          </cell>
        </row>
        <row r="1142">
          <cell r="A1142">
            <v>358625</v>
          </cell>
          <cell r="X1142">
            <v>45964</v>
          </cell>
        </row>
        <row r="1143">
          <cell r="A1143">
            <v>358725</v>
          </cell>
          <cell r="X1143">
            <v>45964</v>
          </cell>
        </row>
        <row r="1144">
          <cell r="A1144">
            <v>358825</v>
          </cell>
          <cell r="X1144">
            <v>45964</v>
          </cell>
        </row>
        <row r="1145">
          <cell r="A1145">
            <v>358925</v>
          </cell>
          <cell r="X1145">
            <v>45965</v>
          </cell>
        </row>
        <row r="1146">
          <cell r="A1146">
            <v>359025</v>
          </cell>
          <cell r="X1146">
            <v>45965</v>
          </cell>
        </row>
        <row r="1147">
          <cell r="A1147">
            <v>359125</v>
          </cell>
          <cell r="X1147">
            <v>45971</v>
          </cell>
        </row>
        <row r="1148">
          <cell r="A1148">
            <v>359225</v>
          </cell>
          <cell r="X1148">
            <v>45971</v>
          </cell>
        </row>
        <row r="1149">
          <cell r="A1149">
            <v>359325</v>
          </cell>
          <cell r="X1149">
            <v>45971</v>
          </cell>
        </row>
        <row r="1150">
          <cell r="A1150">
            <v>359425</v>
          </cell>
          <cell r="X1150">
            <v>45971</v>
          </cell>
        </row>
        <row r="1151">
          <cell r="A1151">
            <v>359525</v>
          </cell>
          <cell r="X1151">
            <v>45971</v>
          </cell>
        </row>
        <row r="1152">
          <cell r="A1152">
            <v>359625</v>
          </cell>
          <cell r="X1152">
            <v>45971</v>
          </cell>
        </row>
        <row r="1153">
          <cell r="A1153">
            <v>359725</v>
          </cell>
          <cell r="X1153">
            <v>45971</v>
          </cell>
        </row>
        <row r="1154">
          <cell r="A1154">
            <v>359825</v>
          </cell>
          <cell r="X1154">
            <v>45972</v>
          </cell>
        </row>
        <row r="1155">
          <cell r="A1155">
            <v>359925</v>
          </cell>
          <cell r="X1155">
            <v>45972</v>
          </cell>
        </row>
        <row r="1156">
          <cell r="A1156">
            <v>360025</v>
          </cell>
          <cell r="X1156">
            <v>45975</v>
          </cell>
        </row>
        <row r="1157">
          <cell r="A1157">
            <v>360125</v>
          </cell>
          <cell r="X1157">
            <v>45975</v>
          </cell>
        </row>
        <row r="1158">
          <cell r="A1158">
            <v>360225</v>
          </cell>
          <cell r="X1158">
            <v>45975</v>
          </cell>
        </row>
        <row r="1159">
          <cell r="A1159">
            <v>360325</v>
          </cell>
          <cell r="X1159">
            <v>45975</v>
          </cell>
        </row>
        <row r="1160">
          <cell r="A1160">
            <v>360425</v>
          </cell>
          <cell r="X1160">
            <v>45975</v>
          </cell>
        </row>
        <row r="1161">
          <cell r="A1161">
            <v>360525</v>
          </cell>
          <cell r="X1161">
            <v>45975</v>
          </cell>
        </row>
        <row r="1162">
          <cell r="A1162">
            <v>360625</v>
          </cell>
          <cell r="X1162">
            <v>45975</v>
          </cell>
        </row>
        <row r="1163">
          <cell r="A1163">
            <v>360725</v>
          </cell>
          <cell r="X1163">
            <v>45979</v>
          </cell>
        </row>
        <row r="1164">
          <cell r="A1164">
            <v>360825</v>
          </cell>
          <cell r="X1164">
            <v>45979</v>
          </cell>
        </row>
        <row r="1165">
          <cell r="A1165">
            <v>360925</v>
          </cell>
          <cell r="X1165">
            <v>45979</v>
          </cell>
        </row>
        <row r="1166">
          <cell r="A1166">
            <v>361025</v>
          </cell>
          <cell r="X1166">
            <v>45979</v>
          </cell>
        </row>
        <row r="1167">
          <cell r="A1167">
            <v>361125</v>
          </cell>
          <cell r="X1167">
            <v>45979</v>
          </cell>
        </row>
        <row r="1168">
          <cell r="A1168">
            <v>361225</v>
          </cell>
          <cell r="X1168">
            <v>45979</v>
          </cell>
        </row>
        <row r="1169">
          <cell r="A1169">
            <v>361325</v>
          </cell>
          <cell r="X1169">
            <v>45979</v>
          </cell>
        </row>
        <row r="1170">
          <cell r="A1170">
            <v>361425</v>
          </cell>
          <cell r="X1170">
            <v>45980</v>
          </cell>
        </row>
        <row r="1171">
          <cell r="A1171">
            <v>361525</v>
          </cell>
          <cell r="X1171">
            <v>45980</v>
          </cell>
        </row>
        <row r="1172">
          <cell r="A1172">
            <v>361625</v>
          </cell>
          <cell r="X1172">
            <v>45980</v>
          </cell>
        </row>
        <row r="1173">
          <cell r="A1173">
            <v>361725</v>
          </cell>
          <cell r="X1173">
            <v>45980</v>
          </cell>
        </row>
        <row r="1174">
          <cell r="A1174">
            <v>361825</v>
          </cell>
          <cell r="X1174">
            <v>45980</v>
          </cell>
        </row>
        <row r="1175">
          <cell r="A1175">
            <v>361925</v>
          </cell>
          <cell r="X1175">
            <v>45980</v>
          </cell>
        </row>
        <row r="1176">
          <cell r="A1176">
            <v>362025</v>
          </cell>
          <cell r="X1176">
            <v>45980</v>
          </cell>
        </row>
        <row r="1177">
          <cell r="A1177">
            <v>362125</v>
          </cell>
          <cell r="X1177">
            <v>45980</v>
          </cell>
        </row>
        <row r="1178">
          <cell r="A1178">
            <v>362225</v>
          </cell>
          <cell r="X1178">
            <v>45980</v>
          </cell>
        </row>
        <row r="1179">
          <cell r="A1179">
            <v>362325</v>
          </cell>
          <cell r="X1179">
            <v>45984</v>
          </cell>
        </row>
        <row r="1180">
          <cell r="A1180">
            <v>362425</v>
          </cell>
          <cell r="X1180">
            <v>45985</v>
          </cell>
        </row>
        <row r="1181">
          <cell r="A1181">
            <v>362525</v>
          </cell>
          <cell r="X1181">
            <v>45985</v>
          </cell>
        </row>
        <row r="1182">
          <cell r="A1182">
            <v>362625</v>
          </cell>
          <cell r="X1182">
            <v>45985</v>
          </cell>
        </row>
        <row r="1183">
          <cell r="A1183">
            <v>362725</v>
          </cell>
          <cell r="X1183">
            <v>45985</v>
          </cell>
        </row>
        <row r="1184">
          <cell r="A1184">
            <v>362825</v>
          </cell>
          <cell r="X1184">
            <v>45985</v>
          </cell>
        </row>
        <row r="1185">
          <cell r="A1185">
            <v>362925</v>
          </cell>
          <cell r="X1185">
            <v>45985</v>
          </cell>
        </row>
        <row r="1186">
          <cell r="A1186">
            <v>363025</v>
          </cell>
          <cell r="X1186">
            <v>45985</v>
          </cell>
        </row>
        <row r="1187">
          <cell r="A1187">
            <v>363125</v>
          </cell>
          <cell r="X1187">
            <v>45985</v>
          </cell>
        </row>
        <row r="1188">
          <cell r="A1188">
            <v>363225</v>
          </cell>
          <cell r="X1188">
            <v>45987</v>
          </cell>
        </row>
        <row r="1189">
          <cell r="A1189">
            <v>363325</v>
          </cell>
          <cell r="X1189">
            <v>45987</v>
          </cell>
        </row>
        <row r="1190">
          <cell r="A1190">
            <v>363425</v>
          </cell>
          <cell r="X1190">
            <v>45987</v>
          </cell>
        </row>
        <row r="1191">
          <cell r="A1191">
            <v>363525</v>
          </cell>
          <cell r="X1191">
            <v>45987</v>
          </cell>
        </row>
        <row r="1192">
          <cell r="A1192">
            <v>363625</v>
          </cell>
          <cell r="X1192">
            <v>45987</v>
          </cell>
        </row>
        <row r="1193">
          <cell r="A1193">
            <v>363725</v>
          </cell>
          <cell r="X1193">
            <v>45989</v>
          </cell>
        </row>
        <row r="1194">
          <cell r="A1194">
            <v>363825</v>
          </cell>
          <cell r="X1194">
            <v>45992</v>
          </cell>
        </row>
        <row r="1195">
          <cell r="A1195">
            <v>363925</v>
          </cell>
          <cell r="X1195">
            <v>45992</v>
          </cell>
        </row>
        <row r="1196">
          <cell r="A1196">
            <v>364025</v>
          </cell>
          <cell r="X1196">
            <v>45992</v>
          </cell>
        </row>
        <row r="1197">
          <cell r="A1197">
            <v>364125</v>
          </cell>
          <cell r="X1197">
            <v>46001</v>
          </cell>
        </row>
        <row r="1198">
          <cell r="A1198">
            <v>364225</v>
          </cell>
          <cell r="X1198">
            <v>46002</v>
          </cell>
        </row>
        <row r="1199">
          <cell r="A1199">
            <v>364325</v>
          </cell>
          <cell r="X1199">
            <v>46002</v>
          </cell>
        </row>
        <row r="1200">
          <cell r="A1200">
            <v>364425</v>
          </cell>
          <cell r="X1200">
            <v>46002</v>
          </cell>
        </row>
        <row r="1201">
          <cell r="A1201">
            <v>364525</v>
          </cell>
          <cell r="X1201">
            <v>46002</v>
          </cell>
        </row>
        <row r="1202">
          <cell r="A1202">
            <v>364625</v>
          </cell>
          <cell r="X1202">
            <v>46002</v>
          </cell>
        </row>
        <row r="1203">
          <cell r="A1203">
            <v>364725</v>
          </cell>
          <cell r="X1203">
            <v>46002</v>
          </cell>
        </row>
        <row r="1204">
          <cell r="A1204">
            <v>364825</v>
          </cell>
          <cell r="X1204">
            <v>46002</v>
          </cell>
        </row>
        <row r="1205">
          <cell r="A1205">
            <v>364925</v>
          </cell>
          <cell r="X1205">
            <v>46002</v>
          </cell>
        </row>
        <row r="1206">
          <cell r="A1206">
            <v>365025</v>
          </cell>
          <cell r="X1206">
            <v>46003</v>
          </cell>
        </row>
        <row r="1207">
          <cell r="A1207">
            <v>365125</v>
          </cell>
          <cell r="X1207">
            <v>46003</v>
          </cell>
        </row>
        <row r="1208">
          <cell r="A1208">
            <v>365225</v>
          </cell>
          <cell r="X1208">
            <v>46003</v>
          </cell>
        </row>
        <row r="1209">
          <cell r="A1209">
            <v>365325</v>
          </cell>
          <cell r="X1209">
            <v>46004</v>
          </cell>
        </row>
        <row r="1210">
          <cell r="A1210">
            <v>365425</v>
          </cell>
          <cell r="X1210">
            <v>46003</v>
          </cell>
        </row>
        <row r="1211">
          <cell r="A1211">
            <v>365525</v>
          </cell>
          <cell r="X1211">
            <v>46007</v>
          </cell>
        </row>
        <row r="1212">
          <cell r="A1212">
            <v>365625</v>
          </cell>
          <cell r="X1212">
            <v>46010</v>
          </cell>
        </row>
        <row r="1213">
          <cell r="A1213">
            <v>365725</v>
          </cell>
          <cell r="X1213">
            <v>46010</v>
          </cell>
        </row>
        <row r="1214">
          <cell r="A1214">
            <v>365825</v>
          </cell>
          <cell r="X1214">
            <v>46010</v>
          </cell>
        </row>
        <row r="1215">
          <cell r="A1215">
            <v>365925</v>
          </cell>
          <cell r="X1215">
            <v>46013</v>
          </cell>
        </row>
        <row r="1216">
          <cell r="A1216">
            <v>366025</v>
          </cell>
          <cell r="X1216">
            <v>46013</v>
          </cell>
        </row>
        <row r="1217">
          <cell r="A1217">
            <v>366125</v>
          </cell>
          <cell r="X1217">
            <v>46013</v>
          </cell>
        </row>
        <row r="1218">
          <cell r="A1218">
            <v>366225</v>
          </cell>
          <cell r="X1218">
            <v>46013</v>
          </cell>
        </row>
        <row r="1219">
          <cell r="A1219">
            <v>366325</v>
          </cell>
          <cell r="X1219">
            <v>46013</v>
          </cell>
        </row>
        <row r="1220">
          <cell r="A1220">
            <v>366425</v>
          </cell>
          <cell r="X1220">
            <v>46015</v>
          </cell>
        </row>
        <row r="1221">
          <cell r="A1221">
            <v>366525</v>
          </cell>
          <cell r="X1221">
            <v>46015</v>
          </cell>
        </row>
        <row r="1222">
          <cell r="A1222">
            <v>366625</v>
          </cell>
          <cell r="X1222">
            <v>46015</v>
          </cell>
        </row>
        <row r="1223">
          <cell r="A1223">
            <v>366725</v>
          </cell>
          <cell r="X1223">
            <v>46015</v>
          </cell>
        </row>
        <row r="1224">
          <cell r="A1224">
            <v>366825</v>
          </cell>
          <cell r="X1224">
            <v>46015</v>
          </cell>
        </row>
        <row r="1225">
          <cell r="A1225">
            <v>366925</v>
          </cell>
          <cell r="X1225">
            <v>46015</v>
          </cell>
        </row>
        <row r="1226">
          <cell r="A1226">
            <v>367025</v>
          </cell>
          <cell r="X1226">
            <v>46015</v>
          </cell>
        </row>
        <row r="1227">
          <cell r="A1227">
            <v>367125</v>
          </cell>
          <cell r="X1227">
            <v>46015</v>
          </cell>
        </row>
        <row r="1228">
          <cell r="A1228">
            <v>367225</v>
          </cell>
          <cell r="X1228">
            <v>46015</v>
          </cell>
        </row>
        <row r="1229">
          <cell r="A1229">
            <v>367325</v>
          </cell>
          <cell r="X1229">
            <v>46015</v>
          </cell>
        </row>
        <row r="1230">
          <cell r="A1230">
            <v>367425</v>
          </cell>
          <cell r="X1230">
            <v>46015</v>
          </cell>
        </row>
        <row r="1231">
          <cell r="A1231">
            <v>367525</v>
          </cell>
          <cell r="X1231">
            <v>46015</v>
          </cell>
        </row>
        <row r="1232">
          <cell r="A1232">
            <v>367625</v>
          </cell>
          <cell r="X1232">
            <v>46015</v>
          </cell>
        </row>
        <row r="1233">
          <cell r="A1233">
            <v>367725</v>
          </cell>
          <cell r="X1233">
            <v>46015</v>
          </cell>
        </row>
        <row r="1234">
          <cell r="A1234">
            <v>367825</v>
          </cell>
          <cell r="X1234">
            <v>46015</v>
          </cell>
        </row>
        <row r="1235">
          <cell r="A1235">
            <v>367925</v>
          </cell>
          <cell r="X1235">
            <v>46015</v>
          </cell>
        </row>
        <row r="1236">
          <cell r="A1236">
            <v>368025</v>
          </cell>
          <cell r="X1236">
            <v>46017</v>
          </cell>
        </row>
        <row r="1237">
          <cell r="A1237">
            <v>368125</v>
          </cell>
          <cell r="X1237">
            <v>46021</v>
          </cell>
        </row>
        <row r="1238">
          <cell r="A1238">
            <v>368225</v>
          </cell>
          <cell r="X1238">
            <v>46021</v>
          </cell>
        </row>
        <row r="1239">
          <cell r="A1239">
            <v>368325</v>
          </cell>
          <cell r="X1239">
            <v>46021</v>
          </cell>
        </row>
        <row r="1240">
          <cell r="A1240">
            <v>368425</v>
          </cell>
          <cell r="X1240">
            <v>46021</v>
          </cell>
        </row>
        <row r="1241">
          <cell r="A1241">
            <v>368525</v>
          </cell>
          <cell r="X1241">
            <v>46021</v>
          </cell>
        </row>
        <row r="1242">
          <cell r="A1242">
            <v>368625</v>
          </cell>
          <cell r="X1242">
            <v>46021</v>
          </cell>
        </row>
        <row r="1243">
          <cell r="A1243">
            <v>368726</v>
          </cell>
          <cell r="X1243">
            <v>46027</v>
          </cell>
        </row>
        <row r="1244">
          <cell r="A1244">
            <v>368826</v>
          </cell>
          <cell r="X1244">
            <v>46027</v>
          </cell>
        </row>
        <row r="1245">
          <cell r="A1245">
            <v>368926</v>
          </cell>
          <cell r="X1245">
            <v>46027</v>
          </cell>
        </row>
        <row r="1246">
          <cell r="A1246">
            <v>369026</v>
          </cell>
          <cell r="X1246">
            <v>46028</v>
          </cell>
        </row>
        <row r="1247">
          <cell r="A1247">
            <v>369126</v>
          </cell>
          <cell r="X1247">
            <v>46028</v>
          </cell>
        </row>
        <row r="1248">
          <cell r="A1248">
            <v>369226</v>
          </cell>
          <cell r="X1248">
            <v>46028</v>
          </cell>
        </row>
        <row r="1249">
          <cell r="A1249">
            <v>369326</v>
          </cell>
          <cell r="X1249">
            <v>46028</v>
          </cell>
        </row>
        <row r="1250">
          <cell r="A1250">
            <v>369426</v>
          </cell>
          <cell r="X1250">
            <v>46028</v>
          </cell>
        </row>
        <row r="1251">
          <cell r="A1251">
            <v>369526</v>
          </cell>
          <cell r="X1251">
            <v>46028</v>
          </cell>
        </row>
        <row r="1252">
          <cell r="A1252">
            <v>369626</v>
          </cell>
          <cell r="X1252">
            <v>46028</v>
          </cell>
        </row>
        <row r="1253">
          <cell r="A1253">
            <v>369726</v>
          </cell>
          <cell r="X1253">
            <v>46028</v>
          </cell>
        </row>
        <row r="1254">
          <cell r="A1254">
            <v>369826</v>
          </cell>
          <cell r="X1254">
            <v>46028</v>
          </cell>
        </row>
        <row r="1255">
          <cell r="A1255">
            <v>369926</v>
          </cell>
          <cell r="X1255">
            <v>46029</v>
          </cell>
        </row>
        <row r="1256">
          <cell r="A1256">
            <v>370026</v>
          </cell>
          <cell r="X1256">
            <v>46029</v>
          </cell>
        </row>
        <row r="1257">
          <cell r="A1257">
            <v>370126</v>
          </cell>
          <cell r="X1257">
            <v>46029</v>
          </cell>
        </row>
        <row r="1258">
          <cell r="A1258">
            <v>370226</v>
          </cell>
          <cell r="X1258">
            <v>46029</v>
          </cell>
        </row>
        <row r="1259">
          <cell r="A1259">
            <v>370326</v>
          </cell>
          <cell r="X1259">
            <v>46029</v>
          </cell>
        </row>
        <row r="1260">
          <cell r="A1260">
            <v>370426</v>
          </cell>
          <cell r="X1260">
            <v>46029</v>
          </cell>
        </row>
        <row r="1261">
          <cell r="A1261">
            <v>370526</v>
          </cell>
          <cell r="X1261">
            <v>46029</v>
          </cell>
        </row>
        <row r="1262">
          <cell r="A1262">
            <v>370626</v>
          </cell>
          <cell r="X1262">
            <v>46029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PLANEAMIENTO"/>
      <sheetName val="Programa"/>
      <sheetName val="Programacion"/>
      <sheetName val="Programa (2)"/>
      <sheetName val="Horas extra"/>
      <sheetName val="Resumen horas extra"/>
      <sheetName val="Status MOD"/>
      <sheetName val="Bonos"/>
      <sheetName val="Tiempos"/>
      <sheetName val="CROMADOS"/>
      <sheetName val="Evaluaciones"/>
      <sheetName val="Comparaciones"/>
      <sheetName val="Personal - Fabricaciones"/>
      <sheetName val="Formatos"/>
      <sheetName val="Costos"/>
      <sheetName val="Configuracion"/>
      <sheetName val="Hoja3"/>
      <sheetName val="Hoja1"/>
    </sheetNames>
    <sheetDataSet>
      <sheetData sheetId="0"/>
      <sheetData sheetId="1">
        <row r="4">
          <cell r="A4" t="str">
            <v>HP&amp;K</v>
          </cell>
          <cell r="AT4" t="str">
            <v>AVANCE</v>
          </cell>
        </row>
        <row r="5">
          <cell r="A5">
            <v>254824</v>
          </cell>
          <cell r="AT5">
            <v>0</v>
          </cell>
        </row>
        <row r="6">
          <cell r="A6">
            <v>254924</v>
          </cell>
          <cell r="AT6">
            <v>0</v>
          </cell>
        </row>
        <row r="7">
          <cell r="A7">
            <v>255024</v>
          </cell>
          <cell r="AT7">
            <v>0</v>
          </cell>
        </row>
        <row r="8">
          <cell r="A8">
            <v>255124</v>
          </cell>
          <cell r="AT8">
            <v>0</v>
          </cell>
        </row>
        <row r="9">
          <cell r="A9">
            <v>255824</v>
          </cell>
          <cell r="AT9">
            <v>0</v>
          </cell>
        </row>
        <row r="10">
          <cell r="A10">
            <v>261224</v>
          </cell>
          <cell r="AT10">
            <v>0</v>
          </cell>
        </row>
        <row r="11">
          <cell r="A11">
            <v>261324</v>
          </cell>
          <cell r="AT11">
            <v>0</v>
          </cell>
        </row>
        <row r="12">
          <cell r="A12">
            <v>261424</v>
          </cell>
          <cell r="AT12">
            <v>0</v>
          </cell>
        </row>
        <row r="13">
          <cell r="A13">
            <v>266824</v>
          </cell>
          <cell r="AT13">
            <v>0</v>
          </cell>
        </row>
        <row r="14">
          <cell r="A14">
            <v>273924</v>
          </cell>
          <cell r="AT14">
            <v>1</v>
          </cell>
        </row>
        <row r="15">
          <cell r="A15">
            <v>275424</v>
          </cell>
          <cell r="AT15">
            <v>0</v>
          </cell>
        </row>
        <row r="16">
          <cell r="A16">
            <v>279224</v>
          </cell>
          <cell r="AT16">
            <v>0.16666666666666666</v>
          </cell>
        </row>
        <row r="17">
          <cell r="A17">
            <v>279624</v>
          </cell>
          <cell r="AT17">
            <v>0.90500000000000003</v>
          </cell>
        </row>
        <row r="18">
          <cell r="A18">
            <v>281024</v>
          </cell>
          <cell r="AT18">
            <v>0.63636363636363635</v>
          </cell>
        </row>
        <row r="19">
          <cell r="A19">
            <v>281224</v>
          </cell>
          <cell r="AT19">
            <v>1</v>
          </cell>
        </row>
        <row r="20">
          <cell r="A20">
            <v>282824</v>
          </cell>
          <cell r="AT20">
            <v>1</v>
          </cell>
        </row>
        <row r="21">
          <cell r="A21">
            <v>282924</v>
          </cell>
          <cell r="AT21">
            <v>1</v>
          </cell>
        </row>
        <row r="22">
          <cell r="A22">
            <v>283724</v>
          </cell>
          <cell r="AT22">
            <v>1</v>
          </cell>
        </row>
        <row r="23">
          <cell r="A23">
            <v>284024</v>
          </cell>
          <cell r="AT23">
            <v>1</v>
          </cell>
        </row>
        <row r="24">
          <cell r="A24">
            <v>284124</v>
          </cell>
          <cell r="AT24">
            <v>1</v>
          </cell>
        </row>
        <row r="25">
          <cell r="A25">
            <v>284224</v>
          </cell>
          <cell r="AT25">
            <v>0</v>
          </cell>
        </row>
        <row r="26">
          <cell r="A26">
            <v>284524</v>
          </cell>
          <cell r="AT26">
            <v>1</v>
          </cell>
        </row>
        <row r="27">
          <cell r="A27">
            <v>284624</v>
          </cell>
          <cell r="AT27">
            <v>0</v>
          </cell>
        </row>
        <row r="28">
          <cell r="A28">
            <v>284724</v>
          </cell>
          <cell r="AT28">
            <v>1</v>
          </cell>
        </row>
        <row r="29">
          <cell r="A29">
            <v>285124</v>
          </cell>
          <cell r="AT29">
            <v>0</v>
          </cell>
        </row>
        <row r="30">
          <cell r="A30">
            <v>285224</v>
          </cell>
          <cell r="AT30">
            <v>0.9285714285714286</v>
          </cell>
        </row>
        <row r="31">
          <cell r="A31">
            <v>285324</v>
          </cell>
          <cell r="AT31">
            <v>0.91176470588235292</v>
          </cell>
        </row>
        <row r="32">
          <cell r="A32">
            <v>285524</v>
          </cell>
          <cell r="AT32">
            <v>0.92692307692307696</v>
          </cell>
        </row>
        <row r="33">
          <cell r="A33">
            <v>285724</v>
          </cell>
          <cell r="AT33">
            <v>0.82272727272727275</v>
          </cell>
        </row>
        <row r="34">
          <cell r="A34">
            <v>286024</v>
          </cell>
          <cell r="AT34">
            <v>0.90909090909090906</v>
          </cell>
        </row>
        <row r="35">
          <cell r="A35">
            <v>286624</v>
          </cell>
          <cell r="AT35">
            <v>1</v>
          </cell>
        </row>
        <row r="36">
          <cell r="A36">
            <v>286724</v>
          </cell>
          <cell r="AT36">
            <v>0</v>
          </cell>
        </row>
        <row r="37">
          <cell r="A37">
            <v>286824</v>
          </cell>
          <cell r="AT37">
            <v>0</v>
          </cell>
        </row>
        <row r="38">
          <cell r="A38">
            <v>286924</v>
          </cell>
          <cell r="AT38">
            <v>0</v>
          </cell>
        </row>
        <row r="39">
          <cell r="A39">
            <v>287024</v>
          </cell>
          <cell r="AT39">
            <v>1</v>
          </cell>
        </row>
        <row r="40">
          <cell r="A40">
            <v>287124</v>
          </cell>
          <cell r="AT40">
            <v>0.91363636363636369</v>
          </cell>
        </row>
        <row r="41">
          <cell r="A41">
            <v>287224</v>
          </cell>
          <cell r="AT41">
            <v>0.90500000000000003</v>
          </cell>
        </row>
        <row r="42">
          <cell r="A42">
            <v>287324</v>
          </cell>
          <cell r="AT42">
            <v>1</v>
          </cell>
        </row>
        <row r="43">
          <cell r="A43">
            <v>287424</v>
          </cell>
          <cell r="AT43">
            <v>1</v>
          </cell>
        </row>
        <row r="44">
          <cell r="A44">
            <v>287524</v>
          </cell>
          <cell r="AT44">
            <v>1</v>
          </cell>
        </row>
        <row r="45">
          <cell r="A45">
            <v>287624</v>
          </cell>
          <cell r="AT45">
            <v>1</v>
          </cell>
        </row>
        <row r="46">
          <cell r="A46">
            <v>287724</v>
          </cell>
          <cell r="AT46">
            <v>0.88124999999999998</v>
          </cell>
        </row>
        <row r="47">
          <cell r="A47">
            <v>287824</v>
          </cell>
          <cell r="AT47">
            <v>0.88124999999999998</v>
          </cell>
        </row>
        <row r="48">
          <cell r="A48">
            <v>287924</v>
          </cell>
          <cell r="AT48">
            <v>1</v>
          </cell>
        </row>
        <row r="49">
          <cell r="A49">
            <v>288024</v>
          </cell>
          <cell r="AT49">
            <v>1</v>
          </cell>
        </row>
        <row r="50">
          <cell r="A50">
            <v>288124</v>
          </cell>
          <cell r="AT50">
            <v>0.9</v>
          </cell>
        </row>
        <row r="51">
          <cell r="A51">
            <v>288224</v>
          </cell>
          <cell r="AT51">
            <v>0.9</v>
          </cell>
        </row>
        <row r="52">
          <cell r="A52">
            <v>288324</v>
          </cell>
          <cell r="AT52">
            <v>0.95454545454545459</v>
          </cell>
        </row>
        <row r="53">
          <cell r="A53">
            <v>288424</v>
          </cell>
          <cell r="AT53">
            <v>0.8125</v>
          </cell>
        </row>
        <row r="54">
          <cell r="A54">
            <v>288524</v>
          </cell>
          <cell r="AT54">
            <v>0.53846153846153844</v>
          </cell>
        </row>
        <row r="55">
          <cell r="A55">
            <v>288624</v>
          </cell>
          <cell r="AT55">
            <v>1</v>
          </cell>
        </row>
        <row r="56">
          <cell r="A56">
            <v>288724</v>
          </cell>
          <cell r="AT56">
            <v>0.81818181818181823</v>
          </cell>
        </row>
        <row r="57">
          <cell r="A57">
            <v>288824</v>
          </cell>
          <cell r="AT57">
            <v>0</v>
          </cell>
        </row>
        <row r="58">
          <cell r="A58">
            <v>288924</v>
          </cell>
          <cell r="AT58">
            <v>0</v>
          </cell>
        </row>
        <row r="59">
          <cell r="A59">
            <v>289024</v>
          </cell>
          <cell r="AT59">
            <v>7.1428571428571425E-2</v>
          </cell>
        </row>
        <row r="60">
          <cell r="A60">
            <v>289124</v>
          </cell>
          <cell r="AT60">
            <v>1</v>
          </cell>
        </row>
        <row r="61">
          <cell r="A61">
            <v>289224</v>
          </cell>
          <cell r="AT61">
            <v>1</v>
          </cell>
        </row>
        <row r="62">
          <cell r="A62">
            <v>289324</v>
          </cell>
          <cell r="AT62">
            <v>1</v>
          </cell>
        </row>
        <row r="63">
          <cell r="A63">
            <v>289424</v>
          </cell>
          <cell r="AT63">
            <v>0.68333333333333324</v>
          </cell>
        </row>
        <row r="64">
          <cell r="A64">
            <v>289524</v>
          </cell>
          <cell r="AT64">
            <v>0.67222222222222217</v>
          </cell>
        </row>
        <row r="65">
          <cell r="A65">
            <v>289624</v>
          </cell>
          <cell r="AT65">
            <v>1</v>
          </cell>
        </row>
        <row r="66">
          <cell r="A66">
            <v>289724</v>
          </cell>
          <cell r="AT66">
            <v>1</v>
          </cell>
        </row>
        <row r="67">
          <cell r="A67">
            <v>289924</v>
          </cell>
          <cell r="AT67">
            <v>1</v>
          </cell>
        </row>
        <row r="68">
          <cell r="A68">
            <v>290324</v>
          </cell>
          <cell r="AT68">
            <v>0</v>
          </cell>
        </row>
        <row r="69">
          <cell r="A69">
            <v>290424</v>
          </cell>
          <cell r="AT69">
            <v>0</v>
          </cell>
        </row>
        <row r="70">
          <cell r="A70">
            <v>290524</v>
          </cell>
          <cell r="AT70">
            <v>0</v>
          </cell>
        </row>
        <row r="71">
          <cell r="A71">
            <v>290624</v>
          </cell>
          <cell r="AT71">
            <v>0.75</v>
          </cell>
        </row>
        <row r="72">
          <cell r="A72">
            <v>290724</v>
          </cell>
          <cell r="AT72">
            <v>0.6</v>
          </cell>
        </row>
        <row r="73">
          <cell r="A73">
            <v>290824</v>
          </cell>
          <cell r="AT73">
            <v>0.6</v>
          </cell>
        </row>
        <row r="74">
          <cell r="A74">
            <v>290924</v>
          </cell>
          <cell r="AT74">
            <v>1</v>
          </cell>
        </row>
        <row r="75">
          <cell r="A75">
            <v>291024</v>
          </cell>
          <cell r="AT75">
            <v>0.5714285714285714</v>
          </cell>
        </row>
        <row r="76">
          <cell r="A76">
            <v>291124</v>
          </cell>
          <cell r="AT76">
            <v>1</v>
          </cell>
        </row>
        <row r="77">
          <cell r="A77">
            <v>291224</v>
          </cell>
          <cell r="AT77">
            <v>0.54545454545454541</v>
          </cell>
        </row>
        <row r="78">
          <cell r="A78">
            <v>291324</v>
          </cell>
          <cell r="AT78">
            <v>0.8</v>
          </cell>
        </row>
        <row r="79">
          <cell r="A79">
            <v>291424</v>
          </cell>
          <cell r="AT79">
            <v>1</v>
          </cell>
        </row>
        <row r="80">
          <cell r="A80">
            <v>291524</v>
          </cell>
          <cell r="AT80">
            <v>0.65250000000000008</v>
          </cell>
        </row>
        <row r="81">
          <cell r="A81">
            <v>291624</v>
          </cell>
          <cell r="AT81">
            <v>1</v>
          </cell>
        </row>
        <row r="82">
          <cell r="A82">
            <v>291724</v>
          </cell>
          <cell r="AT82">
            <v>0</v>
          </cell>
        </row>
        <row r="83">
          <cell r="A83">
            <v>291824</v>
          </cell>
          <cell r="AT83">
            <v>0</v>
          </cell>
        </row>
        <row r="84">
          <cell r="A84">
            <v>291924</v>
          </cell>
          <cell r="AT84">
            <v>0.7142857142857143</v>
          </cell>
        </row>
        <row r="85">
          <cell r="A85">
            <v>292024</v>
          </cell>
          <cell r="AT85">
            <v>1</v>
          </cell>
        </row>
        <row r="86">
          <cell r="A86">
            <v>292124</v>
          </cell>
          <cell r="AT86">
            <v>1</v>
          </cell>
        </row>
        <row r="87">
          <cell r="A87">
            <v>292224</v>
          </cell>
          <cell r="AT87">
            <v>1</v>
          </cell>
        </row>
        <row r="88">
          <cell r="A88">
            <v>292324</v>
          </cell>
          <cell r="AT88">
            <v>0.8</v>
          </cell>
        </row>
        <row r="89">
          <cell r="A89">
            <v>292424</v>
          </cell>
          <cell r="AT89">
            <v>0.92307692307692313</v>
          </cell>
        </row>
        <row r="90">
          <cell r="A90">
            <v>292524</v>
          </cell>
          <cell r="AT90">
            <v>1</v>
          </cell>
        </row>
        <row r="91">
          <cell r="A91">
            <v>292624</v>
          </cell>
          <cell r="AT91">
            <v>1</v>
          </cell>
        </row>
        <row r="92">
          <cell r="A92">
            <v>292724</v>
          </cell>
          <cell r="AT92">
            <v>1</v>
          </cell>
        </row>
        <row r="93">
          <cell r="A93">
            <v>292824</v>
          </cell>
          <cell r="AT93">
            <v>0.94736842105263153</v>
          </cell>
        </row>
        <row r="94">
          <cell r="A94">
            <v>292924</v>
          </cell>
          <cell r="AT94">
            <v>0.83333333333333337</v>
          </cell>
        </row>
        <row r="95">
          <cell r="A95">
            <v>293024</v>
          </cell>
          <cell r="AT95">
            <v>0.33333333333333331</v>
          </cell>
        </row>
        <row r="96">
          <cell r="A96">
            <v>293124</v>
          </cell>
          <cell r="AT96">
            <v>1</v>
          </cell>
        </row>
        <row r="97">
          <cell r="A97">
            <v>293224</v>
          </cell>
          <cell r="AT97">
            <v>1</v>
          </cell>
        </row>
        <row r="98">
          <cell r="A98">
            <v>293324</v>
          </cell>
          <cell r="AT98">
            <v>0.72727272727272729</v>
          </cell>
        </row>
        <row r="99">
          <cell r="A99">
            <v>293424</v>
          </cell>
          <cell r="AT99">
            <v>1</v>
          </cell>
        </row>
        <row r="100">
          <cell r="A100">
            <v>293524</v>
          </cell>
          <cell r="AT100">
            <v>0.88235294117647056</v>
          </cell>
        </row>
        <row r="101">
          <cell r="A101">
            <v>293624</v>
          </cell>
          <cell r="AT101">
            <v>0.88235294117647056</v>
          </cell>
        </row>
        <row r="102">
          <cell r="A102">
            <v>293724</v>
          </cell>
          <cell r="AT102">
            <v>1</v>
          </cell>
        </row>
        <row r="103">
          <cell r="A103">
            <v>293824</v>
          </cell>
          <cell r="AT103">
            <v>1</v>
          </cell>
        </row>
        <row r="104">
          <cell r="A104">
            <v>293924</v>
          </cell>
          <cell r="AT104">
            <v>0.22222222222222221</v>
          </cell>
        </row>
        <row r="105">
          <cell r="A105">
            <v>294024</v>
          </cell>
          <cell r="AT105">
            <v>0</v>
          </cell>
        </row>
        <row r="106">
          <cell r="A106">
            <v>294124</v>
          </cell>
          <cell r="AT106">
            <v>0.8</v>
          </cell>
        </row>
        <row r="107">
          <cell r="A107">
            <v>294224</v>
          </cell>
          <cell r="AT107">
            <v>1</v>
          </cell>
        </row>
        <row r="108">
          <cell r="A108">
            <v>294324</v>
          </cell>
          <cell r="AT108">
            <v>1</v>
          </cell>
        </row>
        <row r="109">
          <cell r="A109">
            <v>294424</v>
          </cell>
          <cell r="AT109">
            <v>0.16666666666666666</v>
          </cell>
        </row>
        <row r="110">
          <cell r="A110">
            <v>294524</v>
          </cell>
          <cell r="AT110">
            <v>1</v>
          </cell>
        </row>
        <row r="111">
          <cell r="A111">
            <v>294624</v>
          </cell>
          <cell r="AT111">
            <v>0.6</v>
          </cell>
        </row>
        <row r="112">
          <cell r="A112">
            <v>294724</v>
          </cell>
          <cell r="AT112">
            <v>0</v>
          </cell>
        </row>
        <row r="113">
          <cell r="A113">
            <v>294824</v>
          </cell>
          <cell r="AT113">
            <v>0.6</v>
          </cell>
        </row>
        <row r="114">
          <cell r="A114">
            <v>294924</v>
          </cell>
          <cell r="AT114">
            <v>1</v>
          </cell>
        </row>
        <row r="115">
          <cell r="A115">
            <v>295024</v>
          </cell>
          <cell r="AT115">
            <v>0.95</v>
          </cell>
        </row>
        <row r="116">
          <cell r="A116">
            <v>295124</v>
          </cell>
          <cell r="AT116">
            <v>0.88235294117647056</v>
          </cell>
        </row>
        <row r="117">
          <cell r="A117">
            <v>295224</v>
          </cell>
          <cell r="AT117">
            <v>0</v>
          </cell>
        </row>
        <row r="118">
          <cell r="A118">
            <v>295324</v>
          </cell>
          <cell r="AT118">
            <v>0.94444444444444442</v>
          </cell>
        </row>
        <row r="119">
          <cell r="A119">
            <v>295424</v>
          </cell>
          <cell r="AT119">
            <v>1</v>
          </cell>
        </row>
        <row r="120">
          <cell r="A120">
            <v>295524</v>
          </cell>
          <cell r="AT120">
            <v>1</v>
          </cell>
        </row>
        <row r="121">
          <cell r="A121">
            <v>295624</v>
          </cell>
          <cell r="AT121">
            <v>1</v>
          </cell>
        </row>
        <row r="122">
          <cell r="A122">
            <v>295724</v>
          </cell>
          <cell r="AT122">
            <v>1</v>
          </cell>
        </row>
        <row r="123">
          <cell r="A123">
            <v>295824</v>
          </cell>
          <cell r="AT123">
            <v>1</v>
          </cell>
        </row>
        <row r="124">
          <cell r="A124">
            <v>295924</v>
          </cell>
          <cell r="AT124">
            <v>1</v>
          </cell>
        </row>
        <row r="125">
          <cell r="A125">
            <v>296024</v>
          </cell>
          <cell r="AT125">
            <v>1</v>
          </cell>
        </row>
        <row r="126">
          <cell r="A126">
            <v>296124</v>
          </cell>
          <cell r="AT126">
            <v>0.85</v>
          </cell>
        </row>
        <row r="127">
          <cell r="A127">
            <v>296224</v>
          </cell>
          <cell r="AT127">
            <v>0</v>
          </cell>
        </row>
        <row r="128">
          <cell r="A128">
            <v>296324</v>
          </cell>
          <cell r="AT128">
            <v>0</v>
          </cell>
        </row>
        <row r="129">
          <cell r="A129">
            <v>296424</v>
          </cell>
          <cell r="AT129">
            <v>0</v>
          </cell>
        </row>
        <row r="130">
          <cell r="A130">
            <v>296524</v>
          </cell>
          <cell r="AT130">
            <v>0.92307692307692313</v>
          </cell>
        </row>
        <row r="131">
          <cell r="A131">
            <v>296624</v>
          </cell>
          <cell r="AT131">
            <v>0.93333333333333335</v>
          </cell>
        </row>
        <row r="132">
          <cell r="A132">
            <v>296724</v>
          </cell>
          <cell r="AT132">
            <v>1</v>
          </cell>
        </row>
        <row r="133">
          <cell r="A133">
            <v>296824</v>
          </cell>
          <cell r="AT133">
            <v>0.6</v>
          </cell>
        </row>
        <row r="134">
          <cell r="A134">
            <v>296924</v>
          </cell>
          <cell r="AT134">
            <v>0.6</v>
          </cell>
        </row>
        <row r="135">
          <cell r="A135">
            <v>297024</v>
          </cell>
          <cell r="AT135">
            <v>0.66666666666666663</v>
          </cell>
        </row>
        <row r="136">
          <cell r="A136">
            <v>297124</v>
          </cell>
          <cell r="AT136">
            <v>0.7142857142857143</v>
          </cell>
        </row>
        <row r="137">
          <cell r="A137">
            <v>297224</v>
          </cell>
          <cell r="AT137">
            <v>0.89473684210526316</v>
          </cell>
        </row>
        <row r="138">
          <cell r="A138">
            <v>297324</v>
          </cell>
          <cell r="AT138">
            <v>1</v>
          </cell>
        </row>
        <row r="139">
          <cell r="A139">
            <v>297424</v>
          </cell>
          <cell r="AT139">
            <v>1</v>
          </cell>
        </row>
        <row r="140">
          <cell r="A140">
            <v>297524</v>
          </cell>
          <cell r="AT140">
            <v>0</v>
          </cell>
        </row>
        <row r="141">
          <cell r="A141">
            <v>297624</v>
          </cell>
          <cell r="AT141">
            <v>0.9</v>
          </cell>
        </row>
        <row r="142">
          <cell r="A142">
            <v>297724</v>
          </cell>
          <cell r="AT142">
            <v>1</v>
          </cell>
        </row>
        <row r="143">
          <cell r="A143">
            <v>297824</v>
          </cell>
          <cell r="AT143">
            <v>1</v>
          </cell>
        </row>
        <row r="144">
          <cell r="A144">
            <v>297924</v>
          </cell>
          <cell r="AT144">
            <v>0.33333333333333331</v>
          </cell>
        </row>
        <row r="145">
          <cell r="A145">
            <v>298024</v>
          </cell>
          <cell r="AT145">
            <v>0.85</v>
          </cell>
        </row>
        <row r="146">
          <cell r="A146">
            <v>298124</v>
          </cell>
          <cell r="AT146">
            <v>0.6</v>
          </cell>
        </row>
        <row r="147">
          <cell r="A147">
            <v>298224</v>
          </cell>
          <cell r="AT147">
            <v>0</v>
          </cell>
        </row>
        <row r="148">
          <cell r="A148">
            <v>298324</v>
          </cell>
          <cell r="AT148">
            <v>0</v>
          </cell>
        </row>
        <row r="149">
          <cell r="A149">
            <v>298424</v>
          </cell>
          <cell r="AT149">
            <v>1</v>
          </cell>
        </row>
        <row r="150">
          <cell r="A150">
            <v>298524</v>
          </cell>
          <cell r="AT150">
            <v>0.6</v>
          </cell>
        </row>
        <row r="151">
          <cell r="A151">
            <v>298624</v>
          </cell>
          <cell r="AT151">
            <v>0.93333333333333335</v>
          </cell>
        </row>
        <row r="152">
          <cell r="A152">
            <v>298724</v>
          </cell>
          <cell r="AT152">
            <v>0.83333333333333337</v>
          </cell>
        </row>
        <row r="153">
          <cell r="A153">
            <v>298824</v>
          </cell>
          <cell r="AT153">
            <v>0.84615384615384615</v>
          </cell>
        </row>
        <row r="154">
          <cell r="A154">
            <v>298924</v>
          </cell>
          <cell r="AT154">
            <v>0</v>
          </cell>
        </row>
        <row r="155">
          <cell r="A155">
            <v>299024</v>
          </cell>
          <cell r="AT155">
            <v>0</v>
          </cell>
        </row>
        <row r="156">
          <cell r="A156">
            <v>299124</v>
          </cell>
          <cell r="AT156">
            <v>0.8</v>
          </cell>
        </row>
        <row r="157">
          <cell r="A157">
            <v>299224</v>
          </cell>
          <cell r="AT157">
            <v>1</v>
          </cell>
        </row>
        <row r="158">
          <cell r="A158">
            <v>299324</v>
          </cell>
          <cell r="AT158">
            <v>1</v>
          </cell>
        </row>
        <row r="159">
          <cell r="A159">
            <v>299424</v>
          </cell>
          <cell r="AT159">
            <v>0.5</v>
          </cell>
        </row>
        <row r="160">
          <cell r="A160">
            <v>299524</v>
          </cell>
          <cell r="AT160">
            <v>0.5</v>
          </cell>
        </row>
        <row r="161">
          <cell r="A161">
            <v>299624</v>
          </cell>
          <cell r="AT161">
            <v>0.5</v>
          </cell>
        </row>
        <row r="162">
          <cell r="A162">
            <v>299724</v>
          </cell>
          <cell r="AT162">
            <v>0</v>
          </cell>
        </row>
        <row r="163">
          <cell r="A163">
            <v>299824</v>
          </cell>
          <cell r="AT163">
            <v>0</v>
          </cell>
        </row>
        <row r="164">
          <cell r="A164">
            <v>299924</v>
          </cell>
          <cell r="AT164">
            <v>1</v>
          </cell>
        </row>
        <row r="165">
          <cell r="A165">
            <v>300024</v>
          </cell>
          <cell r="AT165">
            <v>0</v>
          </cell>
        </row>
        <row r="166">
          <cell r="A166">
            <v>300124</v>
          </cell>
          <cell r="AT166">
            <v>0</v>
          </cell>
        </row>
        <row r="167">
          <cell r="A167">
            <v>300224</v>
          </cell>
          <cell r="AT167">
            <v>0</v>
          </cell>
        </row>
        <row r="168">
          <cell r="A168">
            <v>300324</v>
          </cell>
          <cell r="AT168">
            <v>0</v>
          </cell>
        </row>
        <row r="169">
          <cell r="A169">
            <v>300424</v>
          </cell>
          <cell r="AT169">
            <v>0</v>
          </cell>
        </row>
        <row r="170">
          <cell r="A170">
            <v>300524</v>
          </cell>
          <cell r="AT170">
            <v>0.8</v>
          </cell>
        </row>
        <row r="171">
          <cell r="A171">
            <v>300624</v>
          </cell>
          <cell r="AT171">
            <v>0.8</v>
          </cell>
        </row>
        <row r="172">
          <cell r="A172">
            <v>300724</v>
          </cell>
          <cell r="AT172">
            <v>0</v>
          </cell>
        </row>
        <row r="173">
          <cell r="A173">
            <v>300824</v>
          </cell>
          <cell r="AT173">
            <v>0.76923076923076927</v>
          </cell>
        </row>
        <row r="174">
          <cell r="A174">
            <v>300924</v>
          </cell>
          <cell r="AT174">
            <v>0.8571428571428571</v>
          </cell>
        </row>
        <row r="175">
          <cell r="A175">
            <v>301024</v>
          </cell>
          <cell r="AT175">
            <v>1</v>
          </cell>
        </row>
        <row r="176">
          <cell r="A176">
            <v>301124</v>
          </cell>
          <cell r="AT176">
            <v>0</v>
          </cell>
        </row>
        <row r="177">
          <cell r="A177">
            <v>301224</v>
          </cell>
          <cell r="AT177">
            <v>0</v>
          </cell>
        </row>
        <row r="178">
          <cell r="A178">
            <v>301324</v>
          </cell>
          <cell r="AT178">
            <v>0</v>
          </cell>
        </row>
        <row r="179">
          <cell r="A179">
            <v>301424</v>
          </cell>
          <cell r="AT179">
            <v>0</v>
          </cell>
        </row>
        <row r="180">
          <cell r="A180">
            <v>301524</v>
          </cell>
          <cell r="AT180">
            <v>1</v>
          </cell>
        </row>
        <row r="181">
          <cell r="A181">
            <v>301624</v>
          </cell>
          <cell r="AT181">
            <v>1</v>
          </cell>
        </row>
        <row r="182">
          <cell r="A182">
            <v>301724</v>
          </cell>
          <cell r="AT182">
            <v>0.66666666666666663</v>
          </cell>
        </row>
        <row r="183">
          <cell r="A183">
            <v>301824</v>
          </cell>
          <cell r="AT183">
            <v>0</v>
          </cell>
        </row>
        <row r="184">
          <cell r="A184">
            <v>301924</v>
          </cell>
          <cell r="AT184">
            <v>0</v>
          </cell>
        </row>
        <row r="185">
          <cell r="A185">
            <v>302024</v>
          </cell>
          <cell r="AT185">
            <v>0.82352941176470584</v>
          </cell>
        </row>
        <row r="186">
          <cell r="A186">
            <v>302124</v>
          </cell>
          <cell r="AT186">
            <v>0.33333333333333331</v>
          </cell>
        </row>
        <row r="187">
          <cell r="A187">
            <v>302224</v>
          </cell>
          <cell r="AT187">
            <v>0</v>
          </cell>
        </row>
        <row r="188">
          <cell r="A188">
            <v>302324</v>
          </cell>
          <cell r="AT188">
            <v>0</v>
          </cell>
        </row>
        <row r="189">
          <cell r="A189">
            <v>302424</v>
          </cell>
          <cell r="AT189">
            <v>0.8</v>
          </cell>
        </row>
        <row r="190">
          <cell r="A190">
            <v>302524</v>
          </cell>
          <cell r="AT190">
            <v>0.44999999999999996</v>
          </cell>
        </row>
        <row r="191">
          <cell r="A191">
            <v>302624</v>
          </cell>
          <cell r="AT191">
            <v>0</v>
          </cell>
        </row>
        <row r="192">
          <cell r="A192">
            <v>302724</v>
          </cell>
          <cell r="AT192">
            <v>0.76923076923076927</v>
          </cell>
        </row>
        <row r="193">
          <cell r="A193">
            <v>302824</v>
          </cell>
          <cell r="AT193">
            <v>0.7</v>
          </cell>
        </row>
        <row r="194">
          <cell r="A194">
            <v>302924</v>
          </cell>
          <cell r="AT194">
            <v>0.6</v>
          </cell>
        </row>
        <row r="195">
          <cell r="A195">
            <v>303024</v>
          </cell>
          <cell r="AT195">
            <v>1</v>
          </cell>
        </row>
        <row r="196">
          <cell r="A196">
            <v>303124</v>
          </cell>
          <cell r="AT196">
            <v>1</v>
          </cell>
        </row>
        <row r="197">
          <cell r="A197">
            <v>303224</v>
          </cell>
          <cell r="AT197">
            <v>0.76923076923076927</v>
          </cell>
        </row>
        <row r="198">
          <cell r="A198">
            <v>303324</v>
          </cell>
          <cell r="AT198">
            <v>0.83333333333333337</v>
          </cell>
        </row>
        <row r="199">
          <cell r="A199">
            <v>303424</v>
          </cell>
          <cell r="AT199">
            <v>0.8</v>
          </cell>
        </row>
        <row r="200">
          <cell r="A200">
            <v>303524</v>
          </cell>
          <cell r="AT200">
            <v>1</v>
          </cell>
        </row>
        <row r="201">
          <cell r="A201">
            <v>303624</v>
          </cell>
          <cell r="AT201">
            <v>1</v>
          </cell>
        </row>
        <row r="202">
          <cell r="A202">
            <v>303724</v>
          </cell>
          <cell r="AT202">
            <v>0</v>
          </cell>
        </row>
        <row r="203">
          <cell r="A203">
            <v>303824</v>
          </cell>
          <cell r="AT203">
            <v>0</v>
          </cell>
        </row>
        <row r="204">
          <cell r="A204">
            <v>303924</v>
          </cell>
          <cell r="AT204">
            <v>0</v>
          </cell>
        </row>
        <row r="205">
          <cell r="A205">
            <v>304024</v>
          </cell>
          <cell r="AT205">
            <v>0.6</v>
          </cell>
        </row>
        <row r="206">
          <cell r="A206">
            <v>304124</v>
          </cell>
          <cell r="AT206">
            <v>0.6</v>
          </cell>
        </row>
        <row r="207">
          <cell r="A207">
            <v>304224</v>
          </cell>
          <cell r="AT207">
            <v>0.66666666666666663</v>
          </cell>
        </row>
        <row r="208">
          <cell r="A208">
            <v>304324</v>
          </cell>
          <cell r="AT208">
            <v>0.33333333333333331</v>
          </cell>
        </row>
        <row r="209">
          <cell r="A209">
            <v>304424</v>
          </cell>
          <cell r="AT209">
            <v>0.72727272727272729</v>
          </cell>
        </row>
        <row r="210">
          <cell r="A210">
            <v>304524</v>
          </cell>
          <cell r="AT210">
            <v>1</v>
          </cell>
        </row>
        <row r="211">
          <cell r="A211">
            <v>304624</v>
          </cell>
          <cell r="AT211">
            <v>0.7142857142857143</v>
          </cell>
        </row>
        <row r="212">
          <cell r="A212">
            <v>304724</v>
          </cell>
          <cell r="AT212">
            <v>0.7142857142857143</v>
          </cell>
        </row>
        <row r="213">
          <cell r="A213">
            <v>304824</v>
          </cell>
          <cell r="AT213">
            <v>0.93333333333333335</v>
          </cell>
        </row>
        <row r="214">
          <cell r="A214">
            <v>304924</v>
          </cell>
          <cell r="AT214">
            <v>1</v>
          </cell>
        </row>
        <row r="215">
          <cell r="A215">
            <v>305024</v>
          </cell>
          <cell r="AT215">
            <v>0.66666666666666663</v>
          </cell>
        </row>
        <row r="216">
          <cell r="A216">
            <v>305124</v>
          </cell>
          <cell r="AT216">
            <v>0.33333333333333331</v>
          </cell>
        </row>
        <row r="217">
          <cell r="A217">
            <v>305224</v>
          </cell>
          <cell r="AT217">
            <v>1</v>
          </cell>
        </row>
        <row r="218">
          <cell r="A218">
            <v>305324</v>
          </cell>
          <cell r="AT218">
            <v>0</v>
          </cell>
        </row>
        <row r="219">
          <cell r="A219">
            <v>305424</v>
          </cell>
          <cell r="AT219">
            <v>1</v>
          </cell>
        </row>
        <row r="220">
          <cell r="A220">
            <v>305524</v>
          </cell>
          <cell r="AT220">
            <v>0.33333333333333331</v>
          </cell>
        </row>
        <row r="221">
          <cell r="A221">
            <v>305624</v>
          </cell>
          <cell r="AT221">
            <v>0.44444444444444442</v>
          </cell>
        </row>
        <row r="222">
          <cell r="A222">
            <v>305724</v>
          </cell>
          <cell r="AT222">
            <v>1</v>
          </cell>
        </row>
        <row r="223">
          <cell r="A223">
            <v>305824</v>
          </cell>
          <cell r="AT223">
            <v>0.7142857142857143</v>
          </cell>
        </row>
        <row r="224">
          <cell r="A224">
            <v>305924</v>
          </cell>
          <cell r="AT224">
            <v>1</v>
          </cell>
        </row>
        <row r="225">
          <cell r="A225">
            <v>306024</v>
          </cell>
          <cell r="AT225">
            <v>1</v>
          </cell>
        </row>
        <row r="226">
          <cell r="A226">
            <v>306124</v>
          </cell>
          <cell r="AT226">
            <v>0</v>
          </cell>
        </row>
        <row r="227">
          <cell r="A227">
            <v>306224</v>
          </cell>
          <cell r="AT227">
            <v>0.5</v>
          </cell>
        </row>
        <row r="228">
          <cell r="A228">
            <v>306324</v>
          </cell>
          <cell r="AT228">
            <v>0</v>
          </cell>
        </row>
        <row r="229">
          <cell r="A229">
            <v>306424</v>
          </cell>
          <cell r="AT229">
            <v>0</v>
          </cell>
        </row>
        <row r="230">
          <cell r="A230">
            <v>306524</v>
          </cell>
          <cell r="AT230">
            <v>0.16666666666666666</v>
          </cell>
        </row>
        <row r="231">
          <cell r="A231">
            <v>306624</v>
          </cell>
          <cell r="AT231">
            <v>0.16666666666666666</v>
          </cell>
        </row>
        <row r="232">
          <cell r="A232">
            <v>306724</v>
          </cell>
          <cell r="AT232">
            <v>0</v>
          </cell>
        </row>
        <row r="233">
          <cell r="A233" t="str">
            <v>306724 -1</v>
          </cell>
          <cell r="AT233">
            <v>0.83333333333333337</v>
          </cell>
        </row>
        <row r="234">
          <cell r="A234" t="str">
            <v>306724 -2</v>
          </cell>
          <cell r="AT234">
            <v>0.88888888888888884</v>
          </cell>
        </row>
        <row r="235">
          <cell r="A235" t="str">
            <v>306724 -3</v>
          </cell>
          <cell r="AT235">
            <v>0.69230769230769229</v>
          </cell>
        </row>
        <row r="236">
          <cell r="A236" t="str">
            <v>306724 -4</v>
          </cell>
          <cell r="AT236">
            <v>0.83333333333333337</v>
          </cell>
        </row>
        <row r="237">
          <cell r="A237">
            <v>306824</v>
          </cell>
          <cell r="AT237">
            <v>0</v>
          </cell>
        </row>
        <row r="238">
          <cell r="A238">
            <v>306924</v>
          </cell>
          <cell r="AT238">
            <v>0</v>
          </cell>
        </row>
        <row r="239">
          <cell r="A239">
            <v>307024</v>
          </cell>
          <cell r="AT239">
            <v>0</v>
          </cell>
        </row>
        <row r="240">
          <cell r="A240">
            <v>307124</v>
          </cell>
          <cell r="AT240">
            <v>0</v>
          </cell>
        </row>
        <row r="241">
          <cell r="A241">
            <v>307224</v>
          </cell>
          <cell r="AT241">
            <v>0.2</v>
          </cell>
        </row>
        <row r="242">
          <cell r="A242">
            <v>307324</v>
          </cell>
          <cell r="AT242">
            <v>0.2</v>
          </cell>
        </row>
        <row r="243">
          <cell r="A243">
            <v>307424</v>
          </cell>
          <cell r="AT243">
            <v>1</v>
          </cell>
        </row>
        <row r="244">
          <cell r="A244">
            <v>307524</v>
          </cell>
          <cell r="AT244">
            <v>1</v>
          </cell>
        </row>
        <row r="245">
          <cell r="A245">
            <v>307624</v>
          </cell>
          <cell r="AT245">
            <v>1</v>
          </cell>
        </row>
        <row r="246">
          <cell r="A246">
            <v>307724</v>
          </cell>
          <cell r="AT246">
            <v>1</v>
          </cell>
        </row>
        <row r="247">
          <cell r="A247">
            <v>307824</v>
          </cell>
          <cell r="AT247">
            <v>0</v>
          </cell>
        </row>
        <row r="248">
          <cell r="A248">
            <v>307924</v>
          </cell>
          <cell r="AT248">
            <v>0.5</v>
          </cell>
        </row>
        <row r="249">
          <cell r="A249">
            <v>308024</v>
          </cell>
          <cell r="AT249">
            <v>1</v>
          </cell>
        </row>
        <row r="250">
          <cell r="A250">
            <v>308124</v>
          </cell>
          <cell r="AT250">
            <v>0.875</v>
          </cell>
        </row>
        <row r="251">
          <cell r="A251">
            <v>308224</v>
          </cell>
          <cell r="AT251">
            <v>0.8</v>
          </cell>
        </row>
        <row r="252">
          <cell r="A252">
            <v>308324</v>
          </cell>
          <cell r="AT252">
            <v>0</v>
          </cell>
        </row>
        <row r="253">
          <cell r="A253">
            <v>308424</v>
          </cell>
          <cell r="AT253">
            <v>0.9</v>
          </cell>
        </row>
        <row r="254">
          <cell r="A254">
            <v>308524</v>
          </cell>
          <cell r="AT254">
            <v>0.8</v>
          </cell>
        </row>
        <row r="255">
          <cell r="A255">
            <v>308624</v>
          </cell>
          <cell r="AT255">
            <v>0.9</v>
          </cell>
        </row>
        <row r="256">
          <cell r="A256">
            <v>308724</v>
          </cell>
          <cell r="AT256">
            <v>0</v>
          </cell>
        </row>
        <row r="257">
          <cell r="A257">
            <v>308824</v>
          </cell>
          <cell r="AT257">
            <v>0.875</v>
          </cell>
        </row>
        <row r="258">
          <cell r="A258">
            <v>308924</v>
          </cell>
          <cell r="AT258">
            <v>0.875</v>
          </cell>
        </row>
        <row r="259">
          <cell r="A259">
            <v>309024</v>
          </cell>
          <cell r="AT259">
            <v>0</v>
          </cell>
        </row>
        <row r="260">
          <cell r="A260">
            <v>309124</v>
          </cell>
          <cell r="AT260">
            <v>0.68333333333333324</v>
          </cell>
        </row>
        <row r="261">
          <cell r="A261">
            <v>309224</v>
          </cell>
          <cell r="AT261">
            <v>1</v>
          </cell>
        </row>
        <row r="262">
          <cell r="A262">
            <v>309324</v>
          </cell>
          <cell r="AT262">
            <v>0.9</v>
          </cell>
        </row>
        <row r="263">
          <cell r="A263">
            <v>309424</v>
          </cell>
          <cell r="AT263">
            <v>0.72727272727272729</v>
          </cell>
        </row>
        <row r="264">
          <cell r="A264">
            <v>309524</v>
          </cell>
          <cell r="AT264">
            <v>0.83333333333333337</v>
          </cell>
        </row>
        <row r="265">
          <cell r="A265">
            <v>309624</v>
          </cell>
          <cell r="AT265">
            <v>0.5</v>
          </cell>
        </row>
        <row r="266">
          <cell r="A266">
            <v>309724</v>
          </cell>
          <cell r="AT266">
            <v>0.6</v>
          </cell>
        </row>
        <row r="267">
          <cell r="A267">
            <v>309824</v>
          </cell>
          <cell r="AT267">
            <v>0.8571428571428571</v>
          </cell>
        </row>
        <row r="268">
          <cell r="A268">
            <v>309924</v>
          </cell>
          <cell r="AT268">
            <v>0.6</v>
          </cell>
        </row>
        <row r="269">
          <cell r="A269">
            <v>310024</v>
          </cell>
          <cell r="AT269">
            <v>0.77777777777777779</v>
          </cell>
        </row>
        <row r="270">
          <cell r="A270">
            <v>310124</v>
          </cell>
          <cell r="AT270">
            <v>1</v>
          </cell>
        </row>
        <row r="271">
          <cell r="A271">
            <v>310224</v>
          </cell>
          <cell r="AT271">
            <v>0.7857142857142857</v>
          </cell>
        </row>
        <row r="272">
          <cell r="A272">
            <v>310324</v>
          </cell>
          <cell r="AT272">
            <v>0.66666666666666663</v>
          </cell>
        </row>
        <row r="273">
          <cell r="A273">
            <v>310424</v>
          </cell>
          <cell r="AT273">
            <v>0.875</v>
          </cell>
        </row>
        <row r="274">
          <cell r="A274">
            <v>310524</v>
          </cell>
          <cell r="AT274">
            <v>0.8</v>
          </cell>
        </row>
        <row r="275">
          <cell r="A275">
            <v>310624</v>
          </cell>
          <cell r="AT275">
            <v>0</v>
          </cell>
        </row>
        <row r="276">
          <cell r="A276">
            <v>310724</v>
          </cell>
          <cell r="AT276">
            <v>0</v>
          </cell>
        </row>
        <row r="277">
          <cell r="A277">
            <v>310824</v>
          </cell>
          <cell r="AT277">
            <v>0</v>
          </cell>
        </row>
        <row r="278">
          <cell r="A278">
            <v>310924</v>
          </cell>
          <cell r="AT278">
            <v>0.74047619047619051</v>
          </cell>
        </row>
        <row r="279">
          <cell r="A279">
            <v>311024</v>
          </cell>
          <cell r="AT279">
            <v>0</v>
          </cell>
        </row>
        <row r="280">
          <cell r="A280">
            <v>311124</v>
          </cell>
          <cell r="AT280">
            <v>0</v>
          </cell>
        </row>
        <row r="281">
          <cell r="A281">
            <v>311224</v>
          </cell>
          <cell r="AT281">
            <v>0</v>
          </cell>
        </row>
        <row r="282">
          <cell r="A282">
            <v>311324</v>
          </cell>
          <cell r="AT282">
            <v>0</v>
          </cell>
        </row>
        <row r="283">
          <cell r="A283">
            <v>311424</v>
          </cell>
          <cell r="AT283">
            <v>0</v>
          </cell>
        </row>
        <row r="284">
          <cell r="A284">
            <v>311524</v>
          </cell>
          <cell r="AT284">
            <v>0</v>
          </cell>
        </row>
        <row r="285">
          <cell r="A285">
            <v>311624</v>
          </cell>
          <cell r="AT285">
            <v>0</v>
          </cell>
        </row>
        <row r="286">
          <cell r="A286">
            <v>311724</v>
          </cell>
          <cell r="AT286">
            <v>0</v>
          </cell>
        </row>
        <row r="287">
          <cell r="A287">
            <v>311824</v>
          </cell>
          <cell r="AT287">
            <v>0</v>
          </cell>
        </row>
        <row r="288">
          <cell r="A288">
            <v>311924</v>
          </cell>
          <cell r="AT288">
            <v>0.21428571428571427</v>
          </cell>
        </row>
        <row r="289">
          <cell r="A289">
            <v>312024</v>
          </cell>
          <cell r="AT289">
            <v>0.41666666666666669</v>
          </cell>
        </row>
        <row r="290">
          <cell r="A290">
            <v>312124</v>
          </cell>
          <cell r="AT290">
            <v>0.67083333333333339</v>
          </cell>
        </row>
        <row r="291">
          <cell r="A291">
            <v>312224</v>
          </cell>
          <cell r="AT291">
            <v>0.35714285714285715</v>
          </cell>
        </row>
        <row r="292">
          <cell r="A292">
            <v>312325</v>
          </cell>
          <cell r="AT292">
            <v>0.81818181818181823</v>
          </cell>
        </row>
        <row r="293">
          <cell r="A293">
            <v>312425</v>
          </cell>
          <cell r="AT293">
            <v>0.90909090909090906</v>
          </cell>
        </row>
        <row r="294">
          <cell r="A294">
            <v>312525</v>
          </cell>
          <cell r="AT294">
            <v>0.9</v>
          </cell>
        </row>
        <row r="295">
          <cell r="A295">
            <v>312625</v>
          </cell>
          <cell r="AT295">
            <v>0.8571428571428571</v>
          </cell>
        </row>
        <row r="296">
          <cell r="A296">
            <v>312725</v>
          </cell>
          <cell r="AT296">
            <v>0.81818181818181823</v>
          </cell>
        </row>
        <row r="297">
          <cell r="A297">
            <v>312825</v>
          </cell>
          <cell r="AT297">
            <v>0.7142857142857143</v>
          </cell>
        </row>
        <row r="298">
          <cell r="A298">
            <v>312925</v>
          </cell>
          <cell r="AT298">
            <v>0.84615384615384615</v>
          </cell>
        </row>
        <row r="299">
          <cell r="A299">
            <v>313025</v>
          </cell>
          <cell r="AT299">
            <v>0.6</v>
          </cell>
        </row>
        <row r="300">
          <cell r="A300">
            <v>313125</v>
          </cell>
          <cell r="AT300">
            <v>0</v>
          </cell>
        </row>
        <row r="301">
          <cell r="A301">
            <v>313225</v>
          </cell>
          <cell r="AT301">
            <v>0.8</v>
          </cell>
        </row>
        <row r="302">
          <cell r="A302">
            <v>313325</v>
          </cell>
          <cell r="AT302">
            <v>1</v>
          </cell>
        </row>
        <row r="303">
          <cell r="A303">
            <v>313425</v>
          </cell>
          <cell r="AT303">
            <v>0.8</v>
          </cell>
        </row>
        <row r="304">
          <cell r="A304">
            <v>313525</v>
          </cell>
          <cell r="AT304">
            <v>1</v>
          </cell>
        </row>
        <row r="305">
          <cell r="A305">
            <v>313625</v>
          </cell>
          <cell r="AT305">
            <v>0</v>
          </cell>
        </row>
        <row r="306">
          <cell r="A306">
            <v>313725</v>
          </cell>
          <cell r="AT306">
            <v>0.8</v>
          </cell>
        </row>
        <row r="307">
          <cell r="A307">
            <v>313825</v>
          </cell>
          <cell r="AT307">
            <v>0.8</v>
          </cell>
        </row>
        <row r="308">
          <cell r="A308">
            <v>313925</v>
          </cell>
          <cell r="AT308">
            <v>0</v>
          </cell>
        </row>
        <row r="309">
          <cell r="A309">
            <v>314025</v>
          </cell>
          <cell r="AT309">
            <v>1</v>
          </cell>
        </row>
        <row r="310">
          <cell r="A310">
            <v>314125</v>
          </cell>
          <cell r="AT310">
            <v>0.8571428571428571</v>
          </cell>
        </row>
        <row r="311">
          <cell r="A311">
            <v>314225</v>
          </cell>
          <cell r="AT311">
            <v>0.75</v>
          </cell>
        </row>
        <row r="312">
          <cell r="A312">
            <v>314325</v>
          </cell>
          <cell r="AT312">
            <v>0.8571428571428571</v>
          </cell>
        </row>
        <row r="313">
          <cell r="A313">
            <v>314425</v>
          </cell>
          <cell r="AT313">
            <v>0.5</v>
          </cell>
        </row>
        <row r="314">
          <cell r="A314">
            <v>314525</v>
          </cell>
          <cell r="AT314">
            <v>0.8571428571428571</v>
          </cell>
        </row>
        <row r="315">
          <cell r="A315">
            <v>314625</v>
          </cell>
          <cell r="AT315">
            <v>0.8</v>
          </cell>
        </row>
        <row r="316">
          <cell r="A316">
            <v>314725</v>
          </cell>
          <cell r="AT316">
            <v>0.80952380952380953</v>
          </cell>
        </row>
        <row r="317">
          <cell r="A317">
            <v>314825</v>
          </cell>
          <cell r="AT317">
            <v>0.8</v>
          </cell>
        </row>
        <row r="318">
          <cell r="A318">
            <v>314925</v>
          </cell>
          <cell r="AT318">
            <v>0.6</v>
          </cell>
        </row>
        <row r="319">
          <cell r="A319">
            <v>315025</v>
          </cell>
          <cell r="AT319">
            <v>0</v>
          </cell>
        </row>
        <row r="320">
          <cell r="A320">
            <v>315125</v>
          </cell>
          <cell r="AT320">
            <v>0.6</v>
          </cell>
        </row>
        <row r="321">
          <cell r="A321">
            <v>315225</v>
          </cell>
          <cell r="AT321">
            <v>0.8666666666666667</v>
          </cell>
        </row>
        <row r="322">
          <cell r="A322">
            <v>315325</v>
          </cell>
          <cell r="AT322">
            <v>0</v>
          </cell>
        </row>
        <row r="323">
          <cell r="A323">
            <v>315425</v>
          </cell>
          <cell r="AT323">
            <v>0</v>
          </cell>
        </row>
        <row r="324">
          <cell r="A324">
            <v>315525</v>
          </cell>
          <cell r="AT324">
            <v>0.51071428571428579</v>
          </cell>
        </row>
        <row r="325">
          <cell r="A325">
            <v>315625</v>
          </cell>
          <cell r="AT325">
            <v>0.8571428571428571</v>
          </cell>
        </row>
        <row r="326">
          <cell r="A326">
            <v>315725</v>
          </cell>
          <cell r="AT326">
            <v>0.66666666666666663</v>
          </cell>
        </row>
        <row r="327">
          <cell r="A327">
            <v>315825</v>
          </cell>
          <cell r="AT327">
            <v>0.95454545454545459</v>
          </cell>
        </row>
        <row r="328">
          <cell r="A328">
            <v>315925</v>
          </cell>
          <cell r="AT328">
            <v>0.63636363636363635</v>
          </cell>
        </row>
        <row r="329">
          <cell r="A329">
            <v>316025</v>
          </cell>
          <cell r="AT329">
            <v>0.8</v>
          </cell>
        </row>
        <row r="330">
          <cell r="A330">
            <v>316125</v>
          </cell>
          <cell r="AT330">
            <v>0.8</v>
          </cell>
        </row>
        <row r="331">
          <cell r="A331">
            <v>316225</v>
          </cell>
          <cell r="AT331">
            <v>1</v>
          </cell>
        </row>
        <row r="332">
          <cell r="A332">
            <v>316325</v>
          </cell>
          <cell r="AT332">
            <v>0.7142857142857143</v>
          </cell>
        </row>
        <row r="333">
          <cell r="A333">
            <v>316425</v>
          </cell>
          <cell r="AT333">
            <v>0.7142857142857143</v>
          </cell>
        </row>
        <row r="334">
          <cell r="A334">
            <v>316525</v>
          </cell>
          <cell r="AT334">
            <v>0.7142857142857143</v>
          </cell>
        </row>
        <row r="335">
          <cell r="A335">
            <v>316625</v>
          </cell>
          <cell r="AT335">
            <v>0.84210526315789469</v>
          </cell>
        </row>
        <row r="336">
          <cell r="A336">
            <v>316725</v>
          </cell>
          <cell r="AT336">
            <v>0.5</v>
          </cell>
        </row>
        <row r="337">
          <cell r="A337">
            <v>316825</v>
          </cell>
          <cell r="AT337">
            <v>0.7</v>
          </cell>
        </row>
        <row r="338">
          <cell r="A338">
            <v>316925</v>
          </cell>
          <cell r="AT338">
            <v>0.8</v>
          </cell>
        </row>
        <row r="339">
          <cell r="A339">
            <v>317025</v>
          </cell>
          <cell r="AT339">
            <v>0.6</v>
          </cell>
        </row>
        <row r="340">
          <cell r="A340">
            <v>317125</v>
          </cell>
          <cell r="AT340">
            <v>0.69230769230769229</v>
          </cell>
        </row>
        <row r="341">
          <cell r="A341">
            <v>317225</v>
          </cell>
          <cell r="AT341">
            <v>0.8</v>
          </cell>
        </row>
        <row r="342">
          <cell r="A342">
            <v>317325</v>
          </cell>
          <cell r="AT342">
            <v>0.8</v>
          </cell>
        </row>
        <row r="343">
          <cell r="A343">
            <v>317425</v>
          </cell>
          <cell r="AT343">
            <v>0</v>
          </cell>
        </row>
        <row r="344">
          <cell r="A344">
            <v>317525</v>
          </cell>
          <cell r="AT344">
            <v>0</v>
          </cell>
        </row>
        <row r="345">
          <cell r="A345">
            <v>317625</v>
          </cell>
          <cell r="AT345">
            <v>0</v>
          </cell>
        </row>
        <row r="346">
          <cell r="A346">
            <v>317725</v>
          </cell>
          <cell r="AT346">
            <v>0</v>
          </cell>
        </row>
        <row r="347">
          <cell r="A347">
            <v>317825</v>
          </cell>
          <cell r="AT347">
            <v>0.8</v>
          </cell>
        </row>
        <row r="348">
          <cell r="A348">
            <v>317925</v>
          </cell>
          <cell r="AT348">
            <v>0.81818181818181823</v>
          </cell>
        </row>
        <row r="349">
          <cell r="A349">
            <v>318025</v>
          </cell>
          <cell r="AT349">
            <v>0.8</v>
          </cell>
        </row>
        <row r="350">
          <cell r="A350">
            <v>318125</v>
          </cell>
          <cell r="AT350">
            <v>0.8</v>
          </cell>
        </row>
        <row r="351">
          <cell r="A351">
            <v>318225</v>
          </cell>
          <cell r="AT351">
            <v>0.90476190476190477</v>
          </cell>
        </row>
        <row r="352">
          <cell r="A352">
            <v>318325</v>
          </cell>
          <cell r="AT352">
            <v>0.91666666666666663</v>
          </cell>
        </row>
        <row r="353">
          <cell r="A353">
            <v>318425</v>
          </cell>
          <cell r="AT353">
            <v>0.155</v>
          </cell>
        </row>
        <row r="354">
          <cell r="A354">
            <v>318525</v>
          </cell>
          <cell r="AT354">
            <v>0.75</v>
          </cell>
        </row>
        <row r="355">
          <cell r="A355">
            <v>318625</v>
          </cell>
          <cell r="AT355">
            <v>0.8125</v>
          </cell>
        </row>
        <row r="356">
          <cell r="A356">
            <v>318725</v>
          </cell>
          <cell r="AT356">
            <v>0.6875</v>
          </cell>
        </row>
        <row r="357">
          <cell r="A357">
            <v>318825</v>
          </cell>
          <cell r="AT357">
            <v>1</v>
          </cell>
        </row>
        <row r="358">
          <cell r="A358">
            <v>318925</v>
          </cell>
          <cell r="AT358">
            <v>1</v>
          </cell>
        </row>
        <row r="359">
          <cell r="A359">
            <v>319025</v>
          </cell>
          <cell r="AT359">
            <v>0.8</v>
          </cell>
        </row>
        <row r="360">
          <cell r="A360">
            <v>319125</v>
          </cell>
          <cell r="AT360">
            <v>0.8</v>
          </cell>
        </row>
        <row r="361">
          <cell r="A361">
            <v>319225</v>
          </cell>
          <cell r="AT361">
            <v>0.75</v>
          </cell>
        </row>
        <row r="362">
          <cell r="A362">
            <v>319325</v>
          </cell>
          <cell r="AT362">
            <v>0.75</v>
          </cell>
        </row>
        <row r="363">
          <cell r="A363">
            <v>319425</v>
          </cell>
          <cell r="AT363">
            <v>0.59090909090909094</v>
          </cell>
        </row>
        <row r="364">
          <cell r="A364">
            <v>319525</v>
          </cell>
          <cell r="AT364">
            <v>1</v>
          </cell>
        </row>
        <row r="365">
          <cell r="A365">
            <v>319625</v>
          </cell>
          <cell r="AT365">
            <v>1</v>
          </cell>
        </row>
        <row r="366">
          <cell r="A366">
            <v>319725</v>
          </cell>
          <cell r="AT366">
            <v>0.72727272727272729</v>
          </cell>
        </row>
        <row r="367">
          <cell r="A367">
            <v>319825</v>
          </cell>
          <cell r="AT367">
            <v>0.72727272727272729</v>
          </cell>
        </row>
        <row r="368">
          <cell r="A368">
            <v>319925</v>
          </cell>
          <cell r="AT368">
            <v>0.72727272727272729</v>
          </cell>
        </row>
        <row r="369">
          <cell r="A369">
            <v>320025</v>
          </cell>
          <cell r="AT369">
            <v>0.20499999999999999</v>
          </cell>
        </row>
        <row r="370">
          <cell r="A370">
            <v>320125</v>
          </cell>
          <cell r="AT370">
            <v>0</v>
          </cell>
        </row>
        <row r="371">
          <cell r="A371">
            <v>320225</v>
          </cell>
          <cell r="AT371">
            <v>0.75</v>
          </cell>
        </row>
        <row r="372">
          <cell r="A372">
            <v>320325</v>
          </cell>
          <cell r="AT372">
            <v>0.625</v>
          </cell>
        </row>
        <row r="373">
          <cell r="A373">
            <v>320425</v>
          </cell>
          <cell r="AT373">
            <v>0.875</v>
          </cell>
        </row>
        <row r="374">
          <cell r="A374">
            <v>320525</v>
          </cell>
          <cell r="AT374">
            <v>0.8</v>
          </cell>
        </row>
        <row r="375">
          <cell r="A375">
            <v>320625</v>
          </cell>
          <cell r="AT375">
            <v>0.72727272727272729</v>
          </cell>
        </row>
        <row r="376">
          <cell r="A376">
            <v>320725</v>
          </cell>
          <cell r="AT376">
            <v>1</v>
          </cell>
        </row>
        <row r="377">
          <cell r="A377">
            <v>320825</v>
          </cell>
          <cell r="AT377">
            <v>0.5</v>
          </cell>
        </row>
        <row r="378">
          <cell r="A378">
            <v>320925</v>
          </cell>
          <cell r="AT378">
            <v>0.6</v>
          </cell>
        </row>
        <row r="379">
          <cell r="A379">
            <v>321025</v>
          </cell>
          <cell r="AT379">
            <v>0.6</v>
          </cell>
        </row>
        <row r="380">
          <cell r="A380">
            <v>321125</v>
          </cell>
          <cell r="AT380">
            <v>0.63636363636363635</v>
          </cell>
        </row>
        <row r="381">
          <cell r="A381">
            <v>321225</v>
          </cell>
          <cell r="AT381">
            <v>0.66666666666666663</v>
          </cell>
        </row>
        <row r="382">
          <cell r="A382">
            <v>321325</v>
          </cell>
          <cell r="AT382">
            <v>0.72727272727272729</v>
          </cell>
        </row>
        <row r="383">
          <cell r="A383">
            <v>321425</v>
          </cell>
          <cell r="AT383">
            <v>0.76923076923076927</v>
          </cell>
        </row>
        <row r="384">
          <cell r="A384">
            <v>321525</v>
          </cell>
          <cell r="AT384">
            <v>0.41666666666666669</v>
          </cell>
        </row>
        <row r="385">
          <cell r="A385">
            <v>321625</v>
          </cell>
          <cell r="AT385">
            <v>0.84615384615384615</v>
          </cell>
        </row>
        <row r="386">
          <cell r="A386">
            <v>321725</v>
          </cell>
          <cell r="AT386">
            <v>0.72727272727272729</v>
          </cell>
        </row>
        <row r="387">
          <cell r="A387">
            <v>321825</v>
          </cell>
          <cell r="AT387">
            <v>0.83333333333333337</v>
          </cell>
        </row>
        <row r="388">
          <cell r="A388">
            <v>321925</v>
          </cell>
          <cell r="AT388">
            <v>0.6</v>
          </cell>
        </row>
        <row r="389">
          <cell r="A389">
            <v>322025</v>
          </cell>
          <cell r="AT389">
            <v>0.29642857142857143</v>
          </cell>
        </row>
        <row r="390">
          <cell r="A390">
            <v>322125</v>
          </cell>
          <cell r="AT390">
            <v>0.6</v>
          </cell>
        </row>
        <row r="391">
          <cell r="A391">
            <v>322225</v>
          </cell>
          <cell r="AT391">
            <v>1</v>
          </cell>
        </row>
        <row r="392">
          <cell r="A392">
            <v>322325</v>
          </cell>
          <cell r="AT392">
            <v>0.5911764705882353</v>
          </cell>
        </row>
        <row r="393">
          <cell r="A393">
            <v>322425</v>
          </cell>
          <cell r="AT393">
            <v>0</v>
          </cell>
        </row>
        <row r="394">
          <cell r="A394">
            <v>322525</v>
          </cell>
          <cell r="AT394">
            <v>0.14642857142857141</v>
          </cell>
        </row>
        <row r="395">
          <cell r="A395">
            <v>322625</v>
          </cell>
          <cell r="AT395">
            <v>1</v>
          </cell>
        </row>
        <row r="396">
          <cell r="A396">
            <v>322725</v>
          </cell>
          <cell r="AT396">
            <v>1</v>
          </cell>
        </row>
        <row r="397">
          <cell r="A397">
            <v>322825</v>
          </cell>
          <cell r="AT397">
            <v>0.7142857142857143</v>
          </cell>
        </row>
        <row r="398">
          <cell r="A398">
            <v>322925</v>
          </cell>
          <cell r="AT398">
            <v>0.83333333333333337</v>
          </cell>
        </row>
        <row r="399">
          <cell r="A399">
            <v>323025</v>
          </cell>
          <cell r="AT399">
            <v>0.7142857142857143</v>
          </cell>
        </row>
        <row r="400">
          <cell r="A400">
            <v>323125</v>
          </cell>
          <cell r="AT400">
            <v>0.33333333333333331</v>
          </cell>
        </row>
        <row r="401">
          <cell r="A401">
            <v>323225</v>
          </cell>
          <cell r="AT401">
            <v>0</v>
          </cell>
        </row>
        <row r="402">
          <cell r="A402">
            <v>323325</v>
          </cell>
          <cell r="AT402">
            <v>0.53846153846153844</v>
          </cell>
        </row>
        <row r="403">
          <cell r="A403">
            <v>323425</v>
          </cell>
          <cell r="AT403">
            <v>0.84210526315789469</v>
          </cell>
        </row>
        <row r="404">
          <cell r="A404">
            <v>323525</v>
          </cell>
          <cell r="AT404">
            <v>0.76923076923076927</v>
          </cell>
        </row>
        <row r="405">
          <cell r="A405">
            <v>323625</v>
          </cell>
          <cell r="AT405">
            <v>0</v>
          </cell>
        </row>
        <row r="406">
          <cell r="A406">
            <v>323725</v>
          </cell>
          <cell r="AT406">
            <v>0.8</v>
          </cell>
        </row>
        <row r="407">
          <cell r="A407">
            <v>323825</v>
          </cell>
          <cell r="AT407">
            <v>0.60333333333333339</v>
          </cell>
        </row>
        <row r="408">
          <cell r="A408">
            <v>323925</v>
          </cell>
          <cell r="AT408">
            <v>0.8571428571428571</v>
          </cell>
        </row>
        <row r="409">
          <cell r="A409">
            <v>324025</v>
          </cell>
          <cell r="AT409">
            <v>0.5</v>
          </cell>
        </row>
        <row r="410">
          <cell r="A410">
            <v>324125</v>
          </cell>
          <cell r="AT410">
            <v>0.6</v>
          </cell>
        </row>
        <row r="411">
          <cell r="A411">
            <v>324225</v>
          </cell>
          <cell r="AT411">
            <v>0.88888888888888884</v>
          </cell>
        </row>
        <row r="412">
          <cell r="A412">
            <v>324325</v>
          </cell>
          <cell r="AT412">
            <v>0.9</v>
          </cell>
        </row>
        <row r="413">
          <cell r="A413">
            <v>324425</v>
          </cell>
          <cell r="AT413">
            <v>0.88888888888888884</v>
          </cell>
        </row>
        <row r="414">
          <cell r="A414">
            <v>324525</v>
          </cell>
          <cell r="AT414">
            <v>0.6972222222222223</v>
          </cell>
        </row>
        <row r="415">
          <cell r="A415">
            <v>324625</v>
          </cell>
          <cell r="AT415">
            <v>0.69615384615384623</v>
          </cell>
        </row>
        <row r="416">
          <cell r="A416">
            <v>324725</v>
          </cell>
          <cell r="AT416">
            <v>0.75</v>
          </cell>
        </row>
        <row r="417">
          <cell r="A417">
            <v>324825</v>
          </cell>
          <cell r="AT417">
            <v>0</v>
          </cell>
        </row>
        <row r="418">
          <cell r="A418">
            <v>324925</v>
          </cell>
          <cell r="AT418">
            <v>0</v>
          </cell>
        </row>
        <row r="419">
          <cell r="A419">
            <v>325025</v>
          </cell>
          <cell r="AT419">
            <v>0</v>
          </cell>
        </row>
        <row r="420">
          <cell r="A420">
            <v>325125</v>
          </cell>
          <cell r="AT420">
            <v>0</v>
          </cell>
        </row>
        <row r="421">
          <cell r="A421">
            <v>325225</v>
          </cell>
          <cell r="AT421">
            <v>0.8</v>
          </cell>
        </row>
        <row r="422">
          <cell r="A422">
            <v>325325</v>
          </cell>
          <cell r="AT422">
            <v>0.76470588235294112</v>
          </cell>
        </row>
        <row r="423">
          <cell r="A423">
            <v>325425</v>
          </cell>
          <cell r="AT423">
            <v>0.84210526315789469</v>
          </cell>
        </row>
        <row r="424">
          <cell r="A424">
            <v>325525</v>
          </cell>
          <cell r="AT424">
            <v>0.72727272727272729</v>
          </cell>
        </row>
        <row r="425">
          <cell r="A425">
            <v>325625</v>
          </cell>
          <cell r="AT425">
            <v>0.66666666666666663</v>
          </cell>
        </row>
        <row r="426">
          <cell r="A426">
            <v>325725</v>
          </cell>
          <cell r="AT426">
            <v>0.8</v>
          </cell>
        </row>
        <row r="427">
          <cell r="A427">
            <v>325825</v>
          </cell>
          <cell r="AT427">
            <v>0.8</v>
          </cell>
        </row>
        <row r="428">
          <cell r="A428">
            <v>325925</v>
          </cell>
          <cell r="AT428">
            <v>0.5</v>
          </cell>
        </row>
        <row r="429">
          <cell r="A429">
            <v>326025</v>
          </cell>
          <cell r="AT429">
            <v>0.6</v>
          </cell>
        </row>
        <row r="430">
          <cell r="A430">
            <v>326125</v>
          </cell>
          <cell r="AT430">
            <v>0</v>
          </cell>
        </row>
        <row r="431">
          <cell r="A431">
            <v>326225</v>
          </cell>
          <cell r="AT431">
            <v>0.6</v>
          </cell>
        </row>
        <row r="432">
          <cell r="A432">
            <v>326325</v>
          </cell>
          <cell r="AT432">
            <v>0.75</v>
          </cell>
        </row>
        <row r="433">
          <cell r="A433">
            <v>326425</v>
          </cell>
          <cell r="AT433">
            <v>0</v>
          </cell>
        </row>
        <row r="434">
          <cell r="A434">
            <v>326525</v>
          </cell>
          <cell r="AT434">
            <v>0.8</v>
          </cell>
        </row>
        <row r="435">
          <cell r="A435">
            <v>326625</v>
          </cell>
          <cell r="AT435">
            <v>0.75</v>
          </cell>
        </row>
        <row r="436">
          <cell r="A436">
            <v>326725</v>
          </cell>
          <cell r="AT436">
            <v>0.8</v>
          </cell>
        </row>
        <row r="437">
          <cell r="A437">
            <v>326825</v>
          </cell>
          <cell r="AT437">
            <v>0.5</v>
          </cell>
        </row>
        <row r="438">
          <cell r="A438">
            <v>326925</v>
          </cell>
          <cell r="AT438">
            <v>0.16666666666666666</v>
          </cell>
        </row>
        <row r="439">
          <cell r="A439">
            <v>327025</v>
          </cell>
          <cell r="AT439">
            <v>0.50357142857142856</v>
          </cell>
        </row>
        <row r="440">
          <cell r="A440">
            <v>327125</v>
          </cell>
          <cell r="AT440">
            <v>1</v>
          </cell>
        </row>
        <row r="441">
          <cell r="A441">
            <v>327225</v>
          </cell>
          <cell r="AT441">
            <v>0.72727272727272729</v>
          </cell>
        </row>
        <row r="442">
          <cell r="A442">
            <v>327325</v>
          </cell>
          <cell r="AT442">
            <v>0.89473684210526316</v>
          </cell>
        </row>
        <row r="443">
          <cell r="A443">
            <v>327425</v>
          </cell>
          <cell r="AT443">
            <v>0.84210526315789469</v>
          </cell>
        </row>
        <row r="444">
          <cell r="A444">
            <v>327525</v>
          </cell>
          <cell r="AT444">
            <v>0.8571428571428571</v>
          </cell>
        </row>
        <row r="445">
          <cell r="A445">
            <v>327625</v>
          </cell>
          <cell r="AT445">
            <v>0.75</v>
          </cell>
        </row>
        <row r="446">
          <cell r="A446">
            <v>327725</v>
          </cell>
          <cell r="AT446">
            <v>1</v>
          </cell>
        </row>
        <row r="447">
          <cell r="A447">
            <v>327825</v>
          </cell>
          <cell r="AT447">
            <v>0.19062499999999999</v>
          </cell>
        </row>
        <row r="448">
          <cell r="A448">
            <v>327925</v>
          </cell>
          <cell r="AT448">
            <v>0.81818181818181823</v>
          </cell>
        </row>
        <row r="449">
          <cell r="A449">
            <v>328025</v>
          </cell>
          <cell r="AT449">
            <v>0.72727272727272729</v>
          </cell>
        </row>
        <row r="450">
          <cell r="A450">
            <v>328125</v>
          </cell>
          <cell r="AT450">
            <v>0.6</v>
          </cell>
        </row>
        <row r="451">
          <cell r="A451">
            <v>328225</v>
          </cell>
          <cell r="AT451">
            <v>0</v>
          </cell>
        </row>
        <row r="452">
          <cell r="A452">
            <v>328325</v>
          </cell>
          <cell r="AT452">
            <v>0</v>
          </cell>
        </row>
        <row r="453">
          <cell r="A453">
            <v>328425</v>
          </cell>
          <cell r="AT453">
            <v>0</v>
          </cell>
        </row>
        <row r="454">
          <cell r="A454">
            <v>328525</v>
          </cell>
          <cell r="AT454">
            <v>0</v>
          </cell>
        </row>
        <row r="455">
          <cell r="A455">
            <v>328625</v>
          </cell>
          <cell r="AT455">
            <v>0</v>
          </cell>
        </row>
        <row r="456">
          <cell r="A456">
            <v>328725</v>
          </cell>
          <cell r="AT456">
            <v>0</v>
          </cell>
        </row>
        <row r="457">
          <cell r="A457">
            <v>328825</v>
          </cell>
          <cell r="AT457">
            <v>0</v>
          </cell>
        </row>
        <row r="458">
          <cell r="A458">
            <v>328925</v>
          </cell>
          <cell r="AT458">
            <v>0</v>
          </cell>
        </row>
        <row r="459">
          <cell r="A459">
            <v>329025</v>
          </cell>
          <cell r="AT459">
            <v>0</v>
          </cell>
        </row>
        <row r="460">
          <cell r="A460">
            <v>329125</v>
          </cell>
          <cell r="AT460">
            <v>0</v>
          </cell>
        </row>
        <row r="461">
          <cell r="A461">
            <v>329725</v>
          </cell>
          <cell r="AT461">
            <v>0.20499999999999999</v>
          </cell>
        </row>
        <row r="462">
          <cell r="A462">
            <v>329825</v>
          </cell>
          <cell r="AT462">
            <v>0.44444444444444442</v>
          </cell>
        </row>
        <row r="463">
          <cell r="A463">
            <v>329925</v>
          </cell>
          <cell r="AT463">
            <v>0.77777777777777779</v>
          </cell>
        </row>
        <row r="464">
          <cell r="A464">
            <v>330025</v>
          </cell>
          <cell r="AT464">
            <v>0</v>
          </cell>
        </row>
        <row r="465">
          <cell r="A465">
            <v>330125</v>
          </cell>
          <cell r="AT465">
            <v>0</v>
          </cell>
        </row>
        <row r="466">
          <cell r="A466">
            <v>330225</v>
          </cell>
          <cell r="AT466">
            <v>0</v>
          </cell>
        </row>
        <row r="467">
          <cell r="A467">
            <v>330325</v>
          </cell>
          <cell r="AT467">
            <v>0</v>
          </cell>
        </row>
        <row r="468">
          <cell r="A468">
            <v>330425</v>
          </cell>
          <cell r="AT468">
            <v>0.5</v>
          </cell>
        </row>
        <row r="469">
          <cell r="A469">
            <v>330525</v>
          </cell>
          <cell r="AT469">
            <v>0.8666666666666667</v>
          </cell>
        </row>
        <row r="470">
          <cell r="A470">
            <v>330625</v>
          </cell>
          <cell r="AT470">
            <v>0.69230769230769229</v>
          </cell>
        </row>
        <row r="471">
          <cell r="A471">
            <v>330725</v>
          </cell>
          <cell r="AT471">
            <v>0.8571428571428571</v>
          </cell>
        </row>
        <row r="472">
          <cell r="A472">
            <v>330825</v>
          </cell>
          <cell r="AT472">
            <v>0.8</v>
          </cell>
        </row>
        <row r="473">
          <cell r="A473">
            <v>330925</v>
          </cell>
          <cell r="AT473">
            <v>0</v>
          </cell>
        </row>
        <row r="474">
          <cell r="A474">
            <v>331025</v>
          </cell>
          <cell r="AT474">
            <v>0.75</v>
          </cell>
        </row>
        <row r="475">
          <cell r="A475">
            <v>331125</v>
          </cell>
          <cell r="AT475">
            <v>0.5</v>
          </cell>
        </row>
        <row r="476">
          <cell r="A476">
            <v>331225</v>
          </cell>
          <cell r="AT476">
            <v>0.6</v>
          </cell>
        </row>
        <row r="477">
          <cell r="A477">
            <v>331325</v>
          </cell>
          <cell r="AT477">
            <v>0</v>
          </cell>
        </row>
        <row r="478">
          <cell r="A478">
            <v>331425</v>
          </cell>
          <cell r="AT478">
            <v>0</v>
          </cell>
        </row>
        <row r="479">
          <cell r="A479">
            <v>331525</v>
          </cell>
          <cell r="AT479">
            <v>1</v>
          </cell>
        </row>
        <row r="480">
          <cell r="A480">
            <v>331625</v>
          </cell>
          <cell r="AT480">
            <v>0.75</v>
          </cell>
        </row>
        <row r="481">
          <cell r="A481">
            <v>331725</v>
          </cell>
          <cell r="AT481">
            <v>0.75</v>
          </cell>
        </row>
        <row r="482">
          <cell r="A482">
            <v>331825</v>
          </cell>
          <cell r="AT482">
            <v>0.8</v>
          </cell>
        </row>
        <row r="483">
          <cell r="A483">
            <v>331925</v>
          </cell>
          <cell r="AT483">
            <v>0.8</v>
          </cell>
        </row>
        <row r="484">
          <cell r="A484">
            <v>332025</v>
          </cell>
          <cell r="AT484">
            <v>1</v>
          </cell>
        </row>
        <row r="485">
          <cell r="A485">
            <v>332125</v>
          </cell>
          <cell r="AT485">
            <v>0.6</v>
          </cell>
        </row>
        <row r="486">
          <cell r="A486">
            <v>332225</v>
          </cell>
          <cell r="AT486">
            <v>0.8666666666666667</v>
          </cell>
        </row>
        <row r="487">
          <cell r="A487">
            <v>332325</v>
          </cell>
          <cell r="AT487">
            <v>0</v>
          </cell>
        </row>
        <row r="488">
          <cell r="A488">
            <v>332425</v>
          </cell>
          <cell r="AT488">
            <v>0</v>
          </cell>
        </row>
        <row r="489">
          <cell r="A489">
            <v>332525</v>
          </cell>
          <cell r="AT489">
            <v>0</v>
          </cell>
        </row>
        <row r="490">
          <cell r="A490">
            <v>332625</v>
          </cell>
          <cell r="AT490">
            <v>1</v>
          </cell>
        </row>
        <row r="491">
          <cell r="A491">
            <v>332725</v>
          </cell>
          <cell r="AT491">
            <v>0</v>
          </cell>
        </row>
        <row r="492">
          <cell r="A492">
            <v>332825</v>
          </cell>
          <cell r="AT492">
            <v>0.33333333333333331</v>
          </cell>
        </row>
        <row r="493">
          <cell r="A493">
            <v>332925</v>
          </cell>
          <cell r="AT493">
            <v>0.8666666666666667</v>
          </cell>
        </row>
        <row r="494">
          <cell r="A494">
            <v>333025</v>
          </cell>
          <cell r="AT494">
            <v>0.72727272727272729</v>
          </cell>
        </row>
        <row r="495">
          <cell r="A495">
            <v>333125</v>
          </cell>
          <cell r="AT495">
            <v>0.77777777777777779</v>
          </cell>
        </row>
        <row r="496">
          <cell r="A496">
            <v>333225</v>
          </cell>
          <cell r="AT496">
            <v>0.7142857142857143</v>
          </cell>
        </row>
        <row r="497">
          <cell r="A497">
            <v>333325</v>
          </cell>
          <cell r="AT497">
            <v>0.8</v>
          </cell>
        </row>
        <row r="498">
          <cell r="A498">
            <v>333425</v>
          </cell>
          <cell r="AT498">
            <v>5.0000000000000001E-3</v>
          </cell>
        </row>
        <row r="499">
          <cell r="A499">
            <v>333525</v>
          </cell>
          <cell r="AT499">
            <v>6.2500000000000003E-3</v>
          </cell>
        </row>
        <row r="500">
          <cell r="A500">
            <v>333625</v>
          </cell>
          <cell r="AT500">
            <v>3.8461538461538464E-3</v>
          </cell>
        </row>
        <row r="501">
          <cell r="A501">
            <v>333725</v>
          </cell>
          <cell r="AT501">
            <v>0</v>
          </cell>
        </row>
        <row r="502">
          <cell r="A502">
            <v>333825</v>
          </cell>
          <cell r="AT502">
            <v>0.8571428571428571</v>
          </cell>
        </row>
        <row r="503">
          <cell r="A503">
            <v>333925</v>
          </cell>
          <cell r="AT503">
            <v>0</v>
          </cell>
        </row>
        <row r="504">
          <cell r="A504">
            <v>334025</v>
          </cell>
          <cell r="AT504">
            <v>0</v>
          </cell>
        </row>
        <row r="505">
          <cell r="A505">
            <v>334125</v>
          </cell>
          <cell r="AT505">
            <v>0</v>
          </cell>
        </row>
        <row r="506">
          <cell r="A506">
            <v>334225</v>
          </cell>
          <cell r="AT506">
            <v>0.30499999999999999</v>
          </cell>
        </row>
        <row r="507">
          <cell r="A507">
            <v>334325</v>
          </cell>
          <cell r="AT507">
            <v>0.05</v>
          </cell>
        </row>
        <row r="508">
          <cell r="A508">
            <v>334425</v>
          </cell>
          <cell r="AT508">
            <v>1</v>
          </cell>
        </row>
        <row r="509">
          <cell r="A509">
            <v>334525</v>
          </cell>
          <cell r="AT509">
            <v>0.30499999999999999</v>
          </cell>
        </row>
        <row r="510">
          <cell r="A510">
            <v>334625</v>
          </cell>
          <cell r="AT510">
            <v>1</v>
          </cell>
        </row>
        <row r="511">
          <cell r="A511">
            <v>334725</v>
          </cell>
          <cell r="AT511">
            <v>0.76470588235294112</v>
          </cell>
        </row>
        <row r="512">
          <cell r="A512">
            <v>334825</v>
          </cell>
          <cell r="AT512">
            <v>0.76470588235294112</v>
          </cell>
        </row>
        <row r="513">
          <cell r="A513">
            <v>334925</v>
          </cell>
          <cell r="AT513">
            <v>0.1</v>
          </cell>
        </row>
        <row r="514">
          <cell r="A514">
            <v>335025</v>
          </cell>
          <cell r="AT514">
            <v>0.8</v>
          </cell>
        </row>
        <row r="515">
          <cell r="A515">
            <v>335125</v>
          </cell>
          <cell r="AT515">
            <v>1</v>
          </cell>
        </row>
        <row r="516">
          <cell r="A516">
            <v>335225</v>
          </cell>
          <cell r="AT516">
            <v>0.5</v>
          </cell>
        </row>
        <row r="517">
          <cell r="A517">
            <v>335325</v>
          </cell>
          <cell r="AT517">
            <v>0.76923076923076927</v>
          </cell>
        </row>
        <row r="518">
          <cell r="A518">
            <v>335425</v>
          </cell>
          <cell r="AT518">
            <v>1</v>
          </cell>
        </row>
        <row r="519">
          <cell r="A519">
            <v>335525</v>
          </cell>
          <cell r="AT519">
            <v>0.7857142857142857</v>
          </cell>
        </row>
        <row r="520">
          <cell r="A520">
            <v>335625</v>
          </cell>
          <cell r="AT520">
            <v>0.75</v>
          </cell>
        </row>
        <row r="521">
          <cell r="A521">
            <v>335725</v>
          </cell>
          <cell r="AT521">
            <v>0</v>
          </cell>
        </row>
        <row r="522">
          <cell r="A522">
            <v>335825</v>
          </cell>
          <cell r="AT522">
            <v>0.6</v>
          </cell>
        </row>
        <row r="523">
          <cell r="A523">
            <v>335925</v>
          </cell>
          <cell r="AT523">
            <v>0.83333333333333337</v>
          </cell>
        </row>
        <row r="524">
          <cell r="A524">
            <v>336025</v>
          </cell>
          <cell r="AT524">
            <v>0.8</v>
          </cell>
        </row>
        <row r="525">
          <cell r="A525">
            <v>336125</v>
          </cell>
          <cell r="AT525">
            <v>1</v>
          </cell>
        </row>
        <row r="526">
          <cell r="A526">
            <v>336225</v>
          </cell>
          <cell r="AT526">
            <v>1</v>
          </cell>
        </row>
        <row r="527">
          <cell r="A527">
            <v>336325</v>
          </cell>
          <cell r="AT527">
            <v>1</v>
          </cell>
        </row>
        <row r="528">
          <cell r="A528">
            <v>336425</v>
          </cell>
          <cell r="AT528">
            <v>0</v>
          </cell>
        </row>
        <row r="529">
          <cell r="A529">
            <v>336525</v>
          </cell>
          <cell r="AT529">
            <v>1</v>
          </cell>
        </row>
        <row r="530">
          <cell r="A530">
            <v>336625</v>
          </cell>
          <cell r="AT530">
            <v>0.6</v>
          </cell>
        </row>
        <row r="531">
          <cell r="A531">
            <v>336725</v>
          </cell>
          <cell r="AT531">
            <v>1</v>
          </cell>
        </row>
        <row r="532">
          <cell r="A532">
            <v>336825</v>
          </cell>
          <cell r="AT532">
            <v>1</v>
          </cell>
        </row>
        <row r="533">
          <cell r="A533">
            <v>336925</v>
          </cell>
          <cell r="AT533">
            <v>0.86842105263157898</v>
          </cell>
        </row>
        <row r="534">
          <cell r="A534">
            <v>337025</v>
          </cell>
          <cell r="AT534">
            <v>0.6</v>
          </cell>
        </row>
        <row r="535">
          <cell r="A535">
            <v>337125</v>
          </cell>
          <cell r="AT535">
            <v>1</v>
          </cell>
        </row>
        <row r="536">
          <cell r="A536">
            <v>337225</v>
          </cell>
          <cell r="AT536">
            <v>0.20499999999999999</v>
          </cell>
        </row>
        <row r="537">
          <cell r="A537">
            <v>337325</v>
          </cell>
          <cell r="AT537">
            <v>1</v>
          </cell>
        </row>
        <row r="538">
          <cell r="A538">
            <v>337425</v>
          </cell>
          <cell r="AT538">
            <v>0</v>
          </cell>
        </row>
        <row r="539">
          <cell r="A539">
            <v>337525</v>
          </cell>
          <cell r="AT539">
            <v>0.55555555555555558</v>
          </cell>
        </row>
        <row r="540">
          <cell r="A540">
            <v>337625</v>
          </cell>
          <cell r="AT540">
            <v>0.25833333333333336</v>
          </cell>
        </row>
        <row r="541">
          <cell r="A541">
            <v>337725</v>
          </cell>
          <cell r="AT541">
            <v>1</v>
          </cell>
        </row>
        <row r="542">
          <cell r="A542">
            <v>337825</v>
          </cell>
          <cell r="AT542">
            <v>1</v>
          </cell>
        </row>
        <row r="543">
          <cell r="A543">
            <v>337925</v>
          </cell>
          <cell r="AT543">
            <v>1</v>
          </cell>
        </row>
        <row r="544">
          <cell r="A544">
            <v>338025</v>
          </cell>
          <cell r="AT544">
            <v>0.9285714285714286</v>
          </cell>
        </row>
        <row r="545">
          <cell r="A545">
            <v>338125</v>
          </cell>
          <cell r="AT545">
            <v>1</v>
          </cell>
        </row>
        <row r="546">
          <cell r="A546">
            <v>338225</v>
          </cell>
          <cell r="AT546">
            <v>1</v>
          </cell>
        </row>
        <row r="547">
          <cell r="A547">
            <v>338325</v>
          </cell>
          <cell r="AT547">
            <v>0</v>
          </cell>
        </row>
        <row r="548">
          <cell r="A548">
            <v>338425</v>
          </cell>
          <cell r="AT548">
            <v>1</v>
          </cell>
        </row>
        <row r="549">
          <cell r="A549">
            <v>338525</v>
          </cell>
          <cell r="AT549">
            <v>1</v>
          </cell>
        </row>
        <row r="550">
          <cell r="A550">
            <v>338625</v>
          </cell>
          <cell r="AT550">
            <v>0.87</v>
          </cell>
        </row>
        <row r="551">
          <cell r="A551">
            <v>338725</v>
          </cell>
          <cell r="AT551">
            <v>0</v>
          </cell>
        </row>
        <row r="552">
          <cell r="A552">
            <v>338825</v>
          </cell>
          <cell r="AT552">
            <v>1</v>
          </cell>
        </row>
        <row r="553">
          <cell r="A553">
            <v>338925</v>
          </cell>
          <cell r="AT553">
            <v>1</v>
          </cell>
        </row>
        <row r="554">
          <cell r="A554">
            <v>339025</v>
          </cell>
          <cell r="AT554">
            <v>1</v>
          </cell>
        </row>
        <row r="555">
          <cell r="A555">
            <v>339125</v>
          </cell>
          <cell r="AT555">
            <v>0</v>
          </cell>
        </row>
        <row r="556">
          <cell r="A556">
            <v>339225</v>
          </cell>
          <cell r="AT556">
            <v>0</v>
          </cell>
        </row>
        <row r="557">
          <cell r="A557">
            <v>339325</v>
          </cell>
          <cell r="AT557">
            <v>0</v>
          </cell>
        </row>
        <row r="558">
          <cell r="A558">
            <v>339425</v>
          </cell>
          <cell r="AT558">
            <v>1</v>
          </cell>
        </row>
        <row r="559">
          <cell r="A559">
            <v>339525</v>
          </cell>
          <cell r="AT559">
            <v>0</v>
          </cell>
        </row>
        <row r="560">
          <cell r="A560">
            <v>339625</v>
          </cell>
          <cell r="AT560">
            <v>0.14285714285714285</v>
          </cell>
        </row>
        <row r="561">
          <cell r="A561">
            <v>339725</v>
          </cell>
          <cell r="AT561">
            <v>0</v>
          </cell>
        </row>
        <row r="562">
          <cell r="A562">
            <v>339825</v>
          </cell>
          <cell r="AT562">
            <v>0</v>
          </cell>
        </row>
        <row r="563">
          <cell r="A563">
            <v>339925</v>
          </cell>
          <cell r="AT563">
            <v>7.4999999999999997E-2</v>
          </cell>
        </row>
        <row r="564">
          <cell r="A564">
            <v>340025</v>
          </cell>
          <cell r="AT564">
            <v>1</v>
          </cell>
        </row>
        <row r="565">
          <cell r="A565">
            <v>340125</v>
          </cell>
          <cell r="AT565">
            <v>0.5</v>
          </cell>
        </row>
        <row r="566">
          <cell r="A566">
            <v>340225</v>
          </cell>
          <cell r="AT566">
            <v>0.38124999999999998</v>
          </cell>
        </row>
        <row r="567">
          <cell r="A567">
            <v>340325</v>
          </cell>
          <cell r="AT567">
            <v>1</v>
          </cell>
        </row>
        <row r="568">
          <cell r="A568">
            <v>340425</v>
          </cell>
          <cell r="AT568">
            <v>0.875</v>
          </cell>
        </row>
        <row r="569">
          <cell r="A569">
            <v>340525</v>
          </cell>
          <cell r="AT569">
            <v>1</v>
          </cell>
        </row>
        <row r="570">
          <cell r="A570">
            <v>340625</v>
          </cell>
          <cell r="AT570">
            <v>1</v>
          </cell>
        </row>
        <row r="571">
          <cell r="A571">
            <v>340725</v>
          </cell>
          <cell r="AT571">
            <v>1</v>
          </cell>
        </row>
        <row r="572">
          <cell r="A572">
            <v>340825</v>
          </cell>
          <cell r="AT572">
            <v>1</v>
          </cell>
        </row>
        <row r="573">
          <cell r="A573">
            <v>340925</v>
          </cell>
          <cell r="AT573">
            <v>1</v>
          </cell>
        </row>
        <row r="574">
          <cell r="A574">
            <v>341025</v>
          </cell>
          <cell r="AT574">
            <v>1</v>
          </cell>
        </row>
        <row r="575">
          <cell r="A575">
            <v>341125</v>
          </cell>
          <cell r="AT575">
            <v>0.8</v>
          </cell>
        </row>
        <row r="576">
          <cell r="A576">
            <v>341225</v>
          </cell>
          <cell r="AT576">
            <v>1</v>
          </cell>
        </row>
        <row r="577">
          <cell r="A577">
            <v>341325</v>
          </cell>
          <cell r="AT577">
            <v>1</v>
          </cell>
        </row>
        <row r="578">
          <cell r="A578">
            <v>341425</v>
          </cell>
          <cell r="AT578">
            <v>1</v>
          </cell>
        </row>
        <row r="579">
          <cell r="A579">
            <v>341525</v>
          </cell>
          <cell r="AT579">
            <v>1</v>
          </cell>
        </row>
        <row r="580">
          <cell r="A580">
            <v>341625</v>
          </cell>
          <cell r="AT580">
            <v>1</v>
          </cell>
        </row>
        <row r="581">
          <cell r="A581">
            <v>341725</v>
          </cell>
          <cell r="AT581">
            <v>1</v>
          </cell>
        </row>
        <row r="582">
          <cell r="A582">
            <v>341825</v>
          </cell>
          <cell r="AT582">
            <v>0</v>
          </cell>
        </row>
        <row r="583">
          <cell r="A583">
            <v>341925</v>
          </cell>
          <cell r="AT583">
            <v>0</v>
          </cell>
        </row>
        <row r="584">
          <cell r="A584">
            <v>342025</v>
          </cell>
          <cell r="AT584">
            <v>0</v>
          </cell>
        </row>
        <row r="585">
          <cell r="A585">
            <v>342125</v>
          </cell>
          <cell r="AT585">
            <v>0</v>
          </cell>
        </row>
        <row r="586">
          <cell r="A586">
            <v>342225</v>
          </cell>
          <cell r="AT586">
            <v>0</v>
          </cell>
        </row>
        <row r="587">
          <cell r="A587">
            <v>342325</v>
          </cell>
          <cell r="AT587">
            <v>1</v>
          </cell>
        </row>
        <row r="588">
          <cell r="A588">
            <v>342425</v>
          </cell>
          <cell r="AT588">
            <v>1</v>
          </cell>
        </row>
        <row r="589">
          <cell r="A589">
            <v>342525</v>
          </cell>
          <cell r="AT589">
            <v>1</v>
          </cell>
        </row>
        <row r="590">
          <cell r="A590">
            <v>342625</v>
          </cell>
          <cell r="AT590">
            <v>1</v>
          </cell>
        </row>
        <row r="591">
          <cell r="A591">
            <v>342725</v>
          </cell>
          <cell r="AT591">
            <v>1</v>
          </cell>
        </row>
        <row r="592">
          <cell r="A592">
            <v>342825</v>
          </cell>
          <cell r="AT592">
            <v>0.8666666666666667</v>
          </cell>
        </row>
        <row r="593">
          <cell r="A593">
            <v>342925</v>
          </cell>
          <cell r="AT593">
            <v>1</v>
          </cell>
        </row>
        <row r="594">
          <cell r="A594">
            <v>343025</v>
          </cell>
          <cell r="AT594">
            <v>1</v>
          </cell>
        </row>
        <row r="595">
          <cell r="A595">
            <v>343125</v>
          </cell>
          <cell r="AT595">
            <v>1</v>
          </cell>
        </row>
        <row r="596">
          <cell r="A596">
            <v>343225</v>
          </cell>
          <cell r="AT596">
            <v>1</v>
          </cell>
        </row>
        <row r="597">
          <cell r="A597">
            <v>343325</v>
          </cell>
          <cell r="AT597">
            <v>1</v>
          </cell>
        </row>
        <row r="598">
          <cell r="A598">
            <v>343425</v>
          </cell>
          <cell r="AT598">
            <v>1</v>
          </cell>
        </row>
        <row r="599">
          <cell r="A599">
            <v>343525</v>
          </cell>
          <cell r="AT599">
            <v>1</v>
          </cell>
        </row>
        <row r="600">
          <cell r="A600">
            <v>343625</v>
          </cell>
          <cell r="AT600">
            <v>1</v>
          </cell>
        </row>
        <row r="601">
          <cell r="A601">
            <v>343725</v>
          </cell>
          <cell r="AT601">
            <v>1</v>
          </cell>
        </row>
        <row r="602">
          <cell r="A602">
            <v>343825</v>
          </cell>
          <cell r="AT602">
            <v>0.8</v>
          </cell>
        </row>
        <row r="603">
          <cell r="A603">
            <v>343925</v>
          </cell>
          <cell r="AT603">
            <v>1</v>
          </cell>
        </row>
        <row r="604">
          <cell r="A604">
            <v>344025</v>
          </cell>
          <cell r="AT604">
            <v>0</v>
          </cell>
        </row>
        <row r="605">
          <cell r="A605">
            <v>344125</v>
          </cell>
          <cell r="AT605">
            <v>0.5</v>
          </cell>
        </row>
        <row r="606">
          <cell r="A606">
            <v>344225</v>
          </cell>
          <cell r="AT606">
            <v>1</v>
          </cell>
        </row>
        <row r="607">
          <cell r="A607">
            <v>344325</v>
          </cell>
          <cell r="AT607">
            <v>1</v>
          </cell>
        </row>
        <row r="608">
          <cell r="A608">
            <v>344425</v>
          </cell>
          <cell r="AT608">
            <v>1</v>
          </cell>
        </row>
        <row r="609">
          <cell r="A609">
            <v>344525</v>
          </cell>
          <cell r="AT609">
            <v>1</v>
          </cell>
        </row>
        <row r="610">
          <cell r="A610">
            <v>344625</v>
          </cell>
          <cell r="AT610">
            <v>1</v>
          </cell>
        </row>
        <row r="611">
          <cell r="A611">
            <v>344725</v>
          </cell>
          <cell r="AT611">
            <v>1</v>
          </cell>
        </row>
        <row r="612">
          <cell r="A612">
            <v>344825</v>
          </cell>
          <cell r="AT612">
            <v>1</v>
          </cell>
        </row>
        <row r="613">
          <cell r="A613">
            <v>344925</v>
          </cell>
          <cell r="AT613">
            <v>1</v>
          </cell>
        </row>
        <row r="614">
          <cell r="A614">
            <v>345025</v>
          </cell>
          <cell r="AT614">
            <v>1</v>
          </cell>
        </row>
        <row r="615">
          <cell r="A615">
            <v>345125</v>
          </cell>
          <cell r="AT615">
            <v>1</v>
          </cell>
        </row>
        <row r="616">
          <cell r="A616">
            <v>345225</v>
          </cell>
          <cell r="AT616">
            <v>1</v>
          </cell>
        </row>
        <row r="617">
          <cell r="A617">
            <v>345325</v>
          </cell>
          <cell r="AT617">
            <v>1</v>
          </cell>
        </row>
        <row r="618">
          <cell r="A618">
            <v>345425</v>
          </cell>
          <cell r="AT618">
            <v>1</v>
          </cell>
        </row>
        <row r="619">
          <cell r="A619">
            <v>345525</v>
          </cell>
          <cell r="AT619">
            <v>1</v>
          </cell>
        </row>
        <row r="620">
          <cell r="A620">
            <v>345625</v>
          </cell>
          <cell r="AT620">
            <v>1</v>
          </cell>
        </row>
        <row r="621">
          <cell r="A621">
            <v>345725</v>
          </cell>
          <cell r="AT621">
            <v>1</v>
          </cell>
        </row>
        <row r="622">
          <cell r="A622">
            <v>345825</v>
          </cell>
          <cell r="AT622">
            <v>1</v>
          </cell>
        </row>
        <row r="623">
          <cell r="A623">
            <v>345925</v>
          </cell>
          <cell r="AT623">
            <v>1</v>
          </cell>
        </row>
        <row r="624">
          <cell r="A624">
            <v>346025</v>
          </cell>
          <cell r="AT624">
            <v>1</v>
          </cell>
        </row>
        <row r="625">
          <cell r="A625">
            <v>346125</v>
          </cell>
          <cell r="AT625">
            <v>1</v>
          </cell>
        </row>
        <row r="626">
          <cell r="A626">
            <v>346225</v>
          </cell>
          <cell r="AT626">
            <v>1</v>
          </cell>
        </row>
        <row r="627">
          <cell r="A627">
            <v>346325</v>
          </cell>
          <cell r="AT627">
            <v>1</v>
          </cell>
        </row>
        <row r="628">
          <cell r="A628">
            <v>346425</v>
          </cell>
          <cell r="AT628">
            <v>0.9642857142857143</v>
          </cell>
        </row>
        <row r="629">
          <cell r="A629">
            <v>346525</v>
          </cell>
          <cell r="AT629">
            <v>1</v>
          </cell>
        </row>
        <row r="630">
          <cell r="A630">
            <v>346625</v>
          </cell>
          <cell r="AT630">
            <v>0</v>
          </cell>
        </row>
        <row r="631">
          <cell r="A631">
            <v>346725</v>
          </cell>
          <cell r="AT631">
            <v>1</v>
          </cell>
        </row>
        <row r="632">
          <cell r="A632">
            <v>346825</v>
          </cell>
          <cell r="AT632">
            <v>0</v>
          </cell>
        </row>
        <row r="633">
          <cell r="A633">
            <v>346925</v>
          </cell>
          <cell r="AT633">
            <v>1</v>
          </cell>
        </row>
        <row r="634">
          <cell r="A634">
            <v>347025</v>
          </cell>
          <cell r="AT634">
            <v>1</v>
          </cell>
        </row>
        <row r="635">
          <cell r="A635">
            <v>347125</v>
          </cell>
          <cell r="AT635">
            <v>1</v>
          </cell>
        </row>
        <row r="636">
          <cell r="A636">
            <v>347225</v>
          </cell>
          <cell r="AT636">
            <v>1</v>
          </cell>
        </row>
        <row r="637">
          <cell r="A637">
            <v>347325</v>
          </cell>
          <cell r="AT637">
            <v>1</v>
          </cell>
        </row>
        <row r="638">
          <cell r="A638">
            <v>347425</v>
          </cell>
          <cell r="AT638">
            <v>1</v>
          </cell>
        </row>
        <row r="639">
          <cell r="A639">
            <v>347525</v>
          </cell>
          <cell r="AT639">
            <v>1</v>
          </cell>
        </row>
        <row r="640">
          <cell r="A640">
            <v>347625</v>
          </cell>
          <cell r="AT640">
            <v>1</v>
          </cell>
        </row>
        <row r="641">
          <cell r="A641">
            <v>347725</v>
          </cell>
          <cell r="AT641">
            <v>1</v>
          </cell>
        </row>
        <row r="642">
          <cell r="A642">
            <v>347825</v>
          </cell>
          <cell r="AT642">
            <v>1</v>
          </cell>
        </row>
        <row r="643">
          <cell r="A643">
            <v>347925</v>
          </cell>
          <cell r="AT643">
            <v>1</v>
          </cell>
        </row>
        <row r="644">
          <cell r="A644">
            <v>348025</v>
          </cell>
          <cell r="AT644">
            <v>1</v>
          </cell>
        </row>
        <row r="645">
          <cell r="A645">
            <v>348125</v>
          </cell>
          <cell r="AT645">
            <v>1</v>
          </cell>
        </row>
        <row r="646">
          <cell r="A646">
            <v>348225</v>
          </cell>
          <cell r="AT646">
            <v>1</v>
          </cell>
        </row>
        <row r="647">
          <cell r="A647">
            <v>348325</v>
          </cell>
          <cell r="AT647">
            <v>1</v>
          </cell>
        </row>
        <row r="648">
          <cell r="A648">
            <v>348425</v>
          </cell>
          <cell r="AT648">
            <v>1</v>
          </cell>
        </row>
        <row r="649">
          <cell r="A649">
            <v>348525</v>
          </cell>
          <cell r="AT649">
            <v>1</v>
          </cell>
        </row>
        <row r="650">
          <cell r="A650">
            <v>348625</v>
          </cell>
          <cell r="AT650">
            <v>1</v>
          </cell>
        </row>
        <row r="651">
          <cell r="A651">
            <v>348725</v>
          </cell>
          <cell r="AT651">
            <v>1</v>
          </cell>
        </row>
        <row r="652">
          <cell r="A652">
            <v>348825</v>
          </cell>
          <cell r="AT652">
            <v>0.92083333333333339</v>
          </cell>
        </row>
        <row r="653">
          <cell r="A653">
            <v>348925</v>
          </cell>
          <cell r="AT653">
            <v>0</v>
          </cell>
        </row>
        <row r="654">
          <cell r="A654">
            <v>349025</v>
          </cell>
          <cell r="AT654">
            <v>0</v>
          </cell>
        </row>
        <row r="655">
          <cell r="A655">
            <v>349125</v>
          </cell>
          <cell r="AT655">
            <v>0</v>
          </cell>
        </row>
        <row r="656">
          <cell r="A656">
            <v>349225</v>
          </cell>
          <cell r="AT656">
            <v>0</v>
          </cell>
        </row>
        <row r="657">
          <cell r="A657">
            <v>349325</v>
          </cell>
          <cell r="AT657">
            <v>1</v>
          </cell>
        </row>
        <row r="658">
          <cell r="A658">
            <v>349425</v>
          </cell>
          <cell r="AT658">
            <v>0.17857142857142858</v>
          </cell>
        </row>
        <row r="659">
          <cell r="A659">
            <v>349525</v>
          </cell>
          <cell r="AT659">
            <v>1</v>
          </cell>
        </row>
        <row r="660">
          <cell r="A660">
            <v>349625</v>
          </cell>
          <cell r="AT660">
            <v>1</v>
          </cell>
        </row>
        <row r="661">
          <cell r="A661">
            <v>349725</v>
          </cell>
          <cell r="AT661">
            <v>1</v>
          </cell>
        </row>
        <row r="662">
          <cell r="A662">
            <v>349825</v>
          </cell>
          <cell r="AT662">
            <v>1</v>
          </cell>
        </row>
        <row r="663">
          <cell r="A663">
            <v>349925</v>
          </cell>
          <cell r="AT663">
            <v>1</v>
          </cell>
        </row>
        <row r="664">
          <cell r="A664">
            <v>350025</v>
          </cell>
          <cell r="AT664">
            <v>0.33333333333333331</v>
          </cell>
        </row>
        <row r="665">
          <cell r="A665">
            <v>350125</v>
          </cell>
          <cell r="AT665">
            <v>1</v>
          </cell>
        </row>
        <row r="666">
          <cell r="A666">
            <v>350225</v>
          </cell>
          <cell r="AT666">
            <v>1</v>
          </cell>
        </row>
        <row r="667">
          <cell r="A667">
            <v>350325</v>
          </cell>
          <cell r="AT667">
            <v>1</v>
          </cell>
        </row>
        <row r="668">
          <cell r="A668">
            <v>350425</v>
          </cell>
          <cell r="AT668">
            <v>1</v>
          </cell>
        </row>
        <row r="669">
          <cell r="A669">
            <v>350525</v>
          </cell>
          <cell r="AT669">
            <v>1</v>
          </cell>
        </row>
        <row r="670">
          <cell r="A670">
            <v>350625</v>
          </cell>
          <cell r="AT670">
            <v>1</v>
          </cell>
        </row>
        <row r="671">
          <cell r="A671">
            <v>350725</v>
          </cell>
          <cell r="AT671">
            <v>1</v>
          </cell>
        </row>
        <row r="672">
          <cell r="A672">
            <v>350825</v>
          </cell>
          <cell r="AT672">
            <v>1</v>
          </cell>
        </row>
        <row r="673">
          <cell r="A673">
            <v>350925</v>
          </cell>
          <cell r="AT673">
            <v>0.2</v>
          </cell>
        </row>
        <row r="674">
          <cell r="A674">
            <v>351025</v>
          </cell>
          <cell r="AT674">
            <v>0.94062500000000004</v>
          </cell>
        </row>
        <row r="675">
          <cell r="A675">
            <v>351125</v>
          </cell>
          <cell r="AT675">
            <v>0.83333333333333337</v>
          </cell>
        </row>
        <row r="676">
          <cell r="A676">
            <v>351225</v>
          </cell>
          <cell r="AT676">
            <v>1</v>
          </cell>
        </row>
        <row r="677">
          <cell r="A677">
            <v>351325</v>
          </cell>
          <cell r="AT677">
            <v>1</v>
          </cell>
        </row>
        <row r="678">
          <cell r="A678">
            <v>351425</v>
          </cell>
          <cell r="AT678">
            <v>1</v>
          </cell>
        </row>
        <row r="679">
          <cell r="A679">
            <v>351525</v>
          </cell>
          <cell r="AT679">
            <v>0.8571428571428571</v>
          </cell>
        </row>
        <row r="680">
          <cell r="A680">
            <v>351625</v>
          </cell>
          <cell r="AT680">
            <v>0.8571428571428571</v>
          </cell>
        </row>
        <row r="681">
          <cell r="A681">
            <v>351725</v>
          </cell>
          <cell r="AT681">
            <v>0.6470588235294118</v>
          </cell>
        </row>
        <row r="682">
          <cell r="A682">
            <v>351825</v>
          </cell>
          <cell r="AT682">
            <v>1</v>
          </cell>
        </row>
        <row r="683">
          <cell r="A683">
            <v>351925</v>
          </cell>
          <cell r="AT683">
            <v>1</v>
          </cell>
        </row>
        <row r="684">
          <cell r="A684">
            <v>352025</v>
          </cell>
          <cell r="AT684">
            <v>1</v>
          </cell>
        </row>
        <row r="685">
          <cell r="A685">
            <v>352125</v>
          </cell>
          <cell r="AT685">
            <v>1</v>
          </cell>
        </row>
        <row r="686">
          <cell r="A686">
            <v>352225</v>
          </cell>
          <cell r="AT686">
            <v>1</v>
          </cell>
        </row>
        <row r="687">
          <cell r="A687">
            <v>352325</v>
          </cell>
          <cell r="AT687">
            <v>0.94444444444444442</v>
          </cell>
        </row>
        <row r="688">
          <cell r="A688">
            <v>352425</v>
          </cell>
          <cell r="AT688">
            <v>0.91363636363636369</v>
          </cell>
        </row>
        <row r="689">
          <cell r="A689">
            <v>352525</v>
          </cell>
          <cell r="AT689">
            <v>1</v>
          </cell>
        </row>
        <row r="690">
          <cell r="A690">
            <v>352625</v>
          </cell>
          <cell r="AT690">
            <v>0</v>
          </cell>
        </row>
        <row r="691">
          <cell r="A691">
            <v>352725</v>
          </cell>
          <cell r="AT691">
            <v>0</v>
          </cell>
        </row>
        <row r="692">
          <cell r="A692">
            <v>352825</v>
          </cell>
          <cell r="AT692">
            <v>0</v>
          </cell>
        </row>
        <row r="693">
          <cell r="A693">
            <v>352925</v>
          </cell>
          <cell r="AT693">
            <v>0</v>
          </cell>
        </row>
        <row r="694">
          <cell r="A694">
            <v>353025</v>
          </cell>
          <cell r="AT694">
            <v>0.6</v>
          </cell>
        </row>
        <row r="695">
          <cell r="A695">
            <v>353125</v>
          </cell>
          <cell r="AT695">
            <v>1</v>
          </cell>
        </row>
        <row r="696">
          <cell r="A696">
            <v>353225</v>
          </cell>
          <cell r="AT696">
            <v>1</v>
          </cell>
        </row>
        <row r="697">
          <cell r="A697">
            <v>353325</v>
          </cell>
          <cell r="AT697">
            <v>1</v>
          </cell>
        </row>
        <row r="698">
          <cell r="A698">
            <v>353425</v>
          </cell>
          <cell r="AT698">
            <v>1</v>
          </cell>
        </row>
        <row r="699">
          <cell r="A699">
            <v>353525</v>
          </cell>
          <cell r="AT699">
            <v>0.84210526315789469</v>
          </cell>
        </row>
        <row r="700">
          <cell r="A700">
            <v>353625</v>
          </cell>
          <cell r="AT700">
            <v>1</v>
          </cell>
        </row>
        <row r="701">
          <cell r="A701">
            <v>353725</v>
          </cell>
          <cell r="AT701">
            <v>0</v>
          </cell>
        </row>
        <row r="702">
          <cell r="A702">
            <v>353825</v>
          </cell>
          <cell r="AT702">
            <v>0</v>
          </cell>
        </row>
        <row r="703">
          <cell r="A703">
            <v>353925</v>
          </cell>
          <cell r="AT703">
            <v>0</v>
          </cell>
        </row>
        <row r="704">
          <cell r="A704">
            <v>354025</v>
          </cell>
          <cell r="AT704">
            <v>0.16666666666666666</v>
          </cell>
        </row>
        <row r="705">
          <cell r="A705">
            <v>354125</v>
          </cell>
          <cell r="AT705">
            <v>1.6666666666666666E-2</v>
          </cell>
        </row>
        <row r="706">
          <cell r="A706">
            <v>354225</v>
          </cell>
          <cell r="AT706">
            <v>1</v>
          </cell>
        </row>
        <row r="707">
          <cell r="A707">
            <v>354325</v>
          </cell>
          <cell r="AT707">
            <v>1</v>
          </cell>
        </row>
        <row r="708">
          <cell r="A708">
            <v>354425</v>
          </cell>
          <cell r="AT708">
            <v>0.83333333333333337</v>
          </cell>
        </row>
        <row r="709">
          <cell r="A709">
            <v>354525</v>
          </cell>
          <cell r="AT709">
            <v>1</v>
          </cell>
        </row>
        <row r="710">
          <cell r="A710">
            <v>354625</v>
          </cell>
          <cell r="AT710">
            <v>1</v>
          </cell>
        </row>
        <row r="711">
          <cell r="A711">
            <v>354725</v>
          </cell>
          <cell r="AT711">
            <v>1</v>
          </cell>
        </row>
        <row r="712">
          <cell r="A712">
            <v>354825</v>
          </cell>
          <cell r="AT712">
            <v>0</v>
          </cell>
        </row>
        <row r="713">
          <cell r="A713">
            <v>354925</v>
          </cell>
          <cell r="AT713">
            <v>1</v>
          </cell>
        </row>
        <row r="714">
          <cell r="A714">
            <v>355025</v>
          </cell>
          <cell r="AT714">
            <v>1</v>
          </cell>
        </row>
        <row r="715">
          <cell r="A715">
            <v>355125</v>
          </cell>
          <cell r="AT715">
            <v>1</v>
          </cell>
        </row>
        <row r="716">
          <cell r="A716">
            <v>355225</v>
          </cell>
          <cell r="AT716">
            <v>0</v>
          </cell>
        </row>
        <row r="717">
          <cell r="A717">
            <v>355325</v>
          </cell>
          <cell r="AT717">
            <v>0</v>
          </cell>
        </row>
        <row r="718">
          <cell r="A718">
            <v>355425</v>
          </cell>
          <cell r="AT718">
            <v>1</v>
          </cell>
        </row>
        <row r="719">
          <cell r="A719">
            <v>355525</v>
          </cell>
          <cell r="AT719">
            <v>1</v>
          </cell>
        </row>
        <row r="720">
          <cell r="A720">
            <v>355625</v>
          </cell>
          <cell r="AT720">
            <v>1</v>
          </cell>
        </row>
        <row r="721">
          <cell r="A721">
            <v>355725</v>
          </cell>
          <cell r="AT721">
            <v>0</v>
          </cell>
        </row>
        <row r="722">
          <cell r="A722">
            <v>355825</v>
          </cell>
          <cell r="AT722">
            <v>0</v>
          </cell>
        </row>
        <row r="723">
          <cell r="A723">
            <v>355925</v>
          </cell>
          <cell r="AT723">
            <v>1</v>
          </cell>
        </row>
        <row r="724">
          <cell r="A724">
            <v>356025</v>
          </cell>
          <cell r="AT724">
            <v>1</v>
          </cell>
        </row>
        <row r="725">
          <cell r="A725">
            <v>356125</v>
          </cell>
          <cell r="AT725">
            <v>1</v>
          </cell>
        </row>
        <row r="726">
          <cell r="A726">
            <v>356225</v>
          </cell>
          <cell r="AT726">
            <v>0.75</v>
          </cell>
        </row>
        <row r="727">
          <cell r="A727">
            <v>356325</v>
          </cell>
          <cell r="AT727">
            <v>0</v>
          </cell>
        </row>
        <row r="728">
          <cell r="A728">
            <v>356425</v>
          </cell>
          <cell r="AT728">
            <v>0</v>
          </cell>
        </row>
        <row r="729">
          <cell r="A729">
            <v>356525</v>
          </cell>
          <cell r="AT729">
            <v>0</v>
          </cell>
        </row>
        <row r="730">
          <cell r="A730">
            <v>356625</v>
          </cell>
          <cell r="AT730">
            <v>1</v>
          </cell>
        </row>
        <row r="731">
          <cell r="A731">
            <v>356725</v>
          </cell>
          <cell r="AT731">
            <v>0</v>
          </cell>
        </row>
        <row r="732">
          <cell r="A732">
            <v>356825</v>
          </cell>
          <cell r="AT732">
            <v>0</v>
          </cell>
        </row>
        <row r="733">
          <cell r="A733">
            <v>356925</v>
          </cell>
          <cell r="AT733">
            <v>0</v>
          </cell>
        </row>
        <row r="734">
          <cell r="A734">
            <v>357025</v>
          </cell>
          <cell r="AT734">
            <v>0</v>
          </cell>
        </row>
        <row r="735">
          <cell r="A735">
            <v>357125</v>
          </cell>
          <cell r="AT735">
            <v>1</v>
          </cell>
        </row>
        <row r="736">
          <cell r="A736">
            <v>357225</v>
          </cell>
          <cell r="AT736">
            <v>1</v>
          </cell>
        </row>
        <row r="737">
          <cell r="A737">
            <v>357325</v>
          </cell>
          <cell r="AT737">
            <v>1</v>
          </cell>
        </row>
        <row r="738">
          <cell r="A738">
            <v>357425</v>
          </cell>
          <cell r="AT738">
            <v>1</v>
          </cell>
        </row>
        <row r="739">
          <cell r="A739">
            <v>357525</v>
          </cell>
          <cell r="AT739">
            <v>1</v>
          </cell>
        </row>
        <row r="740">
          <cell r="A740">
            <v>357625</v>
          </cell>
          <cell r="AT740">
            <v>1</v>
          </cell>
        </row>
        <row r="741">
          <cell r="A741">
            <v>357725</v>
          </cell>
          <cell r="AT741">
            <v>1</v>
          </cell>
        </row>
        <row r="742">
          <cell r="A742">
            <v>357825</v>
          </cell>
          <cell r="AT742">
            <v>1</v>
          </cell>
        </row>
        <row r="743">
          <cell r="A743">
            <v>357925</v>
          </cell>
          <cell r="AT743">
            <v>1</v>
          </cell>
        </row>
        <row r="744">
          <cell r="A744">
            <v>358025</v>
          </cell>
          <cell r="AT744">
            <v>0.13333333333333333</v>
          </cell>
        </row>
        <row r="745">
          <cell r="A745">
            <v>358125</v>
          </cell>
          <cell r="AT745">
            <v>0.6</v>
          </cell>
        </row>
        <row r="746">
          <cell r="A746">
            <v>358225</v>
          </cell>
          <cell r="AT746">
            <v>1</v>
          </cell>
        </row>
        <row r="747">
          <cell r="A747">
            <v>358325</v>
          </cell>
          <cell r="AT747">
            <v>1</v>
          </cell>
        </row>
        <row r="748">
          <cell r="A748">
            <v>358425</v>
          </cell>
          <cell r="AT748">
            <v>1</v>
          </cell>
        </row>
        <row r="749">
          <cell r="A749">
            <v>358425</v>
          </cell>
          <cell r="AT749">
            <v>0</v>
          </cell>
        </row>
        <row r="750">
          <cell r="A750">
            <v>358525</v>
          </cell>
          <cell r="AT750">
            <v>1</v>
          </cell>
        </row>
        <row r="751">
          <cell r="A751">
            <v>358625</v>
          </cell>
          <cell r="AT751">
            <v>1</v>
          </cell>
        </row>
        <row r="752">
          <cell r="A752">
            <v>358725</v>
          </cell>
          <cell r="AT752">
            <v>1</v>
          </cell>
        </row>
        <row r="753">
          <cell r="A753">
            <v>358825</v>
          </cell>
          <cell r="AT753">
            <v>1</v>
          </cell>
        </row>
        <row r="754">
          <cell r="A754">
            <v>358925</v>
          </cell>
          <cell r="AT754">
            <v>0</v>
          </cell>
        </row>
        <row r="755">
          <cell r="A755">
            <v>359025</v>
          </cell>
          <cell r="AT755">
            <v>1</v>
          </cell>
        </row>
        <row r="756">
          <cell r="A756">
            <v>359125</v>
          </cell>
          <cell r="AT756">
            <v>0</v>
          </cell>
        </row>
        <row r="757">
          <cell r="A757">
            <v>359225</v>
          </cell>
          <cell r="AT757">
            <v>0.5</v>
          </cell>
        </row>
        <row r="758">
          <cell r="A758">
            <v>359325</v>
          </cell>
          <cell r="AT758">
            <v>0</v>
          </cell>
        </row>
        <row r="759">
          <cell r="A759" t="str">
            <v>359425 - 1</v>
          </cell>
          <cell r="AT759">
            <v>0.13125000000000001</v>
          </cell>
        </row>
        <row r="760">
          <cell r="A760" t="str">
            <v>359425 - 2</v>
          </cell>
          <cell r="AT760">
            <v>0.13125000000000001</v>
          </cell>
        </row>
        <row r="761">
          <cell r="A761" t="str">
            <v>359425 - 3</v>
          </cell>
          <cell r="AT761">
            <v>1.5000000000000003E-2</v>
          </cell>
        </row>
        <row r="762">
          <cell r="A762">
            <v>359525</v>
          </cell>
          <cell r="AT762">
            <v>0</v>
          </cell>
        </row>
        <row r="763">
          <cell r="A763">
            <v>359625</v>
          </cell>
          <cell r="AT763">
            <v>0</v>
          </cell>
        </row>
        <row r="764">
          <cell r="A764">
            <v>359725</v>
          </cell>
          <cell r="AT764">
            <v>0</v>
          </cell>
        </row>
        <row r="765">
          <cell r="A765">
            <v>359825</v>
          </cell>
          <cell r="AT765">
            <v>1</v>
          </cell>
        </row>
        <row r="766">
          <cell r="A766">
            <v>359925</v>
          </cell>
          <cell r="AT766">
            <v>1</v>
          </cell>
        </row>
        <row r="767">
          <cell r="A767">
            <v>360025</v>
          </cell>
          <cell r="AT767">
            <v>1</v>
          </cell>
        </row>
        <row r="768">
          <cell r="A768">
            <v>360125</v>
          </cell>
          <cell r="AT768">
            <v>0.05</v>
          </cell>
        </row>
        <row r="769">
          <cell r="A769">
            <v>360225</v>
          </cell>
          <cell r="AT769">
            <v>1</v>
          </cell>
        </row>
        <row r="770">
          <cell r="A770">
            <v>360325</v>
          </cell>
          <cell r="AT770">
            <v>0.73333333333333328</v>
          </cell>
        </row>
        <row r="771">
          <cell r="A771">
            <v>360425</v>
          </cell>
          <cell r="AT771">
            <v>0</v>
          </cell>
        </row>
        <row r="772">
          <cell r="A772">
            <v>360525</v>
          </cell>
          <cell r="AT772">
            <v>0.61111111111111116</v>
          </cell>
        </row>
        <row r="773">
          <cell r="A773">
            <v>360625</v>
          </cell>
          <cell r="AT773">
            <v>0</v>
          </cell>
        </row>
        <row r="774">
          <cell r="A774">
            <v>360725</v>
          </cell>
          <cell r="AT774">
            <v>1</v>
          </cell>
        </row>
        <row r="775">
          <cell r="A775">
            <v>360825</v>
          </cell>
          <cell r="AT775">
            <v>1</v>
          </cell>
        </row>
        <row r="776">
          <cell r="A776">
            <v>360925</v>
          </cell>
          <cell r="AT776">
            <v>1</v>
          </cell>
        </row>
        <row r="777">
          <cell r="A777">
            <v>361025</v>
          </cell>
          <cell r="AT777">
            <v>0.35714285714285715</v>
          </cell>
        </row>
        <row r="778">
          <cell r="A778">
            <v>361125</v>
          </cell>
          <cell r="AT778">
            <v>0.28928571428571426</v>
          </cell>
        </row>
        <row r="779">
          <cell r="A779">
            <v>361225</v>
          </cell>
          <cell r="AT779">
            <v>1</v>
          </cell>
        </row>
        <row r="780">
          <cell r="A780">
            <v>361325</v>
          </cell>
          <cell r="AT780">
            <v>1</v>
          </cell>
        </row>
        <row r="781">
          <cell r="A781">
            <v>361425</v>
          </cell>
          <cell r="AT781">
            <v>1</v>
          </cell>
        </row>
        <row r="782">
          <cell r="A782">
            <v>361525</v>
          </cell>
          <cell r="AT782">
            <v>0.2857142857142857</v>
          </cell>
        </row>
        <row r="783">
          <cell r="A783">
            <v>361625</v>
          </cell>
          <cell r="AT783">
            <v>1</v>
          </cell>
        </row>
        <row r="784">
          <cell r="A784">
            <v>361725</v>
          </cell>
          <cell r="AT784">
            <v>1</v>
          </cell>
        </row>
        <row r="785">
          <cell r="A785">
            <v>361825</v>
          </cell>
          <cell r="AT785">
            <v>1</v>
          </cell>
        </row>
        <row r="786">
          <cell r="A786">
            <v>361925</v>
          </cell>
          <cell r="AT786">
            <v>1</v>
          </cell>
        </row>
        <row r="787">
          <cell r="A787">
            <v>362025</v>
          </cell>
          <cell r="AT787">
            <v>1</v>
          </cell>
        </row>
        <row r="788">
          <cell r="A788">
            <v>362125</v>
          </cell>
          <cell r="AT788">
            <v>1</v>
          </cell>
        </row>
        <row r="789">
          <cell r="A789">
            <v>362225</v>
          </cell>
          <cell r="AT789">
            <v>1</v>
          </cell>
        </row>
        <row r="790">
          <cell r="A790">
            <v>362325</v>
          </cell>
          <cell r="AT790">
            <v>1</v>
          </cell>
        </row>
        <row r="791">
          <cell r="A791">
            <v>362325</v>
          </cell>
          <cell r="AT791">
            <v>0</v>
          </cell>
        </row>
        <row r="792">
          <cell r="A792">
            <v>362425</v>
          </cell>
          <cell r="AT792">
            <v>0.35499999999999998</v>
          </cell>
        </row>
        <row r="793">
          <cell r="A793">
            <v>362525</v>
          </cell>
          <cell r="AT793">
            <v>0</v>
          </cell>
        </row>
        <row r="794">
          <cell r="A794">
            <v>362625</v>
          </cell>
          <cell r="AT794">
            <v>1</v>
          </cell>
        </row>
        <row r="795">
          <cell r="A795">
            <v>362725</v>
          </cell>
          <cell r="AT795">
            <v>1</v>
          </cell>
        </row>
        <row r="796">
          <cell r="A796">
            <v>362825</v>
          </cell>
          <cell r="AT796">
            <v>0</v>
          </cell>
        </row>
        <row r="797">
          <cell r="A797">
            <v>362925</v>
          </cell>
          <cell r="AT797">
            <v>0</v>
          </cell>
        </row>
        <row r="798">
          <cell r="A798">
            <v>363025</v>
          </cell>
          <cell r="AT798">
            <v>0</v>
          </cell>
        </row>
        <row r="799">
          <cell r="A799">
            <v>363125</v>
          </cell>
          <cell r="AT799">
            <v>0.8125</v>
          </cell>
        </row>
        <row r="800">
          <cell r="A800">
            <v>363225</v>
          </cell>
          <cell r="AT800">
            <v>0.43214285714285711</v>
          </cell>
        </row>
        <row r="801">
          <cell r="A801">
            <v>363325</v>
          </cell>
          <cell r="AT801">
            <v>0.43214285714285711</v>
          </cell>
        </row>
        <row r="802">
          <cell r="A802">
            <v>363425</v>
          </cell>
          <cell r="AT802">
            <v>0.43214285714285711</v>
          </cell>
        </row>
        <row r="803">
          <cell r="A803">
            <v>363525</v>
          </cell>
          <cell r="AT803">
            <v>1</v>
          </cell>
        </row>
        <row r="804">
          <cell r="A804">
            <v>363625</v>
          </cell>
          <cell r="AT804">
            <v>0.505</v>
          </cell>
        </row>
        <row r="805">
          <cell r="A805">
            <v>363725</v>
          </cell>
          <cell r="AT805">
            <v>1</v>
          </cell>
        </row>
        <row r="806">
          <cell r="A806">
            <v>363825</v>
          </cell>
          <cell r="AT806">
            <v>1</v>
          </cell>
        </row>
        <row r="807">
          <cell r="A807">
            <v>363925</v>
          </cell>
          <cell r="AT807">
            <v>1</v>
          </cell>
        </row>
        <row r="808">
          <cell r="A808">
            <v>364025</v>
          </cell>
          <cell r="AT808">
            <v>1</v>
          </cell>
        </row>
        <row r="809">
          <cell r="A809">
            <v>364125</v>
          </cell>
          <cell r="AT809">
            <v>1</v>
          </cell>
        </row>
        <row r="810">
          <cell r="A810">
            <v>364225</v>
          </cell>
          <cell r="AT810">
            <v>0</v>
          </cell>
        </row>
        <row r="811">
          <cell r="A811">
            <v>364325</v>
          </cell>
          <cell r="AT811">
            <v>1</v>
          </cell>
        </row>
        <row r="812">
          <cell r="A812">
            <v>364425</v>
          </cell>
          <cell r="AT812">
            <v>0.52380952380952384</v>
          </cell>
        </row>
        <row r="813">
          <cell r="A813">
            <v>364525</v>
          </cell>
          <cell r="AT813">
            <v>0</v>
          </cell>
        </row>
        <row r="814">
          <cell r="A814">
            <v>364625</v>
          </cell>
          <cell r="AT814">
            <v>0.16666666666666666</v>
          </cell>
        </row>
        <row r="815">
          <cell r="A815">
            <v>364725</v>
          </cell>
          <cell r="AT815">
            <v>0</v>
          </cell>
        </row>
        <row r="816">
          <cell r="A816">
            <v>364825</v>
          </cell>
          <cell r="AT816">
            <v>0</v>
          </cell>
        </row>
        <row r="817">
          <cell r="A817">
            <v>364925</v>
          </cell>
          <cell r="AT817">
            <v>0.16666666666666666</v>
          </cell>
        </row>
        <row r="818">
          <cell r="A818">
            <v>365025</v>
          </cell>
          <cell r="AT818">
            <v>0</v>
          </cell>
        </row>
        <row r="819">
          <cell r="A819">
            <v>365125</v>
          </cell>
          <cell r="AT819">
            <v>0</v>
          </cell>
        </row>
        <row r="820">
          <cell r="A820">
            <v>365225</v>
          </cell>
          <cell r="AT820">
            <v>0</v>
          </cell>
        </row>
        <row r="821">
          <cell r="A821">
            <v>365325</v>
          </cell>
          <cell r="AT821">
            <v>1</v>
          </cell>
        </row>
        <row r="822">
          <cell r="A822">
            <v>365425</v>
          </cell>
          <cell r="AT822">
            <v>0</v>
          </cell>
        </row>
        <row r="823">
          <cell r="A823">
            <v>365525</v>
          </cell>
          <cell r="AT823">
            <v>0</v>
          </cell>
        </row>
        <row r="824">
          <cell r="A824">
            <v>365625</v>
          </cell>
          <cell r="AT824">
            <v>0.40909090909090912</v>
          </cell>
        </row>
        <row r="825">
          <cell r="A825">
            <v>365725</v>
          </cell>
          <cell r="AT825">
            <v>0.5</v>
          </cell>
        </row>
        <row r="826">
          <cell r="A826">
            <v>365825</v>
          </cell>
          <cell r="AT826">
            <v>0</v>
          </cell>
        </row>
        <row r="827">
          <cell r="A827">
            <v>365925</v>
          </cell>
          <cell r="AT827">
            <v>0.31818181818181818</v>
          </cell>
        </row>
        <row r="828">
          <cell r="A828">
            <v>366025</v>
          </cell>
          <cell r="AT828">
            <v>0.36071428571428571</v>
          </cell>
        </row>
        <row r="829">
          <cell r="A829">
            <v>366125</v>
          </cell>
          <cell r="AT829">
            <v>0.45833333333333331</v>
          </cell>
        </row>
        <row r="830">
          <cell r="A830">
            <v>366225</v>
          </cell>
          <cell r="AT830">
            <v>0.37916666666666665</v>
          </cell>
        </row>
        <row r="831">
          <cell r="A831">
            <v>366325</v>
          </cell>
          <cell r="AT831">
            <v>0.56562500000000004</v>
          </cell>
        </row>
        <row r="832">
          <cell r="A832">
            <v>366425</v>
          </cell>
          <cell r="AT832">
            <v>0</v>
          </cell>
        </row>
        <row r="833">
          <cell r="A833">
            <v>366525</v>
          </cell>
          <cell r="AT833">
            <v>0.28928571428571426</v>
          </cell>
        </row>
        <row r="834">
          <cell r="A834">
            <v>366625</v>
          </cell>
          <cell r="AT834">
            <v>0.18214285714285713</v>
          </cell>
        </row>
        <row r="835">
          <cell r="A835">
            <v>366725</v>
          </cell>
          <cell r="AT835">
            <v>0</v>
          </cell>
        </row>
        <row r="836">
          <cell r="A836">
            <v>366825</v>
          </cell>
          <cell r="AT836">
            <v>0</v>
          </cell>
        </row>
        <row r="837">
          <cell r="A837">
            <v>366925</v>
          </cell>
          <cell r="AT837">
            <v>0</v>
          </cell>
        </row>
        <row r="838">
          <cell r="A838">
            <v>367025</v>
          </cell>
          <cell r="AT838">
            <v>0</v>
          </cell>
        </row>
        <row r="839">
          <cell r="A839">
            <v>367125</v>
          </cell>
          <cell r="AT839">
            <v>8.1578947368421056E-2</v>
          </cell>
        </row>
        <row r="840">
          <cell r="A840">
            <v>367225</v>
          </cell>
          <cell r="AT840">
            <v>0</v>
          </cell>
        </row>
        <row r="841">
          <cell r="A841">
            <v>367325</v>
          </cell>
          <cell r="AT841">
            <v>0</v>
          </cell>
        </row>
        <row r="842">
          <cell r="A842">
            <v>367425</v>
          </cell>
          <cell r="AT842">
            <v>0</v>
          </cell>
        </row>
        <row r="843">
          <cell r="A843">
            <v>367525</v>
          </cell>
          <cell r="AT843">
            <v>0</v>
          </cell>
        </row>
        <row r="844">
          <cell r="A844">
            <v>367625</v>
          </cell>
          <cell r="AT844">
            <v>0</v>
          </cell>
        </row>
        <row r="845">
          <cell r="A845">
            <v>367725</v>
          </cell>
          <cell r="AT845">
            <v>0.06</v>
          </cell>
        </row>
        <row r="846">
          <cell r="A846">
            <v>367825</v>
          </cell>
          <cell r="AT846">
            <v>0</v>
          </cell>
        </row>
        <row r="847">
          <cell r="A847">
            <v>367925</v>
          </cell>
          <cell r="AT847">
            <v>0</v>
          </cell>
        </row>
        <row r="848">
          <cell r="A848">
            <v>368025</v>
          </cell>
          <cell r="AT848">
            <v>8.3333333333333329E-2</v>
          </cell>
        </row>
        <row r="849">
          <cell r="A849">
            <v>368125</v>
          </cell>
          <cell r="AT849">
            <v>0.1409090909090909</v>
          </cell>
        </row>
        <row r="850">
          <cell r="A850">
            <v>368225</v>
          </cell>
          <cell r="AT850">
            <v>0.31842105263157894</v>
          </cell>
        </row>
        <row r="851">
          <cell r="A851">
            <v>368325</v>
          </cell>
          <cell r="AT851">
            <v>0.155</v>
          </cell>
        </row>
        <row r="852">
          <cell r="A852">
            <v>368425</v>
          </cell>
          <cell r="AT852">
            <v>0.29411764705882354</v>
          </cell>
        </row>
        <row r="853">
          <cell r="A853">
            <v>368525</v>
          </cell>
          <cell r="AT853">
            <v>0.19285714285714284</v>
          </cell>
        </row>
        <row r="854">
          <cell r="A854">
            <v>368625</v>
          </cell>
          <cell r="AT854">
            <v>0.6</v>
          </cell>
        </row>
        <row r="855">
          <cell r="A855">
            <v>368726</v>
          </cell>
          <cell r="AT855">
            <v>0.18214285714285713</v>
          </cell>
        </row>
        <row r="856">
          <cell r="A856">
            <v>368826</v>
          </cell>
          <cell r="AT856">
            <v>0.255</v>
          </cell>
        </row>
        <row r="857">
          <cell r="A857">
            <v>368926</v>
          </cell>
          <cell r="AT857">
            <v>0.35</v>
          </cell>
        </row>
        <row r="858">
          <cell r="A858">
            <v>369026</v>
          </cell>
          <cell r="AT858">
            <v>0</v>
          </cell>
        </row>
        <row r="859">
          <cell r="A859">
            <v>369126</v>
          </cell>
          <cell r="AT859">
            <v>0.05</v>
          </cell>
        </row>
        <row r="860">
          <cell r="A860">
            <v>369226</v>
          </cell>
          <cell r="AT860">
            <v>0.12916666666666668</v>
          </cell>
        </row>
        <row r="861">
          <cell r="A861">
            <v>369326</v>
          </cell>
          <cell r="AT861">
            <v>5.5555555555555552E-2</v>
          </cell>
        </row>
        <row r="862">
          <cell r="A862">
            <v>369426</v>
          </cell>
          <cell r="AT862">
            <v>5.5555555555555552E-2</v>
          </cell>
        </row>
        <row r="863">
          <cell r="A863">
            <v>369526</v>
          </cell>
          <cell r="AT863">
            <v>0.6</v>
          </cell>
        </row>
        <row r="864">
          <cell r="A864">
            <v>369626</v>
          </cell>
          <cell r="AT864">
            <v>0.18571428571428572</v>
          </cell>
        </row>
        <row r="865">
          <cell r="A865">
            <v>369726</v>
          </cell>
          <cell r="AT865">
            <v>0.45</v>
          </cell>
        </row>
        <row r="866">
          <cell r="A866">
            <v>369826</v>
          </cell>
          <cell r="AT866">
            <v>0.15</v>
          </cell>
        </row>
        <row r="867">
          <cell r="A867">
            <v>369926</v>
          </cell>
          <cell r="AT867">
            <v>0.15</v>
          </cell>
        </row>
        <row r="868">
          <cell r="A868">
            <v>370026</v>
          </cell>
          <cell r="AT868">
            <v>0.15</v>
          </cell>
        </row>
        <row r="869">
          <cell r="A869">
            <v>370126</v>
          </cell>
          <cell r="AT869">
            <v>0.43214285714285711</v>
          </cell>
        </row>
        <row r="870">
          <cell r="A870">
            <v>370226</v>
          </cell>
          <cell r="AT870">
            <v>0.17857142857142858</v>
          </cell>
        </row>
        <row r="871">
          <cell r="A871">
            <v>370326</v>
          </cell>
          <cell r="AT871">
            <v>0.14642857142857141</v>
          </cell>
        </row>
        <row r="872">
          <cell r="A872">
            <v>370426</v>
          </cell>
          <cell r="AT872">
            <v>7.1428571428571425E-2</v>
          </cell>
        </row>
        <row r="873">
          <cell r="A873">
            <v>370526</v>
          </cell>
          <cell r="AT873">
            <v>0.18214285714285713</v>
          </cell>
        </row>
        <row r="874">
          <cell r="A874">
            <v>370626</v>
          </cell>
          <cell r="AT874">
            <v>0.35</v>
          </cell>
        </row>
        <row r="875">
          <cell r="AT875">
            <v>0.11000000000000001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7E89-97D2-47EA-9B6C-BEA2B69A8E79}">
  <sheetPr>
    <pageSetUpPr fitToPage="1"/>
  </sheetPr>
  <dimension ref="A1:O102"/>
  <sheetViews>
    <sheetView zoomScaleNormal="100" workbookViewId="0">
      <selection activeCell="C33" sqref="C33"/>
    </sheetView>
  </sheetViews>
  <sheetFormatPr baseColWidth="10" defaultColWidth="11.5703125" defaultRowHeight="12.75" x14ac:dyDescent="0.2"/>
  <cols>
    <col min="1" max="1" width="5.28515625" style="3" customWidth="1"/>
    <col min="2" max="2" width="13.5703125" style="1" customWidth="1"/>
    <col min="3" max="3" width="14.42578125" customWidth="1"/>
    <col min="4" max="4" width="13.5703125" style="1" customWidth="1"/>
    <col min="5" max="5" width="8" style="1" customWidth="1"/>
    <col min="6" max="6" width="11.85546875" style="2" customWidth="1"/>
    <col min="7" max="7" width="10.140625" customWidth="1"/>
    <col min="8" max="8" width="39.85546875" bestFit="1" customWidth="1"/>
    <col min="10" max="10" width="39.5703125" style="49" customWidth="1"/>
    <col min="11" max="11" width="11" customWidth="1"/>
    <col min="13" max="13" width="14" bestFit="1" customWidth="1"/>
    <col min="15" max="15" width="39" bestFit="1" customWidth="1"/>
  </cols>
  <sheetData>
    <row r="1" spans="1:15" ht="12.75" customHeight="1" x14ac:dyDescent="0.2">
      <c r="A1" s="108" t="s">
        <v>0</v>
      </c>
      <c r="B1" s="111" t="s">
        <v>1</v>
      </c>
      <c r="C1" s="112">
        <v>2</v>
      </c>
      <c r="G1" s="113" t="s">
        <v>2</v>
      </c>
      <c r="H1" s="114"/>
      <c r="I1" s="114"/>
      <c r="J1" s="114"/>
      <c r="K1" s="101" t="s">
        <v>3</v>
      </c>
      <c r="L1" s="123">
        <f>COUNTA(_xlfn.UNIQUE(G6:G84))-2</f>
        <v>42</v>
      </c>
      <c r="M1" s="101" t="s">
        <v>4</v>
      </c>
      <c r="N1" s="103">
        <f>AVERAGE(N11,N20,N30,N37,N43,N49,N58,N73,N6)</f>
        <v>0</v>
      </c>
      <c r="O1" s="104"/>
    </row>
    <row r="2" spans="1:15" ht="13.5" thickBot="1" x14ac:dyDescent="0.25">
      <c r="A2" s="109"/>
      <c r="B2" s="111"/>
      <c r="C2" s="112"/>
      <c r="G2" s="115"/>
      <c r="H2" s="116"/>
      <c r="I2" s="116"/>
      <c r="J2" s="116"/>
      <c r="K2" s="102"/>
      <c r="L2" s="123"/>
      <c r="M2" s="102"/>
      <c r="N2" s="103"/>
      <c r="O2" s="105"/>
    </row>
    <row r="3" spans="1:15" ht="27.6" customHeight="1" x14ac:dyDescent="0.2">
      <c r="A3" s="109"/>
      <c r="B3" s="117" t="s">
        <v>5</v>
      </c>
      <c r="C3" s="119" t="s">
        <v>6</v>
      </c>
      <c r="D3" s="117" t="s">
        <v>7</v>
      </c>
      <c r="E3" s="117" t="s">
        <v>8</v>
      </c>
      <c r="F3" s="121" t="s">
        <v>9</v>
      </c>
      <c r="G3" s="106" t="s">
        <v>10</v>
      </c>
      <c r="H3" s="106" t="s">
        <v>11</v>
      </c>
      <c r="I3" s="106" t="s">
        <v>12</v>
      </c>
      <c r="J3" s="119" t="s">
        <v>13</v>
      </c>
      <c r="K3" s="97" t="s">
        <v>14</v>
      </c>
      <c r="L3" s="97" t="s">
        <v>15</v>
      </c>
      <c r="M3" s="97" t="s">
        <v>16</v>
      </c>
      <c r="N3" s="97" t="s">
        <v>17</v>
      </c>
      <c r="O3" s="99" t="s">
        <v>18</v>
      </c>
    </row>
    <row r="4" spans="1:15" ht="29.25" customHeight="1" thickBot="1" x14ac:dyDescent="0.25">
      <c r="A4" s="110"/>
      <c r="B4" s="118"/>
      <c r="C4" s="120"/>
      <c r="D4" s="118"/>
      <c r="E4" s="118"/>
      <c r="F4" s="122"/>
      <c r="G4" s="107"/>
      <c r="H4" s="107"/>
      <c r="I4" s="124"/>
      <c r="J4" s="120"/>
      <c r="K4" s="98"/>
      <c r="L4" s="98"/>
      <c r="M4" s="98"/>
      <c r="N4" s="98"/>
      <c r="O4" s="100"/>
    </row>
    <row r="5" spans="1:15" ht="13.5" thickTop="1" x14ac:dyDescent="0.2">
      <c r="A5" s="4"/>
      <c r="B5" s="5"/>
      <c r="C5" s="6"/>
      <c r="D5" s="5"/>
      <c r="E5" s="5"/>
      <c r="F5" s="7"/>
      <c r="G5" s="6"/>
      <c r="H5" s="6"/>
      <c r="I5" s="8"/>
      <c r="J5" s="9"/>
      <c r="K5" s="10"/>
      <c r="L5" s="10"/>
      <c r="M5" s="11"/>
      <c r="N5" s="12"/>
      <c r="O5" s="13"/>
    </row>
    <row r="6" spans="1:15" x14ac:dyDescent="0.2">
      <c r="A6" s="14" t="s">
        <v>19</v>
      </c>
      <c r="B6" s="15"/>
      <c r="C6" s="16">
        <v>45985</v>
      </c>
      <c r="D6" s="16">
        <f>C6</f>
        <v>45985</v>
      </c>
      <c r="E6" s="15"/>
      <c r="F6" s="17"/>
      <c r="G6" s="18"/>
      <c r="H6" s="18" t="s">
        <v>20</v>
      </c>
      <c r="I6" s="19"/>
      <c r="J6" s="20"/>
      <c r="K6" s="21">
        <v>46027</v>
      </c>
      <c r="L6" s="21">
        <v>46031</v>
      </c>
      <c r="M6" s="22"/>
      <c r="N6" s="23">
        <f>AVERAGE(N7:N10)</f>
        <v>0</v>
      </c>
      <c r="O6" s="24"/>
    </row>
    <row r="7" spans="1:15" ht="24" customHeight="1" x14ac:dyDescent="0.2">
      <c r="A7" s="25" t="s">
        <v>21</v>
      </c>
      <c r="B7" s="26">
        <f>_xlfn.XLOOKUP(G7,'[1]Base de datos'!$A:$A,'[1]Base de datos'!$X:$X)</f>
        <v>45975</v>
      </c>
      <c r="C7" s="25" t="s">
        <v>196</v>
      </c>
      <c r="D7" s="25" t="s">
        <v>196</v>
      </c>
      <c r="E7" s="27" t="s">
        <v>22</v>
      </c>
      <c r="F7" s="28">
        <f>_xlfn.XLOOKUP(G7,[2]PLANEAMIENTO!$A:$A,[2]PLANEAMIENTO!$AT:$AT)</f>
        <v>0.61111111111111116</v>
      </c>
      <c r="G7" s="4">
        <v>360525</v>
      </c>
      <c r="H7" s="4" t="s">
        <v>27</v>
      </c>
      <c r="I7" s="8" t="s">
        <v>28</v>
      </c>
      <c r="J7" s="29" t="s">
        <v>125</v>
      </c>
      <c r="K7" s="30" t="s">
        <v>128</v>
      </c>
      <c r="L7" s="31" t="s">
        <v>129</v>
      </c>
      <c r="M7" s="32" t="s">
        <v>25</v>
      </c>
      <c r="N7" s="33">
        <v>0</v>
      </c>
      <c r="O7" s="34"/>
    </row>
    <row r="8" spans="1:15" ht="25.5" x14ac:dyDescent="0.2">
      <c r="A8" s="25" t="s">
        <v>26</v>
      </c>
      <c r="B8" s="26">
        <f>_xlfn.XLOOKUP(G8,'[1]Base de datos'!$A:$A,'[1]Base de datos'!$X:$X)</f>
        <v>46007</v>
      </c>
      <c r="C8" s="25" t="s">
        <v>196</v>
      </c>
      <c r="D8" s="25" t="s">
        <v>196</v>
      </c>
      <c r="E8" s="27" t="s">
        <v>22</v>
      </c>
      <c r="F8" s="28">
        <f>_xlfn.XLOOKUP(G8,[2]PLANEAMIENTO!$A:$A,[2]PLANEAMIENTO!$AT:$AT)</f>
        <v>0</v>
      </c>
      <c r="G8" s="4">
        <v>365525</v>
      </c>
      <c r="H8" s="4" t="s">
        <v>23</v>
      </c>
      <c r="I8" s="8" t="s">
        <v>24</v>
      </c>
      <c r="J8" s="35" t="s">
        <v>126</v>
      </c>
      <c r="K8" s="36" t="s">
        <v>128</v>
      </c>
      <c r="L8" s="36" t="s">
        <v>128</v>
      </c>
      <c r="M8" s="32" t="s">
        <v>25</v>
      </c>
      <c r="N8" s="33">
        <v>0</v>
      </c>
      <c r="O8" s="13"/>
    </row>
    <row r="9" spans="1:15" ht="25.5" x14ac:dyDescent="0.2">
      <c r="A9" s="25" t="s">
        <v>29</v>
      </c>
      <c r="B9" s="26">
        <f>_xlfn.XLOOKUP(G9,'[1]Base de datos'!$A:$A,'[1]Base de datos'!$X:$X)</f>
        <v>45980</v>
      </c>
      <c r="C9" s="25" t="s">
        <v>196</v>
      </c>
      <c r="D9" s="25" t="s">
        <v>196</v>
      </c>
      <c r="E9" s="27" t="s">
        <v>22</v>
      </c>
      <c r="F9" s="28">
        <f>_xlfn.XLOOKUP(G9,[2]PLANEAMIENTO!$A:$A,[2]PLANEAMIENTO!$AT:$AT)</f>
        <v>0.2857142857142857</v>
      </c>
      <c r="G9" s="4">
        <v>361525</v>
      </c>
      <c r="H9" s="4" t="s">
        <v>32</v>
      </c>
      <c r="I9" s="8" t="s">
        <v>33</v>
      </c>
      <c r="J9" s="35" t="s">
        <v>127</v>
      </c>
      <c r="K9" s="36" t="s">
        <v>129</v>
      </c>
      <c r="L9" s="36" t="s">
        <v>130</v>
      </c>
      <c r="M9" s="32" t="s">
        <v>25</v>
      </c>
      <c r="N9" s="33">
        <v>0</v>
      </c>
      <c r="O9" s="13"/>
    </row>
    <row r="10" spans="1:15" ht="25.5" x14ac:dyDescent="0.2">
      <c r="A10" s="25" t="s">
        <v>31</v>
      </c>
      <c r="B10" s="26">
        <f>_xlfn.XLOOKUP(G10,'[1]Base de datos'!$A:$A,'[1]Base de datos'!$X:$X)</f>
        <v>45975</v>
      </c>
      <c r="C10" s="25" t="s">
        <v>196</v>
      </c>
      <c r="D10" s="25" t="s">
        <v>196</v>
      </c>
      <c r="E10" s="27" t="s">
        <v>22</v>
      </c>
      <c r="F10" s="28">
        <f>_xlfn.XLOOKUP(G10,[2]PLANEAMIENTO!$A:$A,[2]PLANEAMIENTO!$AT:$AT)</f>
        <v>0.61111111111111116</v>
      </c>
      <c r="G10" s="4">
        <v>360525</v>
      </c>
      <c r="H10" s="4" t="s">
        <v>27</v>
      </c>
      <c r="I10" s="4" t="s">
        <v>28</v>
      </c>
      <c r="J10" s="35" t="s">
        <v>127</v>
      </c>
      <c r="K10" s="36" t="s">
        <v>130</v>
      </c>
      <c r="L10" s="36" t="s">
        <v>131</v>
      </c>
      <c r="M10" s="32" t="s">
        <v>25</v>
      </c>
      <c r="N10" s="33">
        <v>0</v>
      </c>
      <c r="O10" s="13"/>
    </row>
    <row r="11" spans="1:15" x14ac:dyDescent="0.2">
      <c r="A11" s="14" t="s">
        <v>35</v>
      </c>
      <c r="B11" s="37"/>
      <c r="C11" s="14"/>
      <c r="D11" s="38"/>
      <c r="E11" s="38"/>
      <c r="F11" s="17"/>
      <c r="G11" s="14"/>
      <c r="H11" s="14" t="s">
        <v>36</v>
      </c>
      <c r="I11" s="19"/>
      <c r="J11" s="39"/>
      <c r="K11" s="40">
        <f>$K$6</f>
        <v>46027</v>
      </c>
      <c r="L11" s="40">
        <f>$L$6</f>
        <v>46031</v>
      </c>
      <c r="M11" s="41"/>
      <c r="N11" s="42">
        <f>AVERAGE(N12:N19)</f>
        <v>0</v>
      </c>
      <c r="O11" s="24"/>
    </row>
    <row r="12" spans="1:15" ht="25.5" x14ac:dyDescent="0.2">
      <c r="A12" s="25" t="s">
        <v>37</v>
      </c>
      <c r="B12" s="26">
        <f>_xlfn.XLOOKUP(G12,'[1]Base de datos'!$A:$A,'[1]Base de datos'!$X:$X)</f>
        <v>46002</v>
      </c>
      <c r="C12" s="25" t="s">
        <v>196</v>
      </c>
      <c r="D12" s="25" t="s">
        <v>196</v>
      </c>
      <c r="E12" s="27" t="s">
        <v>22</v>
      </c>
      <c r="F12" s="28">
        <f>_xlfn.XLOOKUP(G12,[2]PLANEAMIENTO!$A:$A,[2]PLANEAMIENTO!$AT:$AT)</f>
        <v>0.52380952380952384</v>
      </c>
      <c r="G12" s="25">
        <v>364425</v>
      </c>
      <c r="H12" s="25" t="s">
        <v>44</v>
      </c>
      <c r="I12" s="43" t="s">
        <v>45</v>
      </c>
      <c r="J12" s="29" t="s">
        <v>132</v>
      </c>
      <c r="K12" s="31" t="s">
        <v>30</v>
      </c>
      <c r="L12" s="31" t="s">
        <v>34</v>
      </c>
      <c r="M12" s="32" t="s">
        <v>40</v>
      </c>
      <c r="N12" s="33">
        <v>0</v>
      </c>
      <c r="O12" s="34"/>
    </row>
    <row r="13" spans="1:15" ht="25.5" x14ac:dyDescent="0.2">
      <c r="A13" s="25" t="s">
        <v>41</v>
      </c>
      <c r="B13" s="26"/>
      <c r="C13" s="25"/>
      <c r="D13" s="25"/>
      <c r="E13" s="27" t="s">
        <v>22</v>
      </c>
      <c r="F13" s="28"/>
      <c r="G13" s="44" t="s">
        <v>133</v>
      </c>
      <c r="H13" s="25"/>
      <c r="I13" s="43"/>
      <c r="J13" s="29" t="s">
        <v>132</v>
      </c>
      <c r="K13" s="31" t="s">
        <v>34</v>
      </c>
      <c r="L13" s="31" t="s">
        <v>142</v>
      </c>
      <c r="M13" s="32" t="s">
        <v>40</v>
      </c>
      <c r="N13" s="33">
        <v>0</v>
      </c>
      <c r="O13" s="34"/>
    </row>
    <row r="14" spans="1:15" ht="25.5" x14ac:dyDescent="0.2">
      <c r="A14" s="25" t="s">
        <v>43</v>
      </c>
      <c r="B14" s="26">
        <f>_xlfn.XLOOKUP(G14,'[1]Base de datos'!$A:$A,'[1]Base de datos'!$X:$X)</f>
        <v>46021</v>
      </c>
      <c r="C14" s="25" t="s">
        <v>196</v>
      </c>
      <c r="D14" s="25" t="s">
        <v>196</v>
      </c>
      <c r="E14" s="27" t="s">
        <v>22</v>
      </c>
      <c r="F14" s="28">
        <f>_xlfn.XLOOKUP(G14,[2]PLANEAMIENTO!$A:$A,[2]PLANEAMIENTO!$AT:$AT)</f>
        <v>0.31842105263157894</v>
      </c>
      <c r="G14" s="25">
        <v>368225</v>
      </c>
      <c r="H14" s="29" t="s">
        <v>139</v>
      </c>
      <c r="I14" s="43">
        <v>24</v>
      </c>
      <c r="J14" s="29" t="s">
        <v>134</v>
      </c>
      <c r="K14" s="31" t="s">
        <v>142</v>
      </c>
      <c r="L14" s="31" t="s">
        <v>142</v>
      </c>
      <c r="M14" s="32" t="s">
        <v>40</v>
      </c>
      <c r="N14" s="33">
        <v>0</v>
      </c>
      <c r="O14" s="34"/>
    </row>
    <row r="15" spans="1:15" x14ac:dyDescent="0.2">
      <c r="A15" s="25" t="s">
        <v>46</v>
      </c>
      <c r="B15" s="26">
        <f>_xlfn.XLOOKUP(G15,'[1]Base de datos'!$A:$A,'[1]Base de datos'!$X:$X)</f>
        <v>46002</v>
      </c>
      <c r="C15" s="25" t="s">
        <v>196</v>
      </c>
      <c r="D15" s="25" t="s">
        <v>196</v>
      </c>
      <c r="E15" s="27" t="s">
        <v>22</v>
      </c>
      <c r="F15" s="28">
        <f>_xlfn.XLOOKUP(G15,[2]PLANEAMIENTO!$A:$A,[2]PLANEAMIENTO!$AT:$AT)</f>
        <v>0.52380952380952384</v>
      </c>
      <c r="G15" s="25">
        <v>364425</v>
      </c>
      <c r="H15" s="29" t="s">
        <v>44</v>
      </c>
      <c r="I15" s="43" t="s">
        <v>45</v>
      </c>
      <c r="J15" s="29" t="s">
        <v>135</v>
      </c>
      <c r="K15" s="31" t="s">
        <v>142</v>
      </c>
      <c r="L15" s="31" t="s">
        <v>143</v>
      </c>
      <c r="M15" s="32" t="s">
        <v>40</v>
      </c>
      <c r="N15" s="33">
        <v>0</v>
      </c>
      <c r="O15" s="34"/>
    </row>
    <row r="16" spans="1:15" x14ac:dyDescent="0.2">
      <c r="A16" s="25" t="s">
        <v>47</v>
      </c>
      <c r="B16" s="26">
        <f>_xlfn.XLOOKUP(G16,'[1]Base de datos'!$A:$A,'[1]Base de datos'!$X:$X)</f>
        <v>46021</v>
      </c>
      <c r="C16" s="25" t="s">
        <v>196</v>
      </c>
      <c r="D16" s="25" t="s">
        <v>196</v>
      </c>
      <c r="E16" s="27" t="s">
        <v>22</v>
      </c>
      <c r="F16" s="28">
        <f>_xlfn.XLOOKUP(G16,[2]PLANEAMIENTO!$A:$A,[2]PLANEAMIENTO!$AT:$AT)</f>
        <v>0.29411764705882354</v>
      </c>
      <c r="G16" s="25">
        <v>368425</v>
      </c>
      <c r="H16" s="29" t="s">
        <v>44</v>
      </c>
      <c r="I16" s="43" t="s">
        <v>140</v>
      </c>
      <c r="J16" s="29" t="s">
        <v>136</v>
      </c>
      <c r="K16" s="31" t="s">
        <v>143</v>
      </c>
      <c r="L16" s="31" t="s">
        <v>143</v>
      </c>
      <c r="M16" s="32" t="s">
        <v>40</v>
      </c>
      <c r="N16" s="33">
        <v>0</v>
      </c>
      <c r="O16" s="34"/>
    </row>
    <row r="17" spans="1:15" x14ac:dyDescent="0.2">
      <c r="A17" s="25" t="s">
        <v>146</v>
      </c>
      <c r="B17" s="26">
        <f>_xlfn.XLOOKUP(G17,'[1]Base de datos'!$A:$A,'[1]Base de datos'!$X:$X)</f>
        <v>46021</v>
      </c>
      <c r="C17" s="25" t="s">
        <v>196</v>
      </c>
      <c r="D17" s="25" t="s">
        <v>196</v>
      </c>
      <c r="E17" s="27" t="s">
        <v>22</v>
      </c>
      <c r="F17" s="28">
        <f>_xlfn.XLOOKUP(G17,[2]PLANEAMIENTO!$A:$A,[2]PLANEAMIENTO!$AT:$AT)</f>
        <v>0.19285714285714284</v>
      </c>
      <c r="G17" s="25">
        <v>368525</v>
      </c>
      <c r="H17" s="29" t="s">
        <v>44</v>
      </c>
      <c r="I17" s="43" t="s">
        <v>106</v>
      </c>
      <c r="J17" s="29" t="s">
        <v>136</v>
      </c>
      <c r="K17" s="31" t="s">
        <v>143</v>
      </c>
      <c r="L17" s="31" t="s">
        <v>144</v>
      </c>
      <c r="M17" s="32" t="s">
        <v>40</v>
      </c>
      <c r="N17" s="33">
        <v>0</v>
      </c>
      <c r="O17" s="34"/>
    </row>
    <row r="18" spans="1:15" x14ac:dyDescent="0.2">
      <c r="A18" s="25" t="s">
        <v>147</v>
      </c>
      <c r="B18" s="26">
        <f>_xlfn.XLOOKUP(G18,'[1]Base de datos'!$A:$A,'[1]Base de datos'!$X:$X)</f>
        <v>46021</v>
      </c>
      <c r="C18" s="25" t="s">
        <v>196</v>
      </c>
      <c r="D18" s="25" t="s">
        <v>196</v>
      </c>
      <c r="E18" s="27" t="s">
        <v>22</v>
      </c>
      <c r="F18" s="28">
        <f>_xlfn.XLOOKUP(G18,[2]PLANEAMIENTO!$A:$A,[2]PLANEAMIENTO!$AT:$AT)</f>
        <v>0.31842105263157894</v>
      </c>
      <c r="G18" s="25">
        <v>368225</v>
      </c>
      <c r="H18" s="29" t="s">
        <v>139</v>
      </c>
      <c r="I18" s="43">
        <v>24</v>
      </c>
      <c r="J18" s="29" t="s">
        <v>137</v>
      </c>
      <c r="K18" s="31" t="s">
        <v>144</v>
      </c>
      <c r="L18" s="31" t="s">
        <v>144</v>
      </c>
      <c r="M18" s="32" t="s">
        <v>40</v>
      </c>
      <c r="N18" s="33">
        <v>0</v>
      </c>
      <c r="O18" s="34"/>
    </row>
    <row r="19" spans="1:15" x14ac:dyDescent="0.2">
      <c r="A19" s="25" t="s">
        <v>148</v>
      </c>
      <c r="B19" s="26">
        <f>_xlfn.XLOOKUP(G19,'[1]Base de datos'!$A:$A,'[1]Base de datos'!$X:$X)</f>
        <v>46013</v>
      </c>
      <c r="C19" s="25" t="s">
        <v>196</v>
      </c>
      <c r="D19" s="25" t="s">
        <v>196</v>
      </c>
      <c r="E19" s="27" t="s">
        <v>22</v>
      </c>
      <c r="F19" s="28">
        <f>_xlfn.XLOOKUP(G19,[2]PLANEAMIENTO!$A:$A,[2]PLANEAMIENTO!$AT:$AT)</f>
        <v>0.31818181818181818</v>
      </c>
      <c r="G19" s="25">
        <v>365925</v>
      </c>
      <c r="H19" s="29" t="s">
        <v>44</v>
      </c>
      <c r="I19" s="43" t="s">
        <v>141</v>
      </c>
      <c r="J19" s="29" t="s">
        <v>138</v>
      </c>
      <c r="K19" s="31" t="s">
        <v>144</v>
      </c>
      <c r="L19" s="31" t="s">
        <v>145</v>
      </c>
      <c r="M19" s="32" t="s">
        <v>40</v>
      </c>
      <c r="N19" s="33">
        <v>0</v>
      </c>
      <c r="O19" s="34"/>
    </row>
    <row r="20" spans="1:15" x14ac:dyDescent="0.2">
      <c r="A20" s="14" t="s">
        <v>48</v>
      </c>
      <c r="B20" s="37"/>
      <c r="C20" s="14"/>
      <c r="D20" s="38"/>
      <c r="E20" s="38"/>
      <c r="F20" s="17"/>
      <c r="G20" s="14"/>
      <c r="H20" s="14" t="s">
        <v>49</v>
      </c>
      <c r="I20" s="19"/>
      <c r="J20" s="39"/>
      <c r="K20" s="40">
        <f>$K$6</f>
        <v>46027</v>
      </c>
      <c r="L20" s="40">
        <f>$L$6</f>
        <v>46031</v>
      </c>
      <c r="M20" s="41"/>
      <c r="N20" s="42">
        <f>AVERAGE(N21:N29)</f>
        <v>0</v>
      </c>
      <c r="O20" s="24"/>
    </row>
    <row r="21" spans="1:15" ht="25.5" x14ac:dyDescent="0.2">
      <c r="A21" s="25" t="s">
        <v>50</v>
      </c>
      <c r="B21" s="26">
        <f>_xlfn.XLOOKUP(G21,'[1]Base de datos'!$A:$A,'[1]Base de datos'!$X:$X)</f>
        <v>46015</v>
      </c>
      <c r="C21" s="25" t="s">
        <v>196</v>
      </c>
      <c r="D21" s="25" t="s">
        <v>196</v>
      </c>
      <c r="E21" s="27" t="s">
        <v>22</v>
      </c>
      <c r="F21" s="28">
        <f>_xlfn.XLOOKUP(G21,[2]PLANEAMIENTO!$A:$A,[2]PLANEAMIENTO!$AT:$AT)</f>
        <v>8.1578947368421056E-2</v>
      </c>
      <c r="G21" s="25">
        <v>367125</v>
      </c>
      <c r="H21" s="45" t="s">
        <v>27</v>
      </c>
      <c r="I21" s="43" t="s">
        <v>28</v>
      </c>
      <c r="J21" s="29" t="s">
        <v>149</v>
      </c>
      <c r="K21" s="31" t="s">
        <v>34</v>
      </c>
      <c r="L21" s="31" t="s">
        <v>34</v>
      </c>
      <c r="M21" s="32" t="s">
        <v>51</v>
      </c>
      <c r="N21" s="33">
        <v>0</v>
      </c>
      <c r="O21" s="34"/>
    </row>
    <row r="22" spans="1:15" x14ac:dyDescent="0.2">
      <c r="A22" s="25" t="s">
        <v>52</v>
      </c>
      <c r="B22" s="26">
        <f>_xlfn.XLOOKUP(G22,'[1]Base de datos'!$A:$A,'[1]Base de datos'!$X:$X)</f>
        <v>45972</v>
      </c>
      <c r="C22" s="25" t="s">
        <v>196</v>
      </c>
      <c r="D22" s="25" t="s">
        <v>196</v>
      </c>
      <c r="E22" s="27" t="s">
        <v>22</v>
      </c>
      <c r="F22" s="28">
        <f>_xlfn.XLOOKUP(G22,[2]PLANEAMIENTO!$A:$A,[2]PLANEAMIENTO!$AT:$AT)</f>
        <v>1</v>
      </c>
      <c r="G22" s="25">
        <v>359925</v>
      </c>
      <c r="H22" s="46" t="s">
        <v>54</v>
      </c>
      <c r="I22" s="43" t="s">
        <v>24</v>
      </c>
      <c r="J22" s="29" t="s">
        <v>150</v>
      </c>
      <c r="K22" s="31" t="s">
        <v>34</v>
      </c>
      <c r="L22" s="31" t="s">
        <v>142</v>
      </c>
      <c r="M22" s="32" t="s">
        <v>51</v>
      </c>
      <c r="N22" s="33">
        <v>0</v>
      </c>
      <c r="O22" s="34"/>
    </row>
    <row r="23" spans="1:15" x14ac:dyDescent="0.2">
      <c r="A23" s="25" t="s">
        <v>53</v>
      </c>
      <c r="B23" s="26">
        <f>_xlfn.XLOOKUP(G23,'[1]Base de datos'!$A:$A,'[1]Base de datos'!$X:$X)</f>
        <v>46013</v>
      </c>
      <c r="C23" s="25" t="s">
        <v>196</v>
      </c>
      <c r="D23" s="25" t="s">
        <v>196</v>
      </c>
      <c r="E23" s="27" t="s">
        <v>22</v>
      </c>
      <c r="F23" s="28">
        <f>_xlfn.XLOOKUP(G23,[2]PLANEAMIENTO!$A:$A,[2]PLANEAMIENTO!$AT:$AT)</f>
        <v>0.56562500000000004</v>
      </c>
      <c r="G23" s="25">
        <v>366325</v>
      </c>
      <c r="H23" s="46" t="s">
        <v>44</v>
      </c>
      <c r="I23" s="43" t="s">
        <v>45</v>
      </c>
      <c r="J23" s="29" t="s">
        <v>136</v>
      </c>
      <c r="K23" s="31" t="s">
        <v>142</v>
      </c>
      <c r="L23" s="31" t="s">
        <v>142</v>
      </c>
      <c r="M23" s="32" t="s">
        <v>51</v>
      </c>
      <c r="N23" s="33">
        <v>0</v>
      </c>
      <c r="O23" s="34"/>
    </row>
    <row r="24" spans="1:15" ht="25.5" x14ac:dyDescent="0.2">
      <c r="A24" s="25" t="s">
        <v>55</v>
      </c>
      <c r="B24" s="26">
        <f>_xlfn.XLOOKUP(G24,'[1]Base de datos'!$A:$A,'[1]Base de datos'!$X:$X)</f>
        <v>46013</v>
      </c>
      <c r="C24" s="25" t="s">
        <v>196</v>
      </c>
      <c r="D24" s="25" t="s">
        <v>196</v>
      </c>
      <c r="E24" s="27" t="s">
        <v>22</v>
      </c>
      <c r="F24" s="28">
        <f>_xlfn.XLOOKUP(G24,[2]PLANEAMIENTO!$A:$A,[2]PLANEAMIENTO!$AT:$AT)</f>
        <v>0.56562500000000004</v>
      </c>
      <c r="G24" s="25">
        <v>366325</v>
      </c>
      <c r="H24" s="46" t="s">
        <v>44</v>
      </c>
      <c r="I24" s="43" t="s">
        <v>45</v>
      </c>
      <c r="J24" s="29" t="s">
        <v>132</v>
      </c>
      <c r="K24" s="31" t="s">
        <v>142</v>
      </c>
      <c r="L24" s="31" t="s">
        <v>143</v>
      </c>
      <c r="M24" s="32" t="s">
        <v>51</v>
      </c>
      <c r="N24" s="33">
        <v>0</v>
      </c>
      <c r="O24" s="34"/>
    </row>
    <row r="25" spans="1:15" x14ac:dyDescent="0.2">
      <c r="A25" s="25" t="s">
        <v>58</v>
      </c>
      <c r="B25" s="26">
        <f>_xlfn.XLOOKUP(G25,'[1]Base de datos'!$A:$A,'[1]Base de datos'!$X:$X)</f>
        <v>45985</v>
      </c>
      <c r="C25" s="25" t="s">
        <v>196</v>
      </c>
      <c r="D25" s="25" t="s">
        <v>196</v>
      </c>
      <c r="E25" s="27" t="s">
        <v>22</v>
      </c>
      <c r="F25" s="28">
        <f>_xlfn.XLOOKUP(G25,[2]PLANEAMIENTO!$A:$A,[2]PLANEAMIENTO!$AT:$AT)</f>
        <v>0.8125</v>
      </c>
      <c r="G25" s="25">
        <v>363125</v>
      </c>
      <c r="H25" s="46" t="s">
        <v>56</v>
      </c>
      <c r="I25" s="43" t="s">
        <v>57</v>
      </c>
      <c r="J25" s="29" t="s">
        <v>151</v>
      </c>
      <c r="K25" s="31" t="s">
        <v>143</v>
      </c>
      <c r="L25" s="31" t="s">
        <v>143</v>
      </c>
      <c r="M25" s="32" t="s">
        <v>51</v>
      </c>
      <c r="N25" s="33">
        <v>0</v>
      </c>
      <c r="O25" s="34"/>
    </row>
    <row r="26" spans="1:15" x14ac:dyDescent="0.2">
      <c r="A26" s="25" t="s">
        <v>157</v>
      </c>
      <c r="B26" s="26">
        <f>_xlfn.XLOOKUP(G26,'[1]Base de datos'!$A:$A,'[1]Base de datos'!$X:$X)</f>
        <v>46013</v>
      </c>
      <c r="C26" s="25" t="s">
        <v>196</v>
      </c>
      <c r="D26" s="25" t="s">
        <v>196</v>
      </c>
      <c r="E26" s="27" t="s">
        <v>22</v>
      </c>
      <c r="F26" s="28">
        <f>_xlfn.XLOOKUP(G26,[2]PLANEAMIENTO!$A:$A,[2]PLANEAMIENTO!$AT:$AT)</f>
        <v>0.56562500000000004</v>
      </c>
      <c r="G26" s="25">
        <v>366325</v>
      </c>
      <c r="H26" s="46" t="s">
        <v>44</v>
      </c>
      <c r="I26" s="43" t="s">
        <v>45</v>
      </c>
      <c r="J26" s="29" t="s">
        <v>152</v>
      </c>
      <c r="K26" s="31" t="s">
        <v>143</v>
      </c>
      <c r="L26" s="31" t="s">
        <v>143</v>
      </c>
      <c r="M26" s="32" t="s">
        <v>51</v>
      </c>
      <c r="N26" s="33">
        <v>0</v>
      </c>
      <c r="O26" s="34"/>
    </row>
    <row r="27" spans="1:15" x14ac:dyDescent="0.2">
      <c r="A27" s="25" t="s">
        <v>158</v>
      </c>
      <c r="B27" s="26">
        <f>_xlfn.XLOOKUP(G27,'[1]Base de datos'!$A:$A,'[1]Base de datos'!$X:$X)</f>
        <v>46010</v>
      </c>
      <c r="C27" s="25" t="s">
        <v>196</v>
      </c>
      <c r="D27" s="25" t="s">
        <v>196</v>
      </c>
      <c r="E27" s="27" t="s">
        <v>22</v>
      </c>
      <c r="F27" s="28">
        <f>_xlfn.XLOOKUP(G27,[2]PLANEAMIENTO!$A:$A,[2]PLANEAMIENTO!$AT:$AT)</f>
        <v>0.40909090909090912</v>
      </c>
      <c r="G27" s="25">
        <v>365625</v>
      </c>
      <c r="H27" s="46" t="s">
        <v>42</v>
      </c>
      <c r="I27" s="43" t="s">
        <v>75</v>
      </c>
      <c r="J27" s="29" t="s">
        <v>153</v>
      </c>
      <c r="K27" s="31" t="s">
        <v>143</v>
      </c>
      <c r="L27" s="31" t="s">
        <v>143</v>
      </c>
      <c r="M27" s="32" t="s">
        <v>51</v>
      </c>
      <c r="N27" s="33">
        <v>0</v>
      </c>
      <c r="O27" s="34"/>
    </row>
    <row r="28" spans="1:15" x14ac:dyDescent="0.2">
      <c r="A28" s="25" t="s">
        <v>159</v>
      </c>
      <c r="B28" s="26">
        <f>_xlfn.XLOOKUP(G28,'[1]Base de datos'!$A:$A,'[1]Base de datos'!$X:$X)</f>
        <v>46002</v>
      </c>
      <c r="C28" s="25" t="s">
        <v>196</v>
      </c>
      <c r="D28" s="25" t="s">
        <v>196</v>
      </c>
      <c r="E28" s="27" t="s">
        <v>22</v>
      </c>
      <c r="F28" s="28">
        <f>_xlfn.XLOOKUP(G28,[2]PLANEAMIENTO!$A:$A,[2]PLANEAMIENTO!$AT:$AT)</f>
        <v>0.52380952380952384</v>
      </c>
      <c r="G28" s="25">
        <v>364425</v>
      </c>
      <c r="H28" s="46" t="s">
        <v>44</v>
      </c>
      <c r="I28" s="43" t="s">
        <v>45</v>
      </c>
      <c r="J28" s="29" t="s">
        <v>154</v>
      </c>
      <c r="K28" s="31" t="s">
        <v>143</v>
      </c>
      <c r="L28" s="31" t="s">
        <v>144</v>
      </c>
      <c r="M28" s="32" t="s">
        <v>51</v>
      </c>
      <c r="N28" s="33">
        <v>0</v>
      </c>
      <c r="O28" s="34"/>
    </row>
    <row r="29" spans="1:15" x14ac:dyDescent="0.2">
      <c r="A29" s="25" t="s">
        <v>160</v>
      </c>
      <c r="B29" s="26">
        <f>_xlfn.XLOOKUP(G29,'[1]Base de datos'!$A:$A,'[1]Base de datos'!$X:$X)</f>
        <v>46021</v>
      </c>
      <c r="C29" s="25" t="s">
        <v>196</v>
      </c>
      <c r="D29" s="25" t="s">
        <v>196</v>
      </c>
      <c r="E29" s="27" t="s">
        <v>22</v>
      </c>
      <c r="F29" s="28">
        <f>_xlfn.XLOOKUP(G29,[2]PLANEAMIENTO!$A:$A,[2]PLANEAMIENTO!$AT:$AT)</f>
        <v>0.31842105263157894</v>
      </c>
      <c r="G29" s="25">
        <v>368225</v>
      </c>
      <c r="H29" s="46" t="s">
        <v>139</v>
      </c>
      <c r="I29" s="43">
        <v>24</v>
      </c>
      <c r="J29" s="29" t="s">
        <v>155</v>
      </c>
      <c r="K29" s="31" t="s">
        <v>144</v>
      </c>
      <c r="L29" s="31" t="s">
        <v>156</v>
      </c>
      <c r="M29" s="32" t="s">
        <v>51</v>
      </c>
      <c r="N29" s="33">
        <v>0</v>
      </c>
      <c r="O29" s="34"/>
    </row>
    <row r="30" spans="1:15" x14ac:dyDescent="0.2">
      <c r="A30" s="14" t="s">
        <v>61</v>
      </c>
      <c r="B30" s="37"/>
      <c r="C30" s="14"/>
      <c r="D30" s="38"/>
      <c r="E30" s="38"/>
      <c r="F30" s="17"/>
      <c r="G30" s="14"/>
      <c r="H30" s="14" t="s">
        <v>62</v>
      </c>
      <c r="I30" s="19"/>
      <c r="J30" s="39"/>
      <c r="K30" s="40">
        <f>$K$6</f>
        <v>46027</v>
      </c>
      <c r="L30" s="40">
        <f>$L$6</f>
        <v>46031</v>
      </c>
      <c r="M30" s="41"/>
      <c r="N30" s="42">
        <f>AVERAGE(N31:N36)</f>
        <v>0</v>
      </c>
      <c r="O30" s="24"/>
    </row>
    <row r="31" spans="1:15" x14ac:dyDescent="0.2">
      <c r="A31" s="25" t="s">
        <v>63</v>
      </c>
      <c r="B31" s="26">
        <f>_xlfn.XLOOKUP(G31,'[1]Base de datos'!$A:$A,'[1]Base de datos'!$X:$X)</f>
        <v>45985</v>
      </c>
      <c r="C31" s="25" t="s">
        <v>196</v>
      </c>
      <c r="D31" s="25" t="s">
        <v>196</v>
      </c>
      <c r="E31" s="27" t="s">
        <v>22</v>
      </c>
      <c r="F31" s="28">
        <f>_xlfn.XLOOKUP(G31,[2]PLANEAMIENTO!$A:$A,[2]PLANEAMIENTO!$AT:$AT)</f>
        <v>1</v>
      </c>
      <c r="G31" s="25">
        <v>362625</v>
      </c>
      <c r="H31" s="25" t="s">
        <v>42</v>
      </c>
      <c r="I31" s="43">
        <v>24</v>
      </c>
      <c r="J31" s="29" t="s">
        <v>161</v>
      </c>
      <c r="K31" s="31" t="s">
        <v>143</v>
      </c>
      <c r="L31" s="31" t="s">
        <v>143</v>
      </c>
      <c r="M31" s="32" t="s">
        <v>64</v>
      </c>
      <c r="N31" s="33">
        <v>0</v>
      </c>
      <c r="O31" s="34"/>
    </row>
    <row r="32" spans="1:15" x14ac:dyDescent="0.2">
      <c r="A32" s="25" t="s">
        <v>65</v>
      </c>
      <c r="B32" s="26">
        <f>_xlfn.XLOOKUP(G32,'[1]Base de datos'!$A:$A,'[1]Base de datos'!$X:$X)</f>
        <v>46013</v>
      </c>
      <c r="C32" s="25" t="s">
        <v>196</v>
      </c>
      <c r="D32" s="25" t="s">
        <v>196</v>
      </c>
      <c r="E32" s="27" t="s">
        <v>22</v>
      </c>
      <c r="F32" s="28">
        <f>_xlfn.XLOOKUP(G32,[2]PLANEAMIENTO!$A:$A,[2]PLANEAMIENTO!$AT:$AT)</f>
        <v>0.45833333333333331</v>
      </c>
      <c r="G32" s="25">
        <v>366125</v>
      </c>
      <c r="H32" s="25" t="s">
        <v>92</v>
      </c>
      <c r="I32" s="43" t="s">
        <v>93</v>
      </c>
      <c r="J32" s="29" t="s">
        <v>162</v>
      </c>
      <c r="K32" s="31" t="s">
        <v>143</v>
      </c>
      <c r="L32" s="31" t="s">
        <v>144</v>
      </c>
      <c r="M32" s="32" t="s">
        <v>64</v>
      </c>
      <c r="N32" s="33">
        <v>0</v>
      </c>
      <c r="O32" s="34"/>
    </row>
    <row r="33" spans="1:15" x14ac:dyDescent="0.2">
      <c r="A33" s="25" t="s">
        <v>66</v>
      </c>
      <c r="B33" s="26" t="e">
        <f>_xlfn.XLOOKUP(G33,'[1]Base de datos'!$A:$A,'[1]Base de datos'!$X:$X)</f>
        <v>#N/A</v>
      </c>
      <c r="C33" s="25" t="s">
        <v>196</v>
      </c>
      <c r="D33" s="25" t="s">
        <v>196</v>
      </c>
      <c r="E33" s="27" t="s">
        <v>22</v>
      </c>
      <c r="F33" s="28" t="e">
        <f>_xlfn.XLOOKUP(G33,[2]PLANEAMIENTO!$A:$A,[2]PLANEAMIENTO!$AT:$AT)</f>
        <v>#N/A</v>
      </c>
      <c r="G33" s="25" t="s">
        <v>69</v>
      </c>
      <c r="H33" s="25"/>
      <c r="I33" s="43"/>
      <c r="J33" s="29" t="s">
        <v>163</v>
      </c>
      <c r="K33" s="31" t="s">
        <v>144</v>
      </c>
      <c r="L33" s="31" t="s">
        <v>144</v>
      </c>
      <c r="M33" s="32" t="s">
        <v>64</v>
      </c>
      <c r="N33" s="33">
        <v>0</v>
      </c>
      <c r="O33" s="34"/>
    </row>
    <row r="34" spans="1:15" x14ac:dyDescent="0.2">
      <c r="A34" s="25" t="s">
        <v>67</v>
      </c>
      <c r="B34" s="26" t="e">
        <f>_xlfn.XLOOKUP(G34,'[1]Base de datos'!$A:$A,'[1]Base de datos'!$X:$X)</f>
        <v>#N/A</v>
      </c>
      <c r="C34" s="25" t="s">
        <v>196</v>
      </c>
      <c r="D34" s="25" t="s">
        <v>196</v>
      </c>
      <c r="E34" s="27" t="s">
        <v>22</v>
      </c>
      <c r="F34" s="28" t="e">
        <f>_xlfn.XLOOKUP(G34,[2]PLANEAMIENTO!$A:$A,[2]PLANEAMIENTO!$AT:$AT)</f>
        <v>#N/A</v>
      </c>
      <c r="G34" s="25" t="s">
        <v>71</v>
      </c>
      <c r="H34" s="25"/>
      <c r="I34" s="43"/>
      <c r="J34" s="29" t="s">
        <v>163</v>
      </c>
      <c r="K34" s="31" t="s">
        <v>144</v>
      </c>
      <c r="L34" s="31" t="s">
        <v>144</v>
      </c>
      <c r="M34" s="32" t="s">
        <v>64</v>
      </c>
      <c r="N34" s="33">
        <v>0</v>
      </c>
      <c r="O34" s="34"/>
    </row>
    <row r="35" spans="1:15" ht="25.5" x14ac:dyDescent="0.2">
      <c r="A35" s="25" t="s">
        <v>68</v>
      </c>
      <c r="B35" s="26">
        <f>_xlfn.XLOOKUP(G35,'[1]Base de datos'!$A:$A,'[1]Base de datos'!$X:$X)</f>
        <v>45980</v>
      </c>
      <c r="C35" s="25" t="s">
        <v>196</v>
      </c>
      <c r="D35" s="25" t="s">
        <v>196</v>
      </c>
      <c r="E35" s="27" t="s">
        <v>22</v>
      </c>
      <c r="F35" s="28">
        <f>_xlfn.XLOOKUP(G35,[2]PLANEAMIENTO!$A:$A,[2]PLANEAMIENTO!$AT:$AT)</f>
        <v>0.2857142857142857</v>
      </c>
      <c r="G35" s="25">
        <v>361525</v>
      </c>
      <c r="H35" s="25" t="s">
        <v>32</v>
      </c>
      <c r="I35" s="43" t="s">
        <v>33</v>
      </c>
      <c r="J35" s="29" t="s">
        <v>164</v>
      </c>
      <c r="K35" s="31" t="s">
        <v>144</v>
      </c>
      <c r="L35" s="31" t="s">
        <v>145</v>
      </c>
      <c r="M35" s="32" t="s">
        <v>64</v>
      </c>
      <c r="N35" s="33">
        <v>0</v>
      </c>
      <c r="O35" s="34"/>
    </row>
    <row r="36" spans="1:15" x14ac:dyDescent="0.2">
      <c r="A36" s="25" t="s">
        <v>70</v>
      </c>
      <c r="B36" s="26">
        <f>_xlfn.XLOOKUP(G36,'[1]Base de datos'!$A:$A,'[1]Base de datos'!$X:$X)</f>
        <v>0</v>
      </c>
      <c r="C36" s="25" t="s">
        <v>196</v>
      </c>
      <c r="D36" s="25" t="s">
        <v>196</v>
      </c>
      <c r="E36" s="27" t="s">
        <v>22</v>
      </c>
      <c r="F36" s="28">
        <f>_xlfn.XLOOKUP(G36,[2]PLANEAMIENTO!$A:$A,[2]PLANEAMIENTO!$AT:$AT)</f>
        <v>0</v>
      </c>
      <c r="G36" s="25"/>
      <c r="H36" s="25"/>
      <c r="I36" s="43"/>
      <c r="J36" s="29" t="s">
        <v>165</v>
      </c>
      <c r="K36" s="31" t="s">
        <v>145</v>
      </c>
      <c r="L36" s="31" t="s">
        <v>156</v>
      </c>
      <c r="M36" s="32" t="s">
        <v>64</v>
      </c>
      <c r="N36" s="33">
        <v>0</v>
      </c>
      <c r="O36" s="34"/>
    </row>
    <row r="37" spans="1:15" x14ac:dyDescent="0.2">
      <c r="A37" s="14" t="s">
        <v>72</v>
      </c>
      <c r="B37" s="37"/>
      <c r="C37" s="14"/>
      <c r="D37" s="38"/>
      <c r="E37" s="38"/>
      <c r="F37" s="17"/>
      <c r="G37" s="14"/>
      <c r="H37" s="14" t="s">
        <v>73</v>
      </c>
      <c r="I37" s="19"/>
      <c r="J37" s="39"/>
      <c r="K37" s="40">
        <f>$K$6</f>
        <v>46027</v>
      </c>
      <c r="L37" s="40">
        <f>$L$6</f>
        <v>46031</v>
      </c>
      <c r="M37" s="41"/>
      <c r="N37" s="42">
        <f>AVERAGE(N38:N42)</f>
        <v>0</v>
      </c>
      <c r="O37" s="24"/>
    </row>
    <row r="38" spans="1:15" x14ac:dyDescent="0.2">
      <c r="A38" s="25" t="s">
        <v>74</v>
      </c>
      <c r="B38" s="26">
        <f>_xlfn.XLOOKUP(G38,'[1]Base de datos'!$A:$A,'[1]Base de datos'!$X:$X)</f>
        <v>46002</v>
      </c>
      <c r="C38" s="25" t="s">
        <v>196</v>
      </c>
      <c r="D38" s="25" t="s">
        <v>196</v>
      </c>
      <c r="E38" s="27"/>
      <c r="F38" s="28">
        <f>_xlfn.XLOOKUP(G38,[2]PLANEAMIENTO!$A:$A,[2]PLANEAMIENTO!$AT:$AT)</f>
        <v>1</v>
      </c>
      <c r="G38" s="25">
        <v>364325</v>
      </c>
      <c r="H38" s="25" t="s">
        <v>44</v>
      </c>
      <c r="I38" s="43" t="s">
        <v>45</v>
      </c>
      <c r="J38" s="47" t="s">
        <v>166</v>
      </c>
      <c r="K38" s="31" t="s">
        <v>34</v>
      </c>
      <c r="L38" s="31" t="s">
        <v>34</v>
      </c>
      <c r="M38" s="32" t="s">
        <v>76</v>
      </c>
      <c r="N38" s="33">
        <v>0</v>
      </c>
      <c r="O38" s="34"/>
    </row>
    <row r="39" spans="1:15" x14ac:dyDescent="0.2">
      <c r="A39" s="25" t="s">
        <v>77</v>
      </c>
      <c r="B39" s="26">
        <f>_xlfn.XLOOKUP(G39,'[1]Base de datos'!$A:$A,'[1]Base de datos'!$X:$X)</f>
        <v>46002</v>
      </c>
      <c r="C39" s="25" t="s">
        <v>196</v>
      </c>
      <c r="D39" s="25" t="s">
        <v>196</v>
      </c>
      <c r="E39" s="27" t="s">
        <v>22</v>
      </c>
      <c r="F39" s="28">
        <f>_xlfn.XLOOKUP(G39,[2]PLANEAMIENTO!$A:$A,[2]PLANEAMIENTO!$AT:$AT)</f>
        <v>0.52380952380952384</v>
      </c>
      <c r="G39" s="25">
        <v>364425</v>
      </c>
      <c r="H39" s="25" t="s">
        <v>44</v>
      </c>
      <c r="I39" s="43" t="s">
        <v>45</v>
      </c>
      <c r="J39" s="47" t="s">
        <v>166</v>
      </c>
      <c r="K39" s="31" t="s">
        <v>34</v>
      </c>
      <c r="L39" s="31" t="s">
        <v>142</v>
      </c>
      <c r="M39" s="32" t="s">
        <v>76</v>
      </c>
      <c r="N39" s="33">
        <v>0</v>
      </c>
      <c r="O39" s="34"/>
    </row>
    <row r="40" spans="1:15" x14ac:dyDescent="0.2">
      <c r="A40" s="25" t="s">
        <v>189</v>
      </c>
      <c r="B40" s="26">
        <f>_xlfn.XLOOKUP(G40,'[1]Base de datos'!$A:$A,'[1]Base de datos'!$X:$X)</f>
        <v>46013</v>
      </c>
      <c r="C40" s="25" t="s">
        <v>196</v>
      </c>
      <c r="D40" s="25" t="s">
        <v>196</v>
      </c>
      <c r="E40" s="27" t="s">
        <v>22</v>
      </c>
      <c r="F40" s="28">
        <f>_xlfn.XLOOKUP(G40,[2]PLANEAMIENTO!$A:$A,[2]PLANEAMIENTO!$AT:$AT)</f>
        <v>0.31818181818181818</v>
      </c>
      <c r="G40" s="25">
        <v>365925</v>
      </c>
      <c r="H40" s="25" t="s">
        <v>44</v>
      </c>
      <c r="I40" s="43" t="s">
        <v>141</v>
      </c>
      <c r="J40" s="47" t="s">
        <v>166</v>
      </c>
      <c r="K40" s="31" t="s">
        <v>142</v>
      </c>
      <c r="L40" s="31" t="s">
        <v>142</v>
      </c>
      <c r="M40" s="32" t="s">
        <v>76</v>
      </c>
      <c r="N40" s="33">
        <v>0</v>
      </c>
      <c r="O40" s="34"/>
    </row>
    <row r="41" spans="1:15" x14ac:dyDescent="0.2">
      <c r="A41" s="25" t="s">
        <v>190</v>
      </c>
      <c r="B41" s="26">
        <f>_xlfn.XLOOKUP(G41,'[1]Base de datos'!$A:$A,'[1]Base de datos'!$X:$X)</f>
        <v>46010</v>
      </c>
      <c r="C41" s="25" t="s">
        <v>196</v>
      </c>
      <c r="D41" s="25" t="s">
        <v>196</v>
      </c>
      <c r="E41" s="27" t="s">
        <v>22</v>
      </c>
      <c r="F41" s="28">
        <f>_xlfn.XLOOKUP(G41,[2]PLANEAMIENTO!$A:$A,[2]PLANEAMIENTO!$AT:$AT)</f>
        <v>0.40909090909090912</v>
      </c>
      <c r="G41" s="25">
        <v>365625</v>
      </c>
      <c r="H41" s="25" t="s">
        <v>42</v>
      </c>
      <c r="I41" s="43" t="s">
        <v>75</v>
      </c>
      <c r="J41" s="47" t="s">
        <v>166</v>
      </c>
      <c r="K41" s="31" t="s">
        <v>142</v>
      </c>
      <c r="L41" s="31" t="s">
        <v>143</v>
      </c>
      <c r="M41" s="32" t="s">
        <v>76</v>
      </c>
      <c r="N41" s="33">
        <v>0</v>
      </c>
      <c r="O41" s="34"/>
    </row>
    <row r="42" spans="1:15" x14ac:dyDescent="0.2">
      <c r="A42" s="25" t="s">
        <v>191</v>
      </c>
      <c r="B42" s="26"/>
      <c r="C42" s="25"/>
      <c r="D42" s="25"/>
      <c r="E42" s="27"/>
      <c r="F42" s="28"/>
      <c r="G42" s="25"/>
      <c r="H42" s="25"/>
      <c r="I42" s="43"/>
      <c r="J42" s="47" t="s">
        <v>165</v>
      </c>
      <c r="K42" s="31" t="s">
        <v>143</v>
      </c>
      <c r="L42" s="31" t="s">
        <v>144</v>
      </c>
      <c r="M42" s="32" t="s">
        <v>76</v>
      </c>
      <c r="N42" s="33">
        <v>0</v>
      </c>
      <c r="O42" s="34"/>
    </row>
    <row r="43" spans="1:15" x14ac:dyDescent="0.2">
      <c r="A43" s="14">
        <v>6</v>
      </c>
      <c r="B43" s="37"/>
      <c r="C43" s="14"/>
      <c r="D43" s="38"/>
      <c r="E43" s="38"/>
      <c r="F43" s="17"/>
      <c r="G43" s="14"/>
      <c r="H43" s="14" t="s">
        <v>78</v>
      </c>
      <c r="I43" s="19"/>
      <c r="J43" s="39"/>
      <c r="K43" s="40">
        <f>$K$6</f>
        <v>46027</v>
      </c>
      <c r="L43" s="40">
        <f>$L$6</f>
        <v>46031</v>
      </c>
      <c r="M43" s="41"/>
      <c r="N43" s="42">
        <f>AVERAGE(N44:N44)</f>
        <v>0</v>
      </c>
      <c r="O43" s="24"/>
    </row>
    <row r="44" spans="1:15" x14ac:dyDescent="0.2">
      <c r="A44" s="25" t="s">
        <v>79</v>
      </c>
      <c r="B44" s="26"/>
      <c r="C44" s="25"/>
      <c r="D44" s="25"/>
      <c r="E44" s="27"/>
      <c r="F44" s="28"/>
      <c r="G44" s="25" t="s">
        <v>167</v>
      </c>
      <c r="H44" s="4"/>
      <c r="I44" s="8"/>
      <c r="J44" s="48" t="s">
        <v>168</v>
      </c>
      <c r="K44" s="31" t="s">
        <v>30</v>
      </c>
      <c r="L44" s="31" t="s">
        <v>143</v>
      </c>
      <c r="M44" s="32" t="s">
        <v>80</v>
      </c>
      <c r="N44" s="33">
        <v>0</v>
      </c>
      <c r="O44" s="34"/>
    </row>
    <row r="45" spans="1:15" ht="25.5" x14ac:dyDescent="0.2">
      <c r="A45" s="25" t="s">
        <v>185</v>
      </c>
      <c r="B45" s="26">
        <f>_xlfn.XLOOKUP(G45,'[1]Base de datos'!$A:$A,'[1]Base de datos'!$X:$X)</f>
        <v>46002</v>
      </c>
      <c r="C45" s="25" t="s">
        <v>196</v>
      </c>
      <c r="D45" s="25" t="s">
        <v>196</v>
      </c>
      <c r="E45" s="27" t="s">
        <v>22</v>
      </c>
      <c r="F45" s="28">
        <f>_xlfn.XLOOKUP(G45,[2]PLANEAMIENTO!$A:$A,[2]PLANEAMIENTO!$AT:$AT)</f>
        <v>1</v>
      </c>
      <c r="G45" s="4">
        <v>364325</v>
      </c>
      <c r="H45" s="4" t="s">
        <v>44</v>
      </c>
      <c r="I45" s="8" t="s">
        <v>45</v>
      </c>
      <c r="J45" s="91" t="s">
        <v>169</v>
      </c>
      <c r="K45" s="36" t="s">
        <v>143</v>
      </c>
      <c r="L45" s="36" t="s">
        <v>144</v>
      </c>
      <c r="M45" s="32" t="s">
        <v>80</v>
      </c>
      <c r="N45" s="33">
        <v>0</v>
      </c>
      <c r="O45" s="13"/>
    </row>
    <row r="46" spans="1:15" ht="25.5" x14ac:dyDescent="0.2">
      <c r="A46" s="25" t="s">
        <v>186</v>
      </c>
      <c r="B46" s="26">
        <f>_xlfn.XLOOKUP(G46,'[1]Base de datos'!$A:$A,'[1]Base de datos'!$X:$X)</f>
        <v>46002</v>
      </c>
      <c r="C46" s="25" t="s">
        <v>196</v>
      </c>
      <c r="D46" s="25" t="s">
        <v>196</v>
      </c>
      <c r="E46" s="27" t="s">
        <v>22</v>
      </c>
      <c r="F46" s="28">
        <f>_xlfn.XLOOKUP(G46,[2]PLANEAMIENTO!$A:$A,[2]PLANEAMIENTO!$AT:$AT)</f>
        <v>0.52380952380952384</v>
      </c>
      <c r="G46" s="4">
        <v>364425</v>
      </c>
      <c r="H46" s="4" t="s">
        <v>44</v>
      </c>
      <c r="I46" s="8" t="s">
        <v>45</v>
      </c>
      <c r="J46" s="91" t="s">
        <v>169</v>
      </c>
      <c r="K46" s="36" t="s">
        <v>144</v>
      </c>
      <c r="L46" s="36" t="s">
        <v>145</v>
      </c>
      <c r="M46" s="32" t="s">
        <v>80</v>
      </c>
      <c r="N46" s="33">
        <v>0</v>
      </c>
      <c r="O46" s="13"/>
    </row>
    <row r="47" spans="1:15" ht="25.5" x14ac:dyDescent="0.2">
      <c r="A47" s="25" t="s">
        <v>187</v>
      </c>
      <c r="B47" s="26"/>
      <c r="C47" s="25"/>
      <c r="D47" s="25"/>
      <c r="E47" s="27" t="s">
        <v>22</v>
      </c>
      <c r="F47" s="28"/>
      <c r="G47" s="4" t="s">
        <v>170</v>
      </c>
      <c r="H47" s="4"/>
      <c r="I47" s="8"/>
      <c r="J47" s="91" t="s">
        <v>169</v>
      </c>
      <c r="K47" s="36" t="s">
        <v>145</v>
      </c>
      <c r="L47" s="36" t="s">
        <v>145</v>
      </c>
      <c r="M47" s="32" t="s">
        <v>80</v>
      </c>
      <c r="N47" s="33">
        <v>0</v>
      </c>
      <c r="O47" s="13"/>
    </row>
    <row r="48" spans="1:15" x14ac:dyDescent="0.2">
      <c r="A48" s="25" t="s">
        <v>188</v>
      </c>
      <c r="B48" s="26">
        <f>_xlfn.XLOOKUP(G48,'[1]Base de datos'!$A:$A,'[1]Base de datos'!$X:$X)</f>
        <v>46013</v>
      </c>
      <c r="C48" s="25" t="s">
        <v>196</v>
      </c>
      <c r="D48" s="25" t="s">
        <v>196</v>
      </c>
      <c r="E48" s="90"/>
      <c r="F48" s="28">
        <f>_xlfn.XLOOKUP(G48,[2]PLANEAMIENTO!$A:$A,[2]PLANEAMIENTO!$AT:$AT)</f>
        <v>0.37916666666666665</v>
      </c>
      <c r="G48" s="4">
        <v>366225</v>
      </c>
      <c r="H48" s="4" t="s">
        <v>92</v>
      </c>
      <c r="I48" s="8" t="s">
        <v>45</v>
      </c>
      <c r="J48" s="91" t="s">
        <v>171</v>
      </c>
      <c r="K48" s="36" t="s">
        <v>34</v>
      </c>
      <c r="L48" s="36" t="s">
        <v>34</v>
      </c>
      <c r="M48" s="32" t="s">
        <v>80</v>
      </c>
      <c r="N48" s="33">
        <v>0</v>
      </c>
      <c r="O48" s="13"/>
    </row>
    <row r="49" spans="1:15" x14ac:dyDescent="0.2">
      <c r="A49" s="14" t="s">
        <v>81</v>
      </c>
      <c r="B49" s="37"/>
      <c r="C49" s="14"/>
      <c r="D49" s="38"/>
      <c r="E49" s="38"/>
      <c r="F49" s="17"/>
      <c r="G49" s="14"/>
      <c r="H49" s="14" t="s">
        <v>82</v>
      </c>
      <c r="I49" s="19"/>
      <c r="J49" s="39"/>
      <c r="K49" s="40">
        <f>$K$6</f>
        <v>46027</v>
      </c>
      <c r="L49" s="40">
        <f>$L$6</f>
        <v>46031</v>
      </c>
      <c r="M49" s="41"/>
      <c r="N49" s="42">
        <f>AVERAGE(N50:N50)</f>
        <v>0</v>
      </c>
      <c r="O49" s="24"/>
    </row>
    <row r="50" spans="1:15" x14ac:dyDescent="0.2">
      <c r="A50" s="25" t="s">
        <v>83</v>
      </c>
      <c r="B50" s="26">
        <f>_xlfn.XLOOKUP(G50,'[1]Base de datos'!$A:$A,'[1]Base de datos'!$X:$X)</f>
        <v>46013</v>
      </c>
      <c r="C50" s="25" t="s">
        <v>196</v>
      </c>
      <c r="D50" s="25" t="s">
        <v>196</v>
      </c>
      <c r="E50" s="27" t="s">
        <v>22</v>
      </c>
      <c r="F50" s="28">
        <f>_xlfn.XLOOKUP(G50,[2]PLANEAMIENTO!$A:$A,[2]PLANEAMIENTO!$AT:$AT)</f>
        <v>0.36071428571428571</v>
      </c>
      <c r="G50" s="25">
        <v>366025</v>
      </c>
      <c r="H50" s="4" t="s">
        <v>90</v>
      </c>
      <c r="I50" s="43" t="s">
        <v>174</v>
      </c>
      <c r="J50" s="29" t="s">
        <v>172</v>
      </c>
      <c r="K50" s="31" t="s">
        <v>34</v>
      </c>
      <c r="L50" s="31" t="s">
        <v>34</v>
      </c>
      <c r="M50" s="32" t="s">
        <v>177</v>
      </c>
      <c r="N50" s="33">
        <v>0</v>
      </c>
      <c r="O50" s="34"/>
    </row>
    <row r="51" spans="1:15" x14ac:dyDescent="0.2">
      <c r="A51" s="25" t="s">
        <v>178</v>
      </c>
      <c r="B51" s="26">
        <f>_xlfn.XLOOKUP(G51,'[1]Base de datos'!$A:$A,'[1]Base de datos'!$X:$X)</f>
        <v>46021</v>
      </c>
      <c r="C51" s="25" t="s">
        <v>196</v>
      </c>
      <c r="D51" s="25" t="s">
        <v>196</v>
      </c>
      <c r="E51" s="27" t="s">
        <v>22</v>
      </c>
      <c r="F51" s="28">
        <f>_xlfn.XLOOKUP(G51,[2]PLANEAMIENTO!$A:$A,[2]PLANEAMIENTO!$AT:$AT)</f>
        <v>0.1409090909090909</v>
      </c>
      <c r="G51" s="4">
        <v>368125</v>
      </c>
      <c r="H51" s="4" t="s">
        <v>42</v>
      </c>
      <c r="I51" s="8" t="s">
        <v>60</v>
      </c>
      <c r="J51" s="35" t="s">
        <v>172</v>
      </c>
      <c r="K51" s="36" t="s">
        <v>34</v>
      </c>
      <c r="L51" s="36" t="s">
        <v>34</v>
      </c>
      <c r="M51" s="92" t="s">
        <v>177</v>
      </c>
      <c r="N51" s="33">
        <v>0</v>
      </c>
      <c r="O51" s="13"/>
    </row>
    <row r="52" spans="1:15" x14ac:dyDescent="0.2">
      <c r="A52" s="25" t="s">
        <v>179</v>
      </c>
      <c r="B52" s="26">
        <f>_xlfn.XLOOKUP(G52,'[1]Base de datos'!$A:$A,'[1]Base de datos'!$X:$X)</f>
        <v>46021</v>
      </c>
      <c r="C52" s="25" t="s">
        <v>196</v>
      </c>
      <c r="D52" s="25" t="s">
        <v>196</v>
      </c>
      <c r="E52" s="27" t="s">
        <v>22</v>
      </c>
      <c r="F52" s="28">
        <f>_xlfn.XLOOKUP(G52,[2]PLANEAMIENTO!$A:$A,[2]PLANEAMIENTO!$AT:$AT)</f>
        <v>0.31842105263157894</v>
      </c>
      <c r="G52" s="4">
        <v>368225</v>
      </c>
      <c r="H52" s="4" t="s">
        <v>139</v>
      </c>
      <c r="I52" s="8">
        <v>24</v>
      </c>
      <c r="J52" s="35" t="s">
        <v>172</v>
      </c>
      <c r="K52" s="36" t="s">
        <v>34</v>
      </c>
      <c r="L52" s="36" t="s">
        <v>142</v>
      </c>
      <c r="M52" s="92" t="s">
        <v>177</v>
      </c>
      <c r="N52" s="33">
        <v>0</v>
      </c>
      <c r="O52" s="13"/>
    </row>
    <row r="53" spans="1:15" x14ac:dyDescent="0.2">
      <c r="A53" s="25" t="s">
        <v>180</v>
      </c>
      <c r="B53" s="26">
        <f>_xlfn.XLOOKUP(G53,'[1]Base de datos'!$A:$A,'[1]Base de datos'!$X:$X)</f>
        <v>46021</v>
      </c>
      <c r="C53" s="25" t="s">
        <v>196</v>
      </c>
      <c r="D53" s="25" t="s">
        <v>196</v>
      </c>
      <c r="E53" s="27" t="s">
        <v>22</v>
      </c>
      <c r="F53" s="28">
        <f>_xlfn.XLOOKUP(G53,[2]PLANEAMIENTO!$A:$A,[2]PLANEAMIENTO!$AT:$AT)</f>
        <v>0.155</v>
      </c>
      <c r="G53" s="4">
        <v>368325</v>
      </c>
      <c r="H53" s="4" t="s">
        <v>175</v>
      </c>
      <c r="I53" s="8" t="s">
        <v>176</v>
      </c>
      <c r="J53" s="35" t="s">
        <v>172</v>
      </c>
      <c r="K53" s="36" t="s">
        <v>142</v>
      </c>
      <c r="L53" s="36" t="s">
        <v>142</v>
      </c>
      <c r="M53" s="92" t="s">
        <v>177</v>
      </c>
      <c r="N53" s="33">
        <v>0</v>
      </c>
      <c r="O53" s="13"/>
    </row>
    <row r="54" spans="1:15" x14ac:dyDescent="0.2">
      <c r="A54" s="25" t="s">
        <v>181</v>
      </c>
      <c r="B54" s="26">
        <f>_xlfn.XLOOKUP(G54,'[1]Base de datos'!$A:$A,'[1]Base de datos'!$X:$X)</f>
        <v>46021</v>
      </c>
      <c r="C54" s="25" t="s">
        <v>196</v>
      </c>
      <c r="D54" s="25" t="s">
        <v>196</v>
      </c>
      <c r="E54" s="27" t="s">
        <v>22</v>
      </c>
      <c r="F54" s="28">
        <f>_xlfn.XLOOKUP(G54,[2]PLANEAMIENTO!$A:$A,[2]PLANEAMIENTO!$AT:$AT)</f>
        <v>0.29411764705882354</v>
      </c>
      <c r="G54" s="4">
        <v>368425</v>
      </c>
      <c r="H54" s="4" t="s">
        <v>44</v>
      </c>
      <c r="I54" s="8" t="s">
        <v>140</v>
      </c>
      <c r="J54" s="35" t="s">
        <v>172</v>
      </c>
      <c r="K54" s="36" t="s">
        <v>142</v>
      </c>
      <c r="L54" s="36" t="s">
        <v>143</v>
      </c>
      <c r="M54" s="92" t="s">
        <v>177</v>
      </c>
      <c r="N54" s="33">
        <v>0</v>
      </c>
      <c r="O54" s="13"/>
    </row>
    <row r="55" spans="1:15" x14ac:dyDescent="0.2">
      <c r="A55" s="25" t="s">
        <v>182</v>
      </c>
      <c r="B55" s="26">
        <f>_xlfn.XLOOKUP(G55,'[1]Base de datos'!$A:$A,'[1]Base de datos'!$X:$X)</f>
        <v>46021</v>
      </c>
      <c r="C55" s="25" t="s">
        <v>196</v>
      </c>
      <c r="D55" s="25" t="s">
        <v>196</v>
      </c>
      <c r="E55" s="27" t="s">
        <v>22</v>
      </c>
      <c r="F55" s="28">
        <f>_xlfn.XLOOKUP(G55,[2]PLANEAMIENTO!$A:$A,[2]PLANEAMIENTO!$AT:$AT)</f>
        <v>0.19285714285714284</v>
      </c>
      <c r="G55" s="4">
        <v>368525</v>
      </c>
      <c r="H55" s="4" t="s">
        <v>44</v>
      </c>
      <c r="I55" s="8" t="s">
        <v>106</v>
      </c>
      <c r="J55" s="35" t="s">
        <v>172</v>
      </c>
      <c r="K55" s="36" t="s">
        <v>143</v>
      </c>
      <c r="L55" s="36" t="s">
        <v>144</v>
      </c>
      <c r="M55" s="92" t="s">
        <v>177</v>
      </c>
      <c r="N55" s="33">
        <v>0</v>
      </c>
      <c r="O55" s="13"/>
    </row>
    <row r="56" spans="1:15" ht="25.5" x14ac:dyDescent="0.2">
      <c r="A56" s="25" t="s">
        <v>183</v>
      </c>
      <c r="B56" s="26">
        <f>_xlfn.XLOOKUP(G56,'[1]Base de datos'!$A:$A,'[1]Base de datos'!$X:$X)</f>
        <v>46015</v>
      </c>
      <c r="C56" s="25" t="s">
        <v>196</v>
      </c>
      <c r="D56" s="25" t="s">
        <v>196</v>
      </c>
      <c r="E56" s="27" t="s">
        <v>22</v>
      </c>
      <c r="F56" s="28">
        <f>_xlfn.XLOOKUP(G56,[2]PLANEAMIENTO!$A:$A,[2]PLANEAMIENTO!$AT:$AT)</f>
        <v>0.28928571428571426</v>
      </c>
      <c r="G56" s="4">
        <v>366525</v>
      </c>
      <c r="H56" s="4" t="s">
        <v>59</v>
      </c>
      <c r="I56" s="8" t="s">
        <v>75</v>
      </c>
      <c r="J56" s="35" t="s">
        <v>173</v>
      </c>
      <c r="K56" s="36" t="s">
        <v>144</v>
      </c>
      <c r="L56" s="36" t="s">
        <v>145</v>
      </c>
      <c r="M56" s="92" t="s">
        <v>177</v>
      </c>
      <c r="N56" s="33">
        <v>0</v>
      </c>
      <c r="O56" s="13"/>
    </row>
    <row r="57" spans="1:15" ht="25.5" x14ac:dyDescent="0.2">
      <c r="A57" s="25" t="s">
        <v>184</v>
      </c>
      <c r="B57" s="26">
        <f>_xlfn.XLOOKUP(G57,'[1]Base de datos'!$A:$A,'[1]Base de datos'!$X:$X)</f>
        <v>46015</v>
      </c>
      <c r="C57" s="25" t="s">
        <v>196</v>
      </c>
      <c r="D57" s="25" t="s">
        <v>196</v>
      </c>
      <c r="E57" s="27" t="s">
        <v>22</v>
      </c>
      <c r="F57" s="28">
        <f>_xlfn.XLOOKUP(G57,[2]PLANEAMIENTO!$A:$A,[2]PLANEAMIENTO!$AT:$AT)</f>
        <v>0.18214285714285713</v>
      </c>
      <c r="G57" s="4">
        <v>366625</v>
      </c>
      <c r="H57" s="4" t="s">
        <v>59</v>
      </c>
      <c r="I57" s="8" t="s">
        <v>75</v>
      </c>
      <c r="J57" s="35" t="s">
        <v>173</v>
      </c>
      <c r="K57" s="36" t="s">
        <v>145</v>
      </c>
      <c r="L57" s="36" t="s">
        <v>145</v>
      </c>
      <c r="M57" s="92" t="s">
        <v>177</v>
      </c>
      <c r="N57" s="33">
        <v>0</v>
      </c>
      <c r="O57" s="13"/>
    </row>
    <row r="58" spans="1:15" x14ac:dyDescent="0.2">
      <c r="A58" s="14" t="s">
        <v>84</v>
      </c>
      <c r="B58" s="37"/>
      <c r="C58" s="14"/>
      <c r="D58" s="38"/>
      <c r="E58" s="38"/>
      <c r="F58" s="17"/>
      <c r="G58" s="14"/>
      <c r="H58" s="14" t="s">
        <v>85</v>
      </c>
      <c r="I58" s="19"/>
      <c r="J58" s="39"/>
      <c r="K58" s="40">
        <f>$K$6</f>
        <v>46027</v>
      </c>
      <c r="L58" s="40">
        <f>$L$6</f>
        <v>46031</v>
      </c>
      <c r="M58" s="41"/>
      <c r="N58" s="42">
        <f>AVERAGE(N59:N72)</f>
        <v>0</v>
      </c>
      <c r="O58" s="24"/>
    </row>
    <row r="59" spans="1:15" x14ac:dyDescent="0.2">
      <c r="A59" s="25" t="s">
        <v>86</v>
      </c>
      <c r="B59" s="26">
        <f>_xlfn.XLOOKUP(G59,'[1]Base de datos'!$A:$A,'[1]Base de datos'!$X:$X)</f>
        <v>46003</v>
      </c>
      <c r="C59" s="25"/>
      <c r="D59" s="25"/>
      <c r="E59" s="27"/>
      <c r="F59" s="28">
        <f>_xlfn.XLOOKUP(G59,[2]PLANEAMIENTO!$A:$A,[2]PLANEAMIENTO!$AT:$AT)</f>
        <v>0</v>
      </c>
      <c r="G59" s="25">
        <v>365425</v>
      </c>
      <c r="H59" s="25" t="s">
        <v>197</v>
      </c>
      <c r="I59" s="43" t="s">
        <v>198</v>
      </c>
      <c r="J59" s="93" t="s">
        <v>87</v>
      </c>
      <c r="K59" s="31"/>
      <c r="L59" s="31"/>
      <c r="M59" s="32"/>
      <c r="N59" s="33">
        <v>0</v>
      </c>
      <c r="O59" s="34"/>
    </row>
    <row r="60" spans="1:15" x14ac:dyDescent="0.2">
      <c r="A60" s="25" t="s">
        <v>88</v>
      </c>
      <c r="B60" s="26">
        <f>_xlfn.XLOOKUP(G60,'[1]Base de datos'!$A:$A,'[1]Base de datos'!$X:$X)</f>
        <v>46015</v>
      </c>
      <c r="C60" s="25"/>
      <c r="D60" s="25"/>
      <c r="E60" s="27"/>
      <c r="F60" s="28">
        <f>_xlfn.XLOOKUP(G60,[2]PLANEAMIENTO!$A:$A,[2]PLANEAMIENTO!$AT:$AT)</f>
        <v>0.28928571428571426</v>
      </c>
      <c r="G60" s="25">
        <v>366525</v>
      </c>
      <c r="H60" s="25" t="s">
        <v>59</v>
      </c>
      <c r="I60" s="43" t="s">
        <v>75</v>
      </c>
      <c r="J60" s="93" t="s">
        <v>87</v>
      </c>
      <c r="K60" s="31"/>
      <c r="L60" s="31"/>
      <c r="M60" s="32"/>
      <c r="N60" s="33">
        <v>0</v>
      </c>
      <c r="O60" s="34"/>
    </row>
    <row r="61" spans="1:15" x14ac:dyDescent="0.2">
      <c r="A61" s="25" t="s">
        <v>89</v>
      </c>
      <c r="B61" s="26">
        <f>_xlfn.XLOOKUP(G61,'[1]Base de datos'!$A:$A,'[1]Base de datos'!$X:$X)</f>
        <v>46015</v>
      </c>
      <c r="C61" s="25"/>
      <c r="D61" s="25"/>
      <c r="E61" s="27"/>
      <c r="F61" s="28">
        <f>_xlfn.XLOOKUP(G61,[2]PLANEAMIENTO!$A:$A,[2]PLANEAMIENTO!$AT:$AT)</f>
        <v>0.18214285714285713</v>
      </c>
      <c r="G61" s="25">
        <v>366625</v>
      </c>
      <c r="H61" s="25" t="s">
        <v>59</v>
      </c>
      <c r="I61" s="43" t="s">
        <v>75</v>
      </c>
      <c r="J61" s="93" t="s">
        <v>87</v>
      </c>
      <c r="K61" s="31"/>
      <c r="L61" s="31"/>
      <c r="M61" s="32"/>
      <c r="N61" s="33">
        <v>0</v>
      </c>
      <c r="O61" s="34"/>
    </row>
    <row r="62" spans="1:15" x14ac:dyDescent="0.2">
      <c r="A62" s="25" t="s">
        <v>91</v>
      </c>
      <c r="B62" s="26">
        <f>_xlfn.XLOOKUP(G62,'[1]Base de datos'!$A:$A,'[1]Base de datos'!$X:$X)</f>
        <v>46015</v>
      </c>
      <c r="C62" s="25"/>
      <c r="D62" s="25"/>
      <c r="E62" s="27"/>
      <c r="F62" s="28">
        <f>_xlfn.XLOOKUP(G62,[2]PLANEAMIENTO!$A:$A,[2]PLANEAMIENTO!$AT:$AT)</f>
        <v>0.06</v>
      </c>
      <c r="G62" s="25">
        <v>367725</v>
      </c>
      <c r="H62" s="25" t="s">
        <v>32</v>
      </c>
      <c r="I62" s="43" t="s">
        <v>101</v>
      </c>
      <c r="J62" s="93" t="s">
        <v>87</v>
      </c>
      <c r="K62" s="31"/>
      <c r="L62" s="31"/>
      <c r="M62" s="32"/>
      <c r="N62" s="33">
        <v>0</v>
      </c>
      <c r="O62" s="34"/>
    </row>
    <row r="63" spans="1:15" x14ac:dyDescent="0.2">
      <c r="A63" s="25" t="s">
        <v>94</v>
      </c>
      <c r="B63" s="26">
        <f>_xlfn.XLOOKUP(G63,'[1]Base de datos'!$A:$A,'[1]Base de datos'!$X:$X)</f>
        <v>46017</v>
      </c>
      <c r="C63" s="25"/>
      <c r="D63" s="25"/>
      <c r="E63" s="27"/>
      <c r="F63" s="28">
        <f>_xlfn.XLOOKUP(G63,[2]PLANEAMIENTO!$A:$A,[2]PLANEAMIENTO!$AT:$AT)</f>
        <v>8.3333333333333329E-2</v>
      </c>
      <c r="G63" s="25">
        <v>368025</v>
      </c>
      <c r="H63" s="25" t="s">
        <v>199</v>
      </c>
      <c r="I63" s="43" t="s">
        <v>24</v>
      </c>
      <c r="J63" s="93" t="s">
        <v>87</v>
      </c>
      <c r="K63" s="31"/>
      <c r="L63" s="31"/>
      <c r="M63" s="32"/>
      <c r="N63" s="33">
        <v>0</v>
      </c>
      <c r="O63" s="34"/>
    </row>
    <row r="64" spans="1:15" x14ac:dyDescent="0.2">
      <c r="A64" s="25" t="s">
        <v>95</v>
      </c>
      <c r="B64" s="26">
        <f>_xlfn.XLOOKUP(G64,'[1]Base de datos'!$A:$A,'[1]Base de datos'!$X:$X)</f>
        <v>46021</v>
      </c>
      <c r="C64" s="25"/>
      <c r="D64" s="25"/>
      <c r="E64" s="27"/>
      <c r="F64" s="28">
        <f>_xlfn.XLOOKUP(G64,[2]PLANEAMIENTO!$A:$A,[2]PLANEAMIENTO!$AT:$AT)</f>
        <v>0.1409090909090909</v>
      </c>
      <c r="G64" s="25">
        <v>368125</v>
      </c>
      <c r="H64" s="25" t="s">
        <v>42</v>
      </c>
      <c r="I64" s="43" t="s">
        <v>60</v>
      </c>
      <c r="J64" s="93" t="s">
        <v>87</v>
      </c>
      <c r="K64" s="31"/>
      <c r="L64" s="31"/>
      <c r="M64" s="32"/>
      <c r="N64" s="33">
        <v>0</v>
      </c>
      <c r="O64" s="34"/>
    </row>
    <row r="65" spans="1:15" x14ac:dyDescent="0.2">
      <c r="A65" s="25" t="s">
        <v>96</v>
      </c>
      <c r="B65" s="26">
        <f>_xlfn.XLOOKUP(G65,'[1]Base de datos'!$A:$A,'[1]Base de datos'!$X:$X)</f>
        <v>46021</v>
      </c>
      <c r="C65" s="25"/>
      <c r="D65" s="25"/>
      <c r="E65" s="27"/>
      <c r="F65" s="28">
        <f>_xlfn.XLOOKUP(G65,[2]PLANEAMIENTO!$A:$A,[2]PLANEAMIENTO!$AT:$AT)</f>
        <v>0.31842105263157894</v>
      </c>
      <c r="G65" s="25">
        <v>368225</v>
      </c>
      <c r="H65" s="25" t="s">
        <v>139</v>
      </c>
      <c r="I65" s="43">
        <v>24</v>
      </c>
      <c r="J65" s="93" t="s">
        <v>87</v>
      </c>
      <c r="K65" s="31"/>
      <c r="L65" s="31"/>
      <c r="M65" s="32"/>
      <c r="N65" s="33">
        <v>0</v>
      </c>
      <c r="O65" s="34"/>
    </row>
    <row r="66" spans="1:15" x14ac:dyDescent="0.2">
      <c r="A66" s="25" t="s">
        <v>97</v>
      </c>
      <c r="B66" s="26">
        <f>_xlfn.XLOOKUP(G66,'[1]Base de datos'!$A:$A,'[1]Base de datos'!$X:$X)</f>
        <v>46021</v>
      </c>
      <c r="C66" s="25"/>
      <c r="D66" s="25"/>
      <c r="E66" s="27"/>
      <c r="F66" s="28">
        <f>_xlfn.XLOOKUP(G66,[2]PLANEAMIENTO!$A:$A,[2]PLANEAMIENTO!$AT:$AT)</f>
        <v>0.155</v>
      </c>
      <c r="G66" s="25">
        <v>368325</v>
      </c>
      <c r="H66" s="25" t="s">
        <v>175</v>
      </c>
      <c r="I66" s="43" t="s">
        <v>176</v>
      </c>
      <c r="J66" s="93" t="s">
        <v>87</v>
      </c>
      <c r="K66" s="31"/>
      <c r="L66" s="31"/>
      <c r="M66" s="32"/>
      <c r="N66" s="33">
        <v>0</v>
      </c>
      <c r="O66" s="34"/>
    </row>
    <row r="67" spans="1:15" x14ac:dyDescent="0.2">
      <c r="A67" s="25" t="s">
        <v>98</v>
      </c>
      <c r="B67" s="26">
        <f>_xlfn.XLOOKUP(G67,'[1]Base de datos'!$A:$A,'[1]Base de datos'!$X:$X)</f>
        <v>46021</v>
      </c>
      <c r="C67" s="25"/>
      <c r="D67" s="25"/>
      <c r="E67" s="27"/>
      <c r="F67" s="28">
        <f>_xlfn.XLOOKUP(G67,[2]PLANEAMIENTO!$A:$A,[2]PLANEAMIENTO!$AT:$AT)</f>
        <v>0.29411764705882354</v>
      </c>
      <c r="G67" s="25">
        <v>368425</v>
      </c>
      <c r="H67" s="25" t="s">
        <v>44</v>
      </c>
      <c r="I67" s="43" t="s">
        <v>140</v>
      </c>
      <c r="J67" s="93" t="s">
        <v>87</v>
      </c>
      <c r="K67" s="31"/>
      <c r="L67" s="31"/>
      <c r="M67" s="32"/>
      <c r="N67" s="33">
        <v>0</v>
      </c>
      <c r="O67" s="34"/>
    </row>
    <row r="68" spans="1:15" x14ac:dyDescent="0.2">
      <c r="A68" s="25" t="s">
        <v>99</v>
      </c>
      <c r="B68" s="26">
        <f>_xlfn.XLOOKUP(G68,'[1]Base de datos'!$A:$A,'[1]Base de datos'!$X:$X)</f>
        <v>46021</v>
      </c>
      <c r="C68" s="25"/>
      <c r="D68" s="25"/>
      <c r="E68" s="27"/>
      <c r="F68" s="28">
        <f>_xlfn.XLOOKUP(G68,[2]PLANEAMIENTO!$A:$A,[2]PLANEAMIENTO!$AT:$AT)</f>
        <v>0.19285714285714284</v>
      </c>
      <c r="G68" s="25">
        <v>368525</v>
      </c>
      <c r="H68" s="25" t="s">
        <v>44</v>
      </c>
      <c r="I68" s="43" t="s">
        <v>106</v>
      </c>
      <c r="J68" s="93" t="s">
        <v>87</v>
      </c>
      <c r="K68" s="31"/>
      <c r="L68" s="31"/>
      <c r="M68" s="32"/>
      <c r="N68" s="33">
        <v>0</v>
      </c>
      <c r="O68" s="34"/>
    </row>
    <row r="69" spans="1:15" x14ac:dyDescent="0.2">
      <c r="A69" s="25" t="s">
        <v>100</v>
      </c>
      <c r="B69" s="26">
        <f>_xlfn.XLOOKUP(G69,'[1]Base de datos'!$A:$A,'[1]Base de datos'!$X:$X)</f>
        <v>46021</v>
      </c>
      <c r="C69" s="25"/>
      <c r="D69" s="25"/>
      <c r="E69" s="27"/>
      <c r="F69" s="28">
        <f>_xlfn.XLOOKUP(G69,[2]PLANEAMIENTO!$A:$A,[2]PLANEAMIENTO!$AT:$AT)</f>
        <v>0.6</v>
      </c>
      <c r="G69" s="25">
        <v>368625</v>
      </c>
      <c r="H69" s="25" t="s">
        <v>59</v>
      </c>
      <c r="I69" s="43" t="s">
        <v>60</v>
      </c>
      <c r="J69" s="93" t="s">
        <v>87</v>
      </c>
      <c r="K69" s="31"/>
      <c r="L69" s="31"/>
      <c r="M69" s="32"/>
      <c r="N69" s="33">
        <v>0</v>
      </c>
      <c r="O69" s="34"/>
    </row>
    <row r="70" spans="1:15" x14ac:dyDescent="0.2">
      <c r="A70" s="25" t="s">
        <v>202</v>
      </c>
      <c r="B70" s="26">
        <f>_xlfn.XLOOKUP(G70,'[1]Base de datos'!$A:$A,'[1]Base de datos'!$X:$X)</f>
        <v>46027</v>
      </c>
      <c r="C70" s="25"/>
      <c r="D70" s="25"/>
      <c r="E70" s="27"/>
      <c r="F70" s="28">
        <f>_xlfn.XLOOKUP(G70,[2]PLANEAMIENTO!$A:$A,[2]PLANEAMIENTO!$AT:$AT)</f>
        <v>0.18214285714285713</v>
      </c>
      <c r="G70" s="25">
        <v>368726</v>
      </c>
      <c r="H70" s="25" t="s">
        <v>200</v>
      </c>
      <c r="I70" s="43" t="s">
        <v>201</v>
      </c>
      <c r="J70" s="93" t="s">
        <v>87</v>
      </c>
      <c r="K70" s="31"/>
      <c r="L70" s="31"/>
      <c r="M70" s="32"/>
      <c r="N70" s="33">
        <v>0</v>
      </c>
      <c r="O70" s="34"/>
    </row>
    <row r="71" spans="1:15" x14ac:dyDescent="0.2">
      <c r="A71" s="25" t="s">
        <v>203</v>
      </c>
      <c r="B71" s="26">
        <f>_xlfn.XLOOKUP(G71,'[1]Base de datos'!$A:$A,'[1]Base de datos'!$X:$X)</f>
        <v>46027</v>
      </c>
      <c r="C71" s="25"/>
      <c r="D71" s="25"/>
      <c r="E71" s="27"/>
      <c r="F71" s="28">
        <f>_xlfn.XLOOKUP(G71,[2]PLANEAMIENTO!$A:$A,[2]PLANEAMIENTO!$AT:$AT)</f>
        <v>0.255</v>
      </c>
      <c r="G71" s="25">
        <v>368826</v>
      </c>
      <c r="H71" s="25" t="s">
        <v>200</v>
      </c>
      <c r="I71" s="43" t="s">
        <v>201</v>
      </c>
      <c r="J71" s="93" t="s">
        <v>87</v>
      </c>
      <c r="K71" s="31"/>
      <c r="L71" s="31"/>
      <c r="M71" s="32"/>
      <c r="N71" s="33">
        <v>0</v>
      </c>
      <c r="O71" s="34"/>
    </row>
    <row r="72" spans="1:15" x14ac:dyDescent="0.2">
      <c r="A72" s="25" t="s">
        <v>204</v>
      </c>
      <c r="B72" s="26">
        <f>_xlfn.XLOOKUP(G72,'[1]Base de datos'!$A:$A,'[1]Base de datos'!$X:$X)</f>
        <v>46027</v>
      </c>
      <c r="C72" s="25"/>
      <c r="D72" s="27"/>
      <c r="E72" s="27"/>
      <c r="F72" s="28">
        <f>_xlfn.XLOOKUP(G72,[2]PLANEAMIENTO!$A:$A,[2]PLANEAMIENTO!$AT:$AT)</f>
        <v>0.35</v>
      </c>
      <c r="G72" s="25">
        <v>368926</v>
      </c>
      <c r="H72" s="25" t="s">
        <v>200</v>
      </c>
      <c r="I72" s="43" t="s">
        <v>201</v>
      </c>
      <c r="J72" s="93" t="s">
        <v>87</v>
      </c>
      <c r="K72" s="31"/>
      <c r="L72" s="31"/>
      <c r="M72" s="32"/>
      <c r="N72" s="33">
        <v>0</v>
      </c>
      <c r="O72" s="34"/>
    </row>
    <row r="73" spans="1:15" x14ac:dyDescent="0.2">
      <c r="A73" s="14" t="s">
        <v>102</v>
      </c>
      <c r="B73" s="37" t="s">
        <v>103</v>
      </c>
      <c r="C73" s="14"/>
      <c r="D73" s="38"/>
      <c r="E73" s="38"/>
      <c r="F73" s="17" t="s">
        <v>104</v>
      </c>
      <c r="G73" s="14" t="s">
        <v>10</v>
      </c>
      <c r="H73" s="14" t="s">
        <v>105</v>
      </c>
      <c r="I73" s="19"/>
      <c r="J73" s="39"/>
      <c r="K73" s="40">
        <f>$K$6</f>
        <v>46027</v>
      </c>
      <c r="L73" s="40">
        <f>$L$6</f>
        <v>46031</v>
      </c>
      <c r="M73" s="41"/>
      <c r="N73" s="42">
        <f>AVERAGE(N74:N84)</f>
        <v>0</v>
      </c>
      <c r="O73" s="24"/>
    </row>
    <row r="74" spans="1:15" x14ac:dyDescent="0.2">
      <c r="A74" s="43">
        <v>9.1</v>
      </c>
      <c r="B74" s="26">
        <f>_xlfn.XLOOKUP(G74,'[1]Base de datos'!$A:$A,'[1]Base de datos'!$X:$X)</f>
        <v>45975</v>
      </c>
      <c r="C74" s="25" t="s">
        <v>196</v>
      </c>
      <c r="D74" s="25" t="s">
        <v>196</v>
      </c>
      <c r="E74" s="27" t="s">
        <v>22</v>
      </c>
      <c r="F74" s="28">
        <f>_xlfn.XLOOKUP(G74,[2]PLANEAMIENTO!$A:$A,[2]PLANEAMIENTO!$AT:$AT)</f>
        <v>0.73333333333333328</v>
      </c>
      <c r="G74" s="25">
        <v>360325</v>
      </c>
      <c r="H74" s="25" t="s">
        <v>38</v>
      </c>
      <c r="I74" s="43" t="s">
        <v>39</v>
      </c>
      <c r="J74" s="29" t="s">
        <v>192</v>
      </c>
      <c r="K74" s="31"/>
      <c r="L74" s="31"/>
      <c r="M74" s="32"/>
      <c r="N74" s="33">
        <v>0</v>
      </c>
      <c r="O74" s="34"/>
    </row>
    <row r="75" spans="1:15" x14ac:dyDescent="0.2">
      <c r="A75" s="43">
        <v>9.1999999999999993</v>
      </c>
      <c r="B75" s="26">
        <f>_xlfn.XLOOKUP(G75,'[1]Base de datos'!$A:$A,'[1]Base de datos'!$X:$X)</f>
        <v>45979</v>
      </c>
      <c r="C75" s="25" t="s">
        <v>196</v>
      </c>
      <c r="D75" s="25" t="s">
        <v>196</v>
      </c>
      <c r="E75" s="27" t="s">
        <v>22</v>
      </c>
      <c r="F75" s="28">
        <f>_xlfn.XLOOKUP(G75,[2]PLANEAMIENTO!$A:$A,[2]PLANEAMIENTO!$AT:$AT)</f>
        <v>1</v>
      </c>
      <c r="G75" s="25">
        <v>360825</v>
      </c>
      <c r="H75" s="25" t="s">
        <v>107</v>
      </c>
      <c r="I75" s="43" t="s">
        <v>108</v>
      </c>
      <c r="J75" s="29" t="s">
        <v>193</v>
      </c>
      <c r="K75" s="31"/>
      <c r="L75" s="31"/>
      <c r="M75" s="32"/>
      <c r="N75" s="33">
        <v>0</v>
      </c>
      <c r="O75" s="34"/>
    </row>
    <row r="76" spans="1:15" x14ac:dyDescent="0.2">
      <c r="A76" s="43">
        <v>9.3000000000000007</v>
      </c>
      <c r="B76" s="26">
        <f>_xlfn.XLOOKUP(G76,'[1]Base de datos'!$A:$A,'[1]Base de datos'!$X:$X)</f>
        <v>45979</v>
      </c>
      <c r="C76" s="25" t="s">
        <v>196</v>
      </c>
      <c r="D76" s="25" t="s">
        <v>196</v>
      </c>
      <c r="E76" s="27"/>
      <c r="F76" s="28">
        <f>_xlfn.XLOOKUP(G76,[2]PLANEAMIENTO!$A:$A,[2]PLANEAMIENTO!$AT:$AT)</f>
        <v>1</v>
      </c>
      <c r="G76" s="25">
        <v>360925</v>
      </c>
      <c r="H76" s="25" t="s">
        <v>42</v>
      </c>
      <c r="I76" s="43">
        <v>24</v>
      </c>
      <c r="J76" s="29" t="s">
        <v>193</v>
      </c>
      <c r="K76" s="31"/>
      <c r="L76" s="31"/>
      <c r="M76" s="32"/>
      <c r="N76" s="33">
        <v>0</v>
      </c>
      <c r="O76" s="34"/>
    </row>
    <row r="77" spans="1:15" x14ac:dyDescent="0.2">
      <c r="A77" s="43">
        <v>9.4</v>
      </c>
      <c r="B77" s="26">
        <f>_xlfn.XLOOKUP(G77,'[1]Base de datos'!$A:$A,'[1]Base de datos'!$X:$X)</f>
        <v>45979</v>
      </c>
      <c r="C77" s="25" t="s">
        <v>196</v>
      </c>
      <c r="D77" s="25" t="s">
        <v>196</v>
      </c>
      <c r="E77" s="27"/>
      <c r="F77" s="28">
        <f>_xlfn.XLOOKUP(G77,[2]PLANEAMIENTO!$A:$A,[2]PLANEAMIENTO!$AT:$AT)</f>
        <v>1</v>
      </c>
      <c r="G77" s="25">
        <v>361225</v>
      </c>
      <c r="H77" s="25" t="s">
        <v>194</v>
      </c>
      <c r="I77" s="43" t="s">
        <v>75</v>
      </c>
      <c r="J77" s="29" t="s">
        <v>193</v>
      </c>
      <c r="K77" s="31"/>
      <c r="L77" s="31"/>
      <c r="M77" s="32"/>
      <c r="N77" s="33">
        <v>0</v>
      </c>
      <c r="O77" s="34"/>
    </row>
    <row r="78" spans="1:15" x14ac:dyDescent="0.2">
      <c r="A78" s="43">
        <v>9.5</v>
      </c>
      <c r="B78" s="26">
        <f>_xlfn.XLOOKUP(G78,'[1]Base de datos'!$A:$A,'[1]Base de datos'!$X:$X)</f>
        <v>45979</v>
      </c>
      <c r="C78" s="25" t="s">
        <v>196</v>
      </c>
      <c r="D78" s="25" t="s">
        <v>196</v>
      </c>
      <c r="E78" s="27"/>
      <c r="F78" s="28">
        <f>_xlfn.XLOOKUP(G78,[2]PLANEAMIENTO!$A:$A,[2]PLANEAMIENTO!$AT:$AT)</f>
        <v>1</v>
      </c>
      <c r="G78" s="25">
        <v>361325</v>
      </c>
      <c r="H78" s="25" t="s">
        <v>194</v>
      </c>
      <c r="I78" s="43" t="s">
        <v>75</v>
      </c>
      <c r="J78" s="29" t="s">
        <v>193</v>
      </c>
      <c r="K78" s="31"/>
      <c r="L78" s="31"/>
      <c r="M78" s="32"/>
      <c r="N78" s="33">
        <v>0</v>
      </c>
      <c r="O78" s="34"/>
    </row>
    <row r="79" spans="1:15" x14ac:dyDescent="0.2">
      <c r="A79" s="43">
        <v>9.6</v>
      </c>
      <c r="B79" s="26">
        <f>_xlfn.XLOOKUP(G79,'[1]Base de datos'!$A:$A,'[1]Base de datos'!$X:$X)</f>
        <v>45980</v>
      </c>
      <c r="C79" s="25" t="s">
        <v>196</v>
      </c>
      <c r="D79" s="25" t="s">
        <v>196</v>
      </c>
      <c r="E79" s="27"/>
      <c r="F79" s="28">
        <f>_xlfn.XLOOKUP(G79,[2]PLANEAMIENTO!$A:$A,[2]PLANEAMIENTO!$AT:$AT)</f>
        <v>1</v>
      </c>
      <c r="G79" s="25">
        <v>361625</v>
      </c>
      <c r="H79" s="25" t="s">
        <v>32</v>
      </c>
      <c r="I79" s="43" t="s">
        <v>33</v>
      </c>
      <c r="J79" s="29" t="s">
        <v>193</v>
      </c>
      <c r="K79" s="31"/>
      <c r="L79" s="31"/>
      <c r="M79" s="32"/>
      <c r="N79" s="33">
        <v>0</v>
      </c>
      <c r="O79" s="34"/>
    </row>
    <row r="80" spans="1:15" x14ac:dyDescent="0.2">
      <c r="A80" s="43">
        <v>9.6999999999999993</v>
      </c>
      <c r="B80" s="26">
        <f>_xlfn.XLOOKUP(G80,'[1]Base de datos'!$A:$A,'[1]Base de datos'!$X:$X)</f>
        <v>45985</v>
      </c>
      <c r="C80" s="25" t="s">
        <v>196</v>
      </c>
      <c r="D80" s="25" t="s">
        <v>196</v>
      </c>
      <c r="E80" s="27"/>
      <c r="F80" s="28">
        <f>_xlfn.XLOOKUP(G80,[2]PLANEAMIENTO!$A:$A,[2]PLANEAMIENTO!$AT:$AT)</f>
        <v>0</v>
      </c>
      <c r="G80" s="25">
        <v>362525</v>
      </c>
      <c r="H80" s="25" t="s">
        <v>194</v>
      </c>
      <c r="I80" s="43" t="s">
        <v>75</v>
      </c>
      <c r="J80" s="29" t="s">
        <v>193</v>
      </c>
      <c r="K80" s="31"/>
      <c r="L80" s="31"/>
      <c r="M80" s="32"/>
      <c r="N80" s="33">
        <v>0</v>
      </c>
      <c r="O80" s="34"/>
    </row>
    <row r="81" spans="1:15" x14ac:dyDescent="0.2">
      <c r="A81" s="43">
        <v>9.8000000000000007</v>
      </c>
      <c r="B81" s="26">
        <f>_xlfn.XLOOKUP(G81,'[1]Base de datos'!$A:$A,'[1]Base de datos'!$X:$X)</f>
        <v>45985</v>
      </c>
      <c r="C81" s="25" t="s">
        <v>196</v>
      </c>
      <c r="D81" s="25" t="s">
        <v>196</v>
      </c>
      <c r="E81" s="27"/>
      <c r="F81" s="28">
        <f>_xlfn.XLOOKUP(G81,[2]PLANEAMIENTO!$A:$A,[2]PLANEAMIENTO!$AT:$AT)</f>
        <v>1</v>
      </c>
      <c r="G81" s="25">
        <v>362625</v>
      </c>
      <c r="H81" s="25" t="s">
        <v>42</v>
      </c>
      <c r="I81" s="43">
        <v>24</v>
      </c>
      <c r="J81" s="29" t="s">
        <v>192</v>
      </c>
      <c r="K81" s="31"/>
      <c r="L81" s="31"/>
      <c r="M81" s="32"/>
      <c r="N81" s="33">
        <v>0</v>
      </c>
      <c r="O81" s="34"/>
    </row>
    <row r="82" spans="1:15" x14ac:dyDescent="0.2">
      <c r="A82" s="43">
        <v>9.9</v>
      </c>
      <c r="B82" s="26">
        <f>_xlfn.XLOOKUP(G82,'[1]Base de datos'!$A:$A,'[1]Base de datos'!$X:$X)</f>
        <v>45985</v>
      </c>
      <c r="C82" s="25" t="s">
        <v>196</v>
      </c>
      <c r="D82" s="25" t="s">
        <v>196</v>
      </c>
      <c r="E82" s="27"/>
      <c r="F82" s="28">
        <f>_xlfn.XLOOKUP(G82,[2]PLANEAMIENTO!$A:$A,[2]PLANEAMIENTO!$AT:$AT)</f>
        <v>1</v>
      </c>
      <c r="G82" s="25">
        <v>362725</v>
      </c>
      <c r="H82" s="25" t="s">
        <v>42</v>
      </c>
      <c r="I82" s="43" t="s">
        <v>195</v>
      </c>
      <c r="J82" s="29" t="s">
        <v>193</v>
      </c>
      <c r="K82" s="31"/>
      <c r="L82" s="31"/>
      <c r="M82" s="32"/>
      <c r="N82" s="33">
        <v>0</v>
      </c>
      <c r="O82" s="34"/>
    </row>
    <row r="83" spans="1:15" x14ac:dyDescent="0.2">
      <c r="A83" s="43">
        <v>9.1</v>
      </c>
      <c r="B83" s="26">
        <f>_xlfn.XLOOKUP(G83,'[1]Base de datos'!$A:$A,'[1]Base de datos'!$X:$X)</f>
        <v>45987</v>
      </c>
      <c r="C83" s="25" t="s">
        <v>196</v>
      </c>
      <c r="D83" s="25" t="s">
        <v>196</v>
      </c>
      <c r="E83" s="27"/>
      <c r="F83" s="28">
        <f>_xlfn.XLOOKUP(G83,[2]PLANEAMIENTO!$A:$A,[2]PLANEAMIENTO!$AT:$AT)</f>
        <v>0.505</v>
      </c>
      <c r="G83" s="25">
        <v>363625</v>
      </c>
      <c r="H83" s="25" t="s">
        <v>42</v>
      </c>
      <c r="I83" s="43" t="s">
        <v>60</v>
      </c>
      <c r="J83" s="29" t="s">
        <v>192</v>
      </c>
      <c r="K83" s="31"/>
      <c r="L83" s="31"/>
      <c r="M83" s="32"/>
      <c r="N83" s="33">
        <v>0</v>
      </c>
      <c r="O83" s="34"/>
    </row>
    <row r="84" spans="1:15" x14ac:dyDescent="0.2">
      <c r="A84" s="43"/>
      <c r="B84" s="26"/>
      <c r="C84" s="25"/>
      <c r="D84" s="25"/>
      <c r="E84" s="27"/>
      <c r="F84" s="28"/>
      <c r="G84" s="25"/>
      <c r="H84" s="25"/>
      <c r="I84" s="43"/>
      <c r="J84" s="29"/>
      <c r="K84" s="31"/>
      <c r="L84" s="31"/>
      <c r="M84" s="32"/>
      <c r="N84" s="33"/>
      <c r="O84" s="34"/>
    </row>
    <row r="85" spans="1:15" x14ac:dyDescent="0.2">
      <c r="A85" s="43"/>
      <c r="B85" s="26"/>
      <c r="C85" s="25"/>
      <c r="D85" s="25"/>
      <c r="E85" s="27"/>
      <c r="F85" s="28"/>
      <c r="G85" s="25"/>
      <c r="H85" s="25"/>
      <c r="I85" s="43"/>
      <c r="J85" s="29"/>
      <c r="K85" s="31"/>
      <c r="L85" s="31"/>
      <c r="M85" s="32"/>
      <c r="N85" s="33"/>
      <c r="O85" s="34"/>
    </row>
    <row r="86" spans="1:15" ht="13.5" thickBot="1" x14ac:dyDescent="0.25"/>
    <row r="87" spans="1:15" ht="39" thickBot="1" x14ac:dyDescent="0.25">
      <c r="B87" s="50" t="s">
        <v>109</v>
      </c>
      <c r="C87" s="51" t="s">
        <v>11</v>
      </c>
      <c r="D87" s="51" t="s">
        <v>110</v>
      </c>
      <c r="E87" s="51" t="s">
        <v>111</v>
      </c>
      <c r="F87" s="52" t="s">
        <v>112</v>
      </c>
      <c r="G87" s="53" t="s">
        <v>113</v>
      </c>
      <c r="H87" s="54" t="s">
        <v>114</v>
      </c>
      <c r="J87" s="55" t="s">
        <v>11</v>
      </c>
      <c r="K87" s="56" t="s">
        <v>205</v>
      </c>
      <c r="L87" s="56" t="s">
        <v>206</v>
      </c>
      <c r="M87" s="56" t="s">
        <v>207</v>
      </c>
      <c r="N87" s="56" t="s">
        <v>208</v>
      </c>
      <c r="O87" s="56" t="s">
        <v>115</v>
      </c>
    </row>
    <row r="88" spans="1:15" x14ac:dyDescent="0.2">
      <c r="B88" s="57">
        <v>1</v>
      </c>
      <c r="C88" s="58" t="s">
        <v>20</v>
      </c>
      <c r="D88" s="59">
        <v>48</v>
      </c>
      <c r="E88" s="59"/>
      <c r="F88" s="59"/>
      <c r="G88" s="60">
        <f>F88/D88</f>
        <v>0</v>
      </c>
      <c r="H88" s="61"/>
      <c r="J88" s="62" t="s">
        <v>110</v>
      </c>
      <c r="K88" s="59"/>
      <c r="L88" s="59"/>
      <c r="M88" s="63"/>
      <c r="N88" s="63"/>
      <c r="O88" s="64"/>
    </row>
    <row r="89" spans="1:15" x14ac:dyDescent="0.2">
      <c r="B89" s="65">
        <v>1</v>
      </c>
      <c r="C89" s="66" t="s">
        <v>36</v>
      </c>
      <c r="D89" s="67">
        <v>48</v>
      </c>
      <c r="E89" s="67"/>
      <c r="F89" s="67"/>
      <c r="G89" s="60">
        <f t="shared" ref="G89:G97" si="0">F89/D89</f>
        <v>0</v>
      </c>
      <c r="H89" s="68"/>
      <c r="J89" s="69" t="s">
        <v>116</v>
      </c>
      <c r="K89" s="70"/>
      <c r="L89" s="70"/>
      <c r="M89" s="71"/>
      <c r="N89" s="71"/>
      <c r="O89" s="72"/>
    </row>
    <row r="90" spans="1:15" x14ac:dyDescent="0.2">
      <c r="B90" s="65">
        <v>1</v>
      </c>
      <c r="C90" s="66" t="s">
        <v>49</v>
      </c>
      <c r="D90" s="67">
        <v>48</v>
      </c>
      <c r="E90" s="67"/>
      <c r="F90" s="67"/>
      <c r="G90" s="60">
        <f t="shared" si="0"/>
        <v>0</v>
      </c>
      <c r="H90" s="68"/>
      <c r="J90" s="69" t="s">
        <v>117</v>
      </c>
      <c r="K90" s="67"/>
      <c r="L90" s="67"/>
      <c r="M90" s="73"/>
      <c r="N90" s="73"/>
      <c r="O90" s="72"/>
    </row>
    <row r="91" spans="1:15" x14ac:dyDescent="0.2">
      <c r="B91" s="65">
        <v>1</v>
      </c>
      <c r="C91" s="66" t="s">
        <v>62</v>
      </c>
      <c r="D91" s="67">
        <v>48</v>
      </c>
      <c r="E91" s="67"/>
      <c r="F91" s="67"/>
      <c r="G91" s="60">
        <f t="shared" si="0"/>
        <v>0</v>
      </c>
      <c r="H91" s="68"/>
      <c r="J91" s="74" t="s">
        <v>118</v>
      </c>
      <c r="K91" s="67"/>
      <c r="L91" s="67"/>
      <c r="M91" s="73"/>
      <c r="N91" s="73"/>
      <c r="O91" s="72"/>
    </row>
    <row r="92" spans="1:15" x14ac:dyDescent="0.2">
      <c r="B92" s="65">
        <v>1</v>
      </c>
      <c r="C92" s="66" t="s">
        <v>73</v>
      </c>
      <c r="D92" s="67">
        <v>48</v>
      </c>
      <c r="E92" s="67"/>
      <c r="F92" s="67"/>
      <c r="G92" s="60">
        <f t="shared" si="0"/>
        <v>0</v>
      </c>
      <c r="H92" s="68"/>
      <c r="J92" s="74" t="s">
        <v>119</v>
      </c>
      <c r="K92" s="67"/>
      <c r="L92" s="67"/>
      <c r="M92" s="73"/>
      <c r="N92" s="73"/>
      <c r="O92" s="72"/>
    </row>
    <row r="93" spans="1:15" x14ac:dyDescent="0.2">
      <c r="B93" s="65">
        <v>1</v>
      </c>
      <c r="C93" s="66" t="s">
        <v>78</v>
      </c>
      <c r="D93" s="67">
        <v>48</v>
      </c>
      <c r="E93" s="67"/>
      <c r="F93" s="67"/>
      <c r="G93" s="60">
        <f t="shared" si="0"/>
        <v>0</v>
      </c>
      <c r="H93" s="68"/>
      <c r="J93" s="74" t="s">
        <v>120</v>
      </c>
      <c r="K93" s="67"/>
      <c r="L93" s="67"/>
      <c r="M93" s="73"/>
      <c r="N93" s="73"/>
      <c r="O93" s="72"/>
    </row>
    <row r="94" spans="1:15" ht="13.5" thickBot="1" x14ac:dyDescent="0.25">
      <c r="B94" s="65">
        <v>1</v>
      </c>
      <c r="C94" s="66" t="s">
        <v>82</v>
      </c>
      <c r="D94" s="67">
        <v>48</v>
      </c>
      <c r="E94" s="67"/>
      <c r="F94" s="67"/>
      <c r="G94" s="60">
        <f t="shared" si="0"/>
        <v>0</v>
      </c>
      <c r="H94" s="68"/>
      <c r="J94" s="75" t="s">
        <v>121</v>
      </c>
      <c r="K94" s="76"/>
      <c r="L94" s="76"/>
      <c r="M94" s="77"/>
      <c r="N94" s="77"/>
      <c r="O94" s="78"/>
    </row>
    <row r="95" spans="1:15" x14ac:dyDescent="0.2">
      <c r="B95" s="65">
        <v>1</v>
      </c>
      <c r="C95" s="66" t="s">
        <v>122</v>
      </c>
      <c r="D95" s="67">
        <v>48</v>
      </c>
      <c r="E95" s="67"/>
      <c r="F95" s="67"/>
      <c r="G95" s="60">
        <f t="shared" si="0"/>
        <v>0</v>
      </c>
      <c r="H95" s="68"/>
    </row>
    <row r="96" spans="1:15" ht="25.5" x14ac:dyDescent="0.2">
      <c r="B96" s="65">
        <v>3</v>
      </c>
      <c r="C96" s="79" t="s">
        <v>123</v>
      </c>
      <c r="D96" s="67">
        <v>144</v>
      </c>
      <c r="E96" s="67"/>
      <c r="F96" s="67"/>
      <c r="G96" s="60">
        <f t="shared" si="0"/>
        <v>0</v>
      </c>
      <c r="H96" s="80"/>
    </row>
    <row r="97" spans="2:8" ht="13.5" thickBot="1" x14ac:dyDescent="0.25">
      <c r="B97" s="81">
        <v>1</v>
      </c>
      <c r="C97" s="82" t="s">
        <v>124</v>
      </c>
      <c r="D97" s="83">
        <v>48</v>
      </c>
      <c r="E97" s="83"/>
      <c r="F97" s="83"/>
      <c r="G97" s="84">
        <f t="shared" si="0"/>
        <v>0</v>
      </c>
      <c r="H97" s="85"/>
    </row>
    <row r="98" spans="2:8" ht="13.5" thickBot="1" x14ac:dyDescent="0.25">
      <c r="B98"/>
      <c r="C98" s="1"/>
      <c r="D98" s="86">
        <f>SUM(D88:D97)</f>
        <v>576</v>
      </c>
      <c r="G98" s="87">
        <f>AVERAGE(G88:G97)</f>
        <v>0</v>
      </c>
    </row>
    <row r="101" spans="2:8" x14ac:dyDescent="0.2">
      <c r="B101" s="88"/>
    </row>
    <row r="102" spans="2:8" x14ac:dyDescent="0.2">
      <c r="B102" s="89"/>
    </row>
  </sheetData>
  <mergeCells count="23">
    <mergeCell ref="K1:K2"/>
    <mergeCell ref="L1:L2"/>
    <mergeCell ref="I3:I4"/>
    <mergeCell ref="J3:J4"/>
    <mergeCell ref="K3:K4"/>
    <mergeCell ref="L3:L4"/>
    <mergeCell ref="G3:G4"/>
    <mergeCell ref="H3:H4"/>
    <mergeCell ref="A1:A4"/>
    <mergeCell ref="B1:B2"/>
    <mergeCell ref="C1:C2"/>
    <mergeCell ref="G1:J2"/>
    <mergeCell ref="B3:B4"/>
    <mergeCell ref="C3:C4"/>
    <mergeCell ref="D3:D4"/>
    <mergeCell ref="E3:E4"/>
    <mergeCell ref="F3:F4"/>
    <mergeCell ref="M3:M4"/>
    <mergeCell ref="N3:N4"/>
    <mergeCell ref="O3:O4"/>
    <mergeCell ref="M1:M2"/>
    <mergeCell ref="N1:N2"/>
    <mergeCell ref="O1:O2"/>
  </mergeCells>
  <phoneticPr fontId="12" type="noConversion"/>
  <conditionalFormatting sqref="A5:O20 A21:F29 M21:O29 A30:O85">
    <cfRule type="expression" dxfId="19" priority="1" stopIfTrue="1">
      <formula>$R5="x"</formula>
    </cfRule>
  </conditionalFormatting>
  <conditionalFormatting sqref="B87 H87:H97">
    <cfRule type="expression" dxfId="18" priority="4" stopIfTrue="1">
      <formula>$R87="x"</formula>
    </cfRule>
  </conditionalFormatting>
  <conditionalFormatting sqref="G12:L19 G21:L29">
    <cfRule type="expression" dxfId="17" priority="5" stopIfTrue="1">
      <formula>#REF!="x"</formula>
    </cfRule>
  </conditionalFormatting>
  <conditionalFormatting sqref="L1">
    <cfRule type="expression" dxfId="16" priority="2" stopIfTrue="1">
      <formula>$R1="x"</formula>
    </cfRule>
  </conditionalFormatting>
  <conditionalFormatting sqref="N1">
    <cfRule type="expression" dxfId="15" priority="3" stopIfTrue="1">
      <formula>$R1="x"</formula>
    </cfRule>
  </conditionalFormatting>
  <dataValidations disablePrompts="1" count="2">
    <dataValidation type="custom" allowBlank="1" showDropDown="1" sqref="K5:L11 K20:L85" xr:uid="{38072AFA-EFA3-4A52-A689-4E9B5AAE2114}">
      <formula1>OR(NOT(ISERROR(DATEVALUE(K5))), AND(ISNUMBER(K5), LEFT(CELL("format", K5))="D"))</formula1>
    </dataValidation>
    <dataValidation type="list" allowBlank="1" sqref="O6 O58 O20 O30 O11 O49 O43 O37" xr:uid="{ABAF34AE-9420-418F-8BB5-4E0EA9D200CA}">
      <formula1>"Activate PRO features"</formula1>
    </dataValidation>
  </dataValidations>
  <printOptions horizontalCentered="1"/>
  <pageMargins left="0.23622047244094491" right="0.23622047244094491" top="0.51181102362204722" bottom="0.51181102362204722" header="0.31496062992125984" footer="0.31496062992125984"/>
  <pageSetup paperSize="9" scale="56" fitToHeight="0" orientation="landscape" horizontalDpi="360" verticalDpi="36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" displayEmptyCellsAs="gap" markers="1" first="1" last="1" negative="1" displayXAxis="1" xr2:uid="{D505118F-A036-4434-9563-454F92C2E889}">
          <x14:colorSeries theme="7"/>
          <x14:colorNegative theme="5" tint="-0.499984740745262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'SEMANA 1'!K88:M88</xm:f>
              <xm:sqref>O88</xm:sqref>
            </x14:sparkline>
          </x14:sparklines>
        </x14:sparklineGroup>
        <x14:sparklineGroup manualMax="0" manualMin="0" lineWeight="1" displayEmptyCellsAs="gap" markers="1" first="1" last="1" negative="1" displayXAxis="1" xr2:uid="{E834F49A-5170-4CE0-B0E3-41D911E30CEC}">
          <x14:colorSeries theme="7"/>
          <x14:colorNegative theme="5" tint="-0.499984740745262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'SEMANA 1'!K89:M89</xm:f>
              <xm:sqref>O89</xm:sqref>
            </x14:sparkline>
            <x14:sparkline>
              <xm:f>'SEMANA 1'!K90:M90</xm:f>
              <xm:sqref>O90</xm:sqref>
            </x14:sparkline>
            <x14:sparkline>
              <xm:f>'SEMANA 1'!K91:M91</xm:f>
              <xm:sqref>O91</xm:sqref>
            </x14:sparkline>
            <x14:sparkline>
              <xm:f>'SEMANA 1'!K92:M92</xm:f>
              <xm:sqref>O92</xm:sqref>
            </x14:sparkline>
            <x14:sparkline>
              <xm:f>'SEMANA 1'!K93:M93</xm:f>
              <xm:sqref>O93</xm:sqref>
            </x14:sparkline>
            <x14:sparkline>
              <xm:f>'SEMANA 1'!K94:M94</xm:f>
              <xm:sqref>O94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A99F-2FFA-47D9-8A13-3F9FE1CA786A}">
  <sheetPr>
    <pageSetUpPr fitToPage="1"/>
  </sheetPr>
  <dimension ref="A1:O119"/>
  <sheetViews>
    <sheetView topLeftCell="A77" zoomScaleNormal="100" workbookViewId="0">
      <selection activeCell="J88" sqref="J88"/>
    </sheetView>
  </sheetViews>
  <sheetFormatPr baseColWidth="10" defaultColWidth="11.5703125" defaultRowHeight="12.75" x14ac:dyDescent="0.2"/>
  <cols>
    <col min="1" max="1" width="5.28515625" style="3" customWidth="1"/>
    <col min="2" max="2" width="13.5703125" style="1" customWidth="1"/>
    <col min="3" max="3" width="14.42578125" customWidth="1"/>
    <col min="4" max="4" width="13.5703125" style="1" customWidth="1"/>
    <col min="5" max="5" width="8" style="1" customWidth="1"/>
    <col min="6" max="6" width="11.85546875" style="2" customWidth="1"/>
    <col min="7" max="7" width="10.140625" customWidth="1"/>
    <col min="8" max="8" width="39.85546875" bestFit="1" customWidth="1"/>
    <col min="10" max="10" width="39.5703125" style="49" customWidth="1"/>
    <col min="11" max="11" width="11" customWidth="1"/>
    <col min="13" max="13" width="14" bestFit="1" customWidth="1"/>
    <col min="15" max="15" width="39" bestFit="1" customWidth="1"/>
  </cols>
  <sheetData>
    <row r="1" spans="1:15" ht="12.75" customHeight="1" x14ac:dyDescent="0.2">
      <c r="A1" s="108" t="s">
        <v>0</v>
      </c>
      <c r="B1" s="111" t="s">
        <v>1</v>
      </c>
      <c r="C1" s="112">
        <v>3</v>
      </c>
      <c r="G1" s="113" t="s">
        <v>2</v>
      </c>
      <c r="H1" s="114"/>
      <c r="I1" s="114"/>
      <c r="J1" s="114"/>
      <c r="K1" s="101" t="s">
        <v>3</v>
      </c>
      <c r="L1" s="123">
        <f>COUNTA(_xlfn.UNIQUE(G6:G101))-2</f>
        <v>52</v>
      </c>
      <c r="M1" s="101" t="s">
        <v>4</v>
      </c>
      <c r="N1" s="103">
        <f>AVERAGE(N14,N22,N29,N40,N45,N56,N72,N87,N6)</f>
        <v>0</v>
      </c>
      <c r="O1" s="104"/>
    </row>
    <row r="2" spans="1:15" ht="13.5" thickBot="1" x14ac:dyDescent="0.25">
      <c r="A2" s="109"/>
      <c r="B2" s="111"/>
      <c r="C2" s="112"/>
      <c r="G2" s="115"/>
      <c r="H2" s="116"/>
      <c r="I2" s="116"/>
      <c r="J2" s="116"/>
      <c r="K2" s="102"/>
      <c r="L2" s="123"/>
      <c r="M2" s="102"/>
      <c r="N2" s="103"/>
      <c r="O2" s="105"/>
    </row>
    <row r="3" spans="1:15" ht="27.6" customHeight="1" x14ac:dyDescent="0.2">
      <c r="A3" s="109"/>
      <c r="B3" s="117" t="s">
        <v>5</v>
      </c>
      <c r="C3" s="119" t="s">
        <v>6</v>
      </c>
      <c r="D3" s="117" t="s">
        <v>7</v>
      </c>
      <c r="E3" s="117" t="s">
        <v>8</v>
      </c>
      <c r="F3" s="121" t="s">
        <v>9</v>
      </c>
      <c r="G3" s="106" t="s">
        <v>10</v>
      </c>
      <c r="H3" s="106" t="s">
        <v>11</v>
      </c>
      <c r="I3" s="106" t="s">
        <v>12</v>
      </c>
      <c r="J3" s="119" t="s">
        <v>13</v>
      </c>
      <c r="K3" s="97" t="s">
        <v>14</v>
      </c>
      <c r="L3" s="97" t="s">
        <v>15</v>
      </c>
      <c r="M3" s="97" t="s">
        <v>16</v>
      </c>
      <c r="N3" s="97" t="s">
        <v>17</v>
      </c>
      <c r="O3" s="99" t="s">
        <v>18</v>
      </c>
    </row>
    <row r="4" spans="1:15" ht="29.25" customHeight="1" thickBot="1" x14ac:dyDescent="0.25">
      <c r="A4" s="110"/>
      <c r="B4" s="118"/>
      <c r="C4" s="120"/>
      <c r="D4" s="118"/>
      <c r="E4" s="118"/>
      <c r="F4" s="122"/>
      <c r="G4" s="107"/>
      <c r="H4" s="107"/>
      <c r="I4" s="124"/>
      <c r="J4" s="120"/>
      <c r="K4" s="98"/>
      <c r="L4" s="98"/>
      <c r="M4" s="98"/>
      <c r="N4" s="98"/>
      <c r="O4" s="100"/>
    </row>
    <row r="5" spans="1:15" ht="13.5" thickTop="1" x14ac:dyDescent="0.2">
      <c r="A5" s="4"/>
      <c r="B5" s="5"/>
      <c r="C5" s="6"/>
      <c r="D5" s="5"/>
      <c r="E5" s="5"/>
      <c r="F5" s="7"/>
      <c r="G5" s="6"/>
      <c r="H5" s="6"/>
      <c r="I5" s="8"/>
      <c r="J5" s="9"/>
      <c r="K5" s="10"/>
      <c r="L5" s="10"/>
      <c r="M5" s="11"/>
      <c r="N5" s="12"/>
      <c r="O5" s="13"/>
    </row>
    <row r="6" spans="1:15" x14ac:dyDescent="0.2">
      <c r="A6" s="14" t="s">
        <v>19</v>
      </c>
      <c r="B6" s="15"/>
      <c r="C6" s="16">
        <v>45985</v>
      </c>
      <c r="D6" s="16">
        <f>C6</f>
        <v>45985</v>
      </c>
      <c r="E6" s="15"/>
      <c r="F6" s="17"/>
      <c r="G6" s="18"/>
      <c r="H6" s="18" t="s">
        <v>20</v>
      </c>
      <c r="I6" s="19"/>
      <c r="J6" s="20"/>
      <c r="K6" s="21">
        <v>46034</v>
      </c>
      <c r="L6" s="21">
        <v>46038</v>
      </c>
      <c r="M6" s="22"/>
      <c r="N6" s="23">
        <f>AVERAGE(N7:N13)</f>
        <v>0</v>
      </c>
      <c r="O6" s="24"/>
    </row>
    <row r="7" spans="1:15" ht="24" customHeight="1" x14ac:dyDescent="0.2">
      <c r="A7" s="25" t="s">
        <v>21</v>
      </c>
      <c r="B7" s="26">
        <f>_xlfn.XLOOKUP(G7,'[1]Base de datos'!$A:$A,'[1]Base de datos'!$X:$X)</f>
        <v>46015</v>
      </c>
      <c r="C7" s="25" t="s">
        <v>196</v>
      </c>
      <c r="D7" s="25" t="s">
        <v>196</v>
      </c>
      <c r="E7" s="27" t="s">
        <v>22</v>
      </c>
      <c r="F7" s="28">
        <f>_xlfn.XLOOKUP(G7,[2]PLANEAMIENTO!$A:$A,[2]PLANEAMIENTO!$AT:$AT)</f>
        <v>8.1578947368421056E-2</v>
      </c>
      <c r="G7" s="4">
        <v>367125</v>
      </c>
      <c r="H7" s="4" t="s">
        <v>27</v>
      </c>
      <c r="I7" s="8" t="s">
        <v>28</v>
      </c>
      <c r="J7" s="29" t="s">
        <v>209</v>
      </c>
      <c r="K7" s="30" t="s">
        <v>145</v>
      </c>
      <c r="L7" s="31" t="s">
        <v>156</v>
      </c>
      <c r="M7" s="32" t="s">
        <v>25</v>
      </c>
      <c r="N7" s="33">
        <v>0</v>
      </c>
      <c r="O7" s="34"/>
    </row>
    <row r="8" spans="1:15" x14ac:dyDescent="0.2">
      <c r="A8" s="25" t="s">
        <v>26</v>
      </c>
      <c r="B8" s="26">
        <f>_xlfn.XLOOKUP(G8,'[1]Base de datos'!$A:$A,'[1]Base de datos'!$X:$X)</f>
        <v>46021</v>
      </c>
      <c r="C8" s="25" t="s">
        <v>196</v>
      </c>
      <c r="D8" s="25" t="s">
        <v>196</v>
      </c>
      <c r="E8" s="27" t="s">
        <v>22</v>
      </c>
      <c r="F8" s="28">
        <f>_xlfn.XLOOKUP(G8,[2]PLANEAMIENTO!$A:$A,[2]PLANEAMIENTO!$AT:$AT)</f>
        <v>0.19285714285714284</v>
      </c>
      <c r="G8" s="4">
        <v>368525</v>
      </c>
      <c r="H8" s="4" t="s">
        <v>44</v>
      </c>
      <c r="I8" s="8" t="s">
        <v>106</v>
      </c>
      <c r="J8" s="35" t="s">
        <v>135</v>
      </c>
      <c r="K8" s="36" t="s">
        <v>156</v>
      </c>
      <c r="L8" s="36" t="s">
        <v>212</v>
      </c>
      <c r="M8" s="32" t="s">
        <v>25</v>
      </c>
      <c r="N8" s="33">
        <v>0</v>
      </c>
      <c r="O8" s="13"/>
    </row>
    <row r="9" spans="1:15" ht="25.5" x14ac:dyDescent="0.2">
      <c r="A9" s="25" t="s">
        <v>29</v>
      </c>
      <c r="B9" s="26">
        <f>_xlfn.XLOOKUP(G9,'[1]Base de datos'!$A:$A,'[1]Base de datos'!$X:$X)</f>
        <v>46021</v>
      </c>
      <c r="C9" s="25" t="s">
        <v>196</v>
      </c>
      <c r="D9" s="25" t="s">
        <v>196</v>
      </c>
      <c r="E9" s="27" t="s">
        <v>22</v>
      </c>
      <c r="F9" s="28">
        <f>_xlfn.XLOOKUP(G9,[2]PLANEAMIENTO!$A:$A,[2]PLANEAMIENTO!$AT:$AT)</f>
        <v>0.19285714285714284</v>
      </c>
      <c r="G9" s="4">
        <v>368525</v>
      </c>
      <c r="H9" s="4" t="s">
        <v>44</v>
      </c>
      <c r="I9" s="8" t="s">
        <v>106</v>
      </c>
      <c r="J9" s="35" t="s">
        <v>210</v>
      </c>
      <c r="K9" s="36" t="s">
        <v>212</v>
      </c>
      <c r="L9" s="36" t="s">
        <v>212</v>
      </c>
      <c r="M9" s="32" t="s">
        <v>25</v>
      </c>
      <c r="N9" s="33">
        <v>0</v>
      </c>
      <c r="O9" s="13"/>
    </row>
    <row r="10" spans="1:15" x14ac:dyDescent="0.2">
      <c r="A10" s="25" t="s">
        <v>31</v>
      </c>
      <c r="B10" s="26">
        <f>_xlfn.XLOOKUP(G10,'[1]Base de datos'!$A:$A,'[1]Base de datos'!$X:$X)</f>
        <v>46021</v>
      </c>
      <c r="C10" s="25" t="s">
        <v>196</v>
      </c>
      <c r="D10" s="25" t="s">
        <v>196</v>
      </c>
      <c r="E10" s="27"/>
      <c r="F10" s="28">
        <f>_xlfn.XLOOKUP(G10,[2]PLANEAMIENTO!$A:$A,[2]PLANEAMIENTO!$AT:$AT)</f>
        <v>0.19285714285714284</v>
      </c>
      <c r="G10" s="4">
        <v>368525</v>
      </c>
      <c r="H10" s="4" t="s">
        <v>44</v>
      </c>
      <c r="I10" s="8" t="s">
        <v>106</v>
      </c>
      <c r="J10" s="35" t="s">
        <v>211</v>
      </c>
      <c r="K10" s="36" t="s">
        <v>212</v>
      </c>
      <c r="L10" s="36" t="s">
        <v>213</v>
      </c>
      <c r="M10" s="32" t="s">
        <v>25</v>
      </c>
      <c r="N10" s="33"/>
      <c r="O10" s="13"/>
    </row>
    <row r="11" spans="1:15" x14ac:dyDescent="0.2">
      <c r="A11" s="25" t="s">
        <v>240</v>
      </c>
      <c r="B11" s="26">
        <f>_xlfn.XLOOKUP(G11,'[1]Base de datos'!$A:$A,'[1]Base de datos'!$X:$X)</f>
        <v>46015</v>
      </c>
      <c r="C11" s="25" t="s">
        <v>196</v>
      </c>
      <c r="D11" s="25" t="s">
        <v>196</v>
      </c>
      <c r="E11" s="27"/>
      <c r="F11" s="28">
        <f>_xlfn.XLOOKUP(G11,[2]PLANEAMIENTO!$A:$A,[2]PLANEAMIENTO!$AT:$AT)</f>
        <v>8.1578947368421056E-2</v>
      </c>
      <c r="G11" s="4">
        <v>367125</v>
      </c>
      <c r="H11" s="4" t="s">
        <v>27</v>
      </c>
      <c r="I11" s="8" t="s">
        <v>28</v>
      </c>
      <c r="J11" s="35" t="s">
        <v>135</v>
      </c>
      <c r="K11" s="36" t="s">
        <v>213</v>
      </c>
      <c r="L11" s="36" t="s">
        <v>213</v>
      </c>
      <c r="M11" s="32" t="s">
        <v>25</v>
      </c>
      <c r="N11" s="33"/>
      <c r="O11" s="13"/>
    </row>
    <row r="12" spans="1:15" ht="25.5" x14ac:dyDescent="0.2">
      <c r="A12" s="25" t="s">
        <v>241</v>
      </c>
      <c r="B12" s="26">
        <f>_xlfn.XLOOKUP(G12,'[1]Base de datos'!$A:$A,'[1]Base de datos'!$X:$X)</f>
        <v>45915</v>
      </c>
      <c r="C12" s="25" t="s">
        <v>196</v>
      </c>
      <c r="D12" s="25" t="s">
        <v>196</v>
      </c>
      <c r="E12" s="27"/>
      <c r="F12" s="28">
        <f>_xlfn.XLOOKUP(G12,[2]PLANEAMIENTO!$A:$A,[2]PLANEAMIENTO!$AT:$AT)</f>
        <v>0.6470588235294118</v>
      </c>
      <c r="G12" s="4">
        <v>351725</v>
      </c>
      <c r="H12" s="4" t="s">
        <v>27</v>
      </c>
      <c r="I12" s="8" t="s">
        <v>28</v>
      </c>
      <c r="J12" s="35" t="s">
        <v>127</v>
      </c>
      <c r="K12" s="36" t="s">
        <v>213</v>
      </c>
      <c r="L12" s="36" t="s">
        <v>214</v>
      </c>
      <c r="M12" s="32" t="s">
        <v>25</v>
      </c>
      <c r="N12" s="33"/>
      <c r="O12" s="13"/>
    </row>
    <row r="13" spans="1:15" ht="25.5" x14ac:dyDescent="0.2">
      <c r="A13" s="25" t="s">
        <v>242</v>
      </c>
      <c r="B13" s="26">
        <f>_xlfn.XLOOKUP(G13,'[1]Base de datos'!$A:$A,'[1]Base de datos'!$X:$X)</f>
        <v>45980</v>
      </c>
      <c r="C13" s="25" t="s">
        <v>196</v>
      </c>
      <c r="D13" s="25" t="s">
        <v>196</v>
      </c>
      <c r="E13" s="27" t="s">
        <v>22</v>
      </c>
      <c r="F13" s="28">
        <f>_xlfn.XLOOKUP(G13,[2]PLANEAMIENTO!$A:$A,[2]PLANEAMIENTO!$AT:$AT)</f>
        <v>0.2857142857142857</v>
      </c>
      <c r="G13" s="4">
        <v>361525</v>
      </c>
      <c r="H13" s="4" t="s">
        <v>32</v>
      </c>
      <c r="I13" s="4" t="s">
        <v>33</v>
      </c>
      <c r="J13" s="35" t="s">
        <v>127</v>
      </c>
      <c r="K13" s="36" t="s">
        <v>214</v>
      </c>
      <c r="L13" s="36" t="s">
        <v>215</v>
      </c>
      <c r="M13" s="32" t="s">
        <v>25</v>
      </c>
      <c r="N13" s="33">
        <v>0</v>
      </c>
      <c r="O13" s="13"/>
    </row>
    <row r="14" spans="1:15" x14ac:dyDescent="0.2">
      <c r="A14" s="14" t="s">
        <v>35</v>
      </c>
      <c r="B14" s="37"/>
      <c r="C14" s="14"/>
      <c r="D14" s="38"/>
      <c r="E14" s="38"/>
      <c r="F14" s="17"/>
      <c r="G14" s="14"/>
      <c r="H14" s="14" t="s">
        <v>36</v>
      </c>
      <c r="I14" s="19"/>
      <c r="J14" s="39"/>
      <c r="K14" s="40">
        <f>$K$6</f>
        <v>46034</v>
      </c>
      <c r="L14" s="40">
        <f>$L$6</f>
        <v>46038</v>
      </c>
      <c r="M14" s="41"/>
      <c r="N14" s="42">
        <f>AVERAGE(N15:N21)</f>
        <v>0</v>
      </c>
      <c r="O14" s="24"/>
    </row>
    <row r="15" spans="1:15" ht="25.5" x14ac:dyDescent="0.2">
      <c r="A15" s="25" t="s">
        <v>37</v>
      </c>
      <c r="B15" s="26">
        <f>_xlfn.XLOOKUP(G15,'[1]Base de datos'!$A:$A,'[1]Base de datos'!$X:$X)</f>
        <v>46021</v>
      </c>
      <c r="C15" s="25" t="s">
        <v>196</v>
      </c>
      <c r="D15" s="25" t="s">
        <v>196</v>
      </c>
      <c r="E15" s="27" t="s">
        <v>22</v>
      </c>
      <c r="F15" s="28">
        <f>_xlfn.XLOOKUP(G15,[2]PLANEAMIENTO!$A:$A,[2]PLANEAMIENTO!$AT:$AT)</f>
        <v>0.29411764705882354</v>
      </c>
      <c r="G15" s="25">
        <v>368425</v>
      </c>
      <c r="H15" s="25" t="s">
        <v>44</v>
      </c>
      <c r="I15" s="43" t="s">
        <v>140</v>
      </c>
      <c r="J15" s="29" t="s">
        <v>216</v>
      </c>
      <c r="K15" s="31" t="s">
        <v>145</v>
      </c>
      <c r="L15" s="31" t="s">
        <v>156</v>
      </c>
      <c r="M15" s="32" t="s">
        <v>40</v>
      </c>
      <c r="N15" s="33">
        <v>0</v>
      </c>
      <c r="O15" s="34"/>
    </row>
    <row r="16" spans="1:15" ht="25.5" x14ac:dyDescent="0.2">
      <c r="A16" s="25" t="s">
        <v>41</v>
      </c>
      <c r="B16" s="26">
        <f>_xlfn.XLOOKUP(G16,'[1]Base de datos'!$A:$A,'[1]Base de datos'!$X:$X)</f>
        <v>46013</v>
      </c>
      <c r="C16" s="25" t="s">
        <v>196</v>
      </c>
      <c r="D16" s="25" t="s">
        <v>196</v>
      </c>
      <c r="E16" s="27" t="s">
        <v>22</v>
      </c>
      <c r="F16" s="28">
        <f>_xlfn.XLOOKUP(G16,[2]PLANEAMIENTO!$A:$A,[2]PLANEAMIENTO!$AT:$AT)</f>
        <v>0.36071428571428571</v>
      </c>
      <c r="G16" s="44">
        <v>366025</v>
      </c>
      <c r="H16" s="25" t="s">
        <v>90</v>
      </c>
      <c r="I16" s="43" t="s">
        <v>174</v>
      </c>
      <c r="J16" s="29" t="s">
        <v>216</v>
      </c>
      <c r="K16" s="31" t="s">
        <v>156</v>
      </c>
      <c r="L16" s="31" t="s">
        <v>212</v>
      </c>
      <c r="M16" s="32" t="s">
        <v>40</v>
      </c>
      <c r="N16" s="33">
        <v>0</v>
      </c>
      <c r="O16" s="34"/>
    </row>
    <row r="17" spans="1:15" ht="25.5" x14ac:dyDescent="0.2">
      <c r="A17" s="25" t="s">
        <v>43</v>
      </c>
      <c r="B17" s="26">
        <f>_xlfn.XLOOKUP(G17,'[1]Base de datos'!$A:$A,'[1]Base de datos'!$X:$X)</f>
        <v>46021</v>
      </c>
      <c r="C17" s="25" t="s">
        <v>196</v>
      </c>
      <c r="D17" s="25" t="s">
        <v>196</v>
      </c>
      <c r="E17" s="27" t="s">
        <v>22</v>
      </c>
      <c r="F17" s="28">
        <f>_xlfn.XLOOKUP(G17,[2]PLANEAMIENTO!$A:$A,[2]PLANEAMIENTO!$AT:$AT)</f>
        <v>0.19285714285714284</v>
      </c>
      <c r="G17" s="25">
        <v>368525</v>
      </c>
      <c r="H17" s="29" t="s">
        <v>44</v>
      </c>
      <c r="I17" s="43" t="s">
        <v>106</v>
      </c>
      <c r="J17" s="29" t="s">
        <v>216</v>
      </c>
      <c r="K17" s="31" t="s">
        <v>212</v>
      </c>
      <c r="L17" s="31" t="s">
        <v>212</v>
      </c>
      <c r="M17" s="32" t="s">
        <v>40</v>
      </c>
      <c r="N17" s="33">
        <v>0</v>
      </c>
      <c r="O17" s="34"/>
    </row>
    <row r="18" spans="1:15" x14ac:dyDescent="0.2">
      <c r="A18" s="25" t="s">
        <v>46</v>
      </c>
      <c r="B18" s="26">
        <f>_xlfn.XLOOKUP(G18,'[1]Base de datos'!$A:$A,'[1]Base de datos'!$X:$X)</f>
        <v>46013</v>
      </c>
      <c r="C18" s="25" t="s">
        <v>196</v>
      </c>
      <c r="D18" s="25" t="s">
        <v>196</v>
      </c>
      <c r="E18" s="27" t="s">
        <v>22</v>
      </c>
      <c r="F18" s="28">
        <f>_xlfn.XLOOKUP(G18,[2]PLANEAMIENTO!$A:$A,[2]PLANEAMIENTO!$AT:$AT)</f>
        <v>0.31818181818181818</v>
      </c>
      <c r="G18" s="25">
        <v>365925</v>
      </c>
      <c r="H18" s="29" t="s">
        <v>44</v>
      </c>
      <c r="I18" s="43" t="s">
        <v>141</v>
      </c>
      <c r="J18" s="29" t="s">
        <v>217</v>
      </c>
      <c r="K18" s="31" t="s">
        <v>213</v>
      </c>
      <c r="L18" s="31" t="s">
        <v>213</v>
      </c>
      <c r="M18" s="32" t="s">
        <v>40</v>
      </c>
      <c r="N18" s="33">
        <v>0</v>
      </c>
      <c r="O18" s="34"/>
    </row>
    <row r="19" spans="1:15" x14ac:dyDescent="0.2">
      <c r="A19" s="25" t="s">
        <v>47</v>
      </c>
      <c r="B19" s="26">
        <f>_xlfn.XLOOKUP(G19,'[1]Base de datos'!$A:$A,'[1]Base de datos'!$X:$X)</f>
        <v>46021</v>
      </c>
      <c r="C19" s="25" t="s">
        <v>196</v>
      </c>
      <c r="D19" s="25" t="s">
        <v>196</v>
      </c>
      <c r="E19" s="27" t="s">
        <v>22</v>
      </c>
      <c r="F19" s="28">
        <f>_xlfn.XLOOKUP(G19,[2]PLANEAMIENTO!$A:$A,[2]PLANEAMIENTO!$AT:$AT)</f>
        <v>0.29411764705882354</v>
      </c>
      <c r="G19" s="25">
        <v>368425</v>
      </c>
      <c r="H19" s="29" t="s">
        <v>44</v>
      </c>
      <c r="I19" s="43" t="s">
        <v>140</v>
      </c>
      <c r="J19" s="29" t="s">
        <v>218</v>
      </c>
      <c r="K19" s="31" t="s">
        <v>213</v>
      </c>
      <c r="L19" s="31" t="s">
        <v>214</v>
      </c>
      <c r="M19" s="32" t="s">
        <v>40</v>
      </c>
      <c r="N19" s="33">
        <v>0</v>
      </c>
      <c r="O19" s="34"/>
    </row>
    <row r="20" spans="1:15" x14ac:dyDescent="0.2">
      <c r="A20" s="25" t="s">
        <v>146</v>
      </c>
      <c r="B20" s="26">
        <f>_xlfn.XLOOKUP(G20,'[1]Base de datos'!$A:$A,'[1]Base de datos'!$X:$X)</f>
        <v>46021</v>
      </c>
      <c r="C20" s="25" t="s">
        <v>196</v>
      </c>
      <c r="D20" s="25" t="s">
        <v>196</v>
      </c>
      <c r="E20" s="27" t="s">
        <v>22</v>
      </c>
      <c r="F20" s="28">
        <f>_xlfn.XLOOKUP(G20,[2]PLANEAMIENTO!$A:$A,[2]PLANEAMIENTO!$AT:$AT)</f>
        <v>0.19285714285714284</v>
      </c>
      <c r="G20" s="25">
        <v>368525</v>
      </c>
      <c r="H20" s="29" t="s">
        <v>44</v>
      </c>
      <c r="I20" s="43" t="s">
        <v>106</v>
      </c>
      <c r="J20" s="29" t="s">
        <v>218</v>
      </c>
      <c r="K20" s="31" t="s">
        <v>214</v>
      </c>
      <c r="L20" s="31" t="s">
        <v>215</v>
      </c>
      <c r="M20" s="32" t="s">
        <v>40</v>
      </c>
      <c r="N20" s="33">
        <v>0</v>
      </c>
      <c r="O20" s="34"/>
    </row>
    <row r="21" spans="1:15" x14ac:dyDescent="0.2">
      <c r="A21" s="25" t="s">
        <v>147</v>
      </c>
      <c r="B21" s="26"/>
      <c r="C21" s="25"/>
      <c r="D21" s="25"/>
      <c r="E21" s="27" t="s">
        <v>22</v>
      </c>
      <c r="F21" s="28">
        <f>_xlfn.XLOOKUP(G21,[2]PLANEAMIENTO!$A:$A,[2]PLANEAMIENTO!$AT:$AT)</f>
        <v>0</v>
      </c>
      <c r="G21" s="25"/>
      <c r="H21" s="29"/>
      <c r="I21" s="43"/>
      <c r="J21" s="29" t="s">
        <v>165</v>
      </c>
      <c r="K21" s="31" t="s">
        <v>215</v>
      </c>
      <c r="L21" s="31" t="s">
        <v>219</v>
      </c>
      <c r="M21" s="32" t="s">
        <v>40</v>
      </c>
      <c r="N21" s="33">
        <v>0</v>
      </c>
      <c r="O21" s="34"/>
    </row>
    <row r="22" spans="1:15" x14ac:dyDescent="0.2">
      <c r="A22" s="14" t="s">
        <v>48</v>
      </c>
      <c r="B22" s="37"/>
      <c r="C22" s="14"/>
      <c r="D22" s="38"/>
      <c r="E22" s="38"/>
      <c r="F22" s="17"/>
      <c r="G22" s="14"/>
      <c r="H22" s="14" t="s">
        <v>49</v>
      </c>
      <c r="I22" s="19"/>
      <c r="J22" s="39"/>
      <c r="K22" s="40">
        <f>$K$6</f>
        <v>46034</v>
      </c>
      <c r="L22" s="40">
        <f>$L$6</f>
        <v>46038</v>
      </c>
      <c r="M22" s="41"/>
      <c r="N22" s="42">
        <f>AVERAGE(N23:N28)</f>
        <v>0</v>
      </c>
      <c r="O22" s="24"/>
    </row>
    <row r="23" spans="1:15" ht="25.5" x14ac:dyDescent="0.2">
      <c r="A23" s="25" t="s">
        <v>50</v>
      </c>
      <c r="B23" s="26">
        <f>_xlfn.XLOOKUP(G23,'[1]Base de datos'!$A:$A,'[1]Base de datos'!$X:$X)</f>
        <v>46021</v>
      </c>
      <c r="C23" s="25" t="s">
        <v>196</v>
      </c>
      <c r="D23" s="25" t="s">
        <v>196</v>
      </c>
      <c r="E23" s="27" t="s">
        <v>22</v>
      </c>
      <c r="F23" s="28">
        <f>_xlfn.XLOOKUP(G23,[2]PLANEAMIENTO!$A:$A,[2]PLANEAMIENTO!$AT:$AT)</f>
        <v>0.31842105263157894</v>
      </c>
      <c r="G23" s="25">
        <v>368225</v>
      </c>
      <c r="H23" s="45" t="s">
        <v>139</v>
      </c>
      <c r="I23" s="43">
        <v>24</v>
      </c>
      <c r="J23" s="29" t="s">
        <v>220</v>
      </c>
      <c r="K23" s="31" t="s">
        <v>145</v>
      </c>
      <c r="L23" s="31" t="s">
        <v>156</v>
      </c>
      <c r="M23" s="32" t="s">
        <v>51</v>
      </c>
      <c r="N23" s="33">
        <v>0</v>
      </c>
      <c r="O23" s="34"/>
    </row>
    <row r="24" spans="1:15" x14ac:dyDescent="0.2">
      <c r="A24" s="25" t="s">
        <v>52</v>
      </c>
      <c r="B24" s="26">
        <f>_xlfn.XLOOKUP(G24,'[1]Base de datos'!$A:$A,'[1]Base de datos'!$X:$X)</f>
        <v>46021</v>
      </c>
      <c r="C24" s="25" t="s">
        <v>196</v>
      </c>
      <c r="D24" s="25" t="s">
        <v>196</v>
      </c>
      <c r="E24" s="27" t="s">
        <v>22</v>
      </c>
      <c r="F24" s="28">
        <f>_xlfn.XLOOKUP(G24,[2]PLANEAMIENTO!$A:$A,[2]PLANEAMIENTO!$AT:$AT)</f>
        <v>0.31842105263157894</v>
      </c>
      <c r="G24" s="25">
        <v>368225</v>
      </c>
      <c r="H24" s="46" t="s">
        <v>139</v>
      </c>
      <c r="I24" s="43">
        <v>24</v>
      </c>
      <c r="J24" s="29" t="s">
        <v>221</v>
      </c>
      <c r="K24" s="31" t="s">
        <v>156</v>
      </c>
      <c r="L24" s="31" t="s">
        <v>212</v>
      </c>
      <c r="M24" s="32" t="s">
        <v>51</v>
      </c>
      <c r="N24" s="33">
        <v>0</v>
      </c>
      <c r="O24" s="34"/>
    </row>
    <row r="25" spans="1:15" x14ac:dyDescent="0.2">
      <c r="A25" s="25" t="s">
        <v>53</v>
      </c>
      <c r="B25" s="26">
        <f>_xlfn.XLOOKUP(G25,'[1]Base de datos'!$A:$A,'[1]Base de datos'!$X:$X)</f>
        <v>46021</v>
      </c>
      <c r="C25" s="25" t="s">
        <v>196</v>
      </c>
      <c r="D25" s="25" t="s">
        <v>196</v>
      </c>
      <c r="E25" s="27" t="s">
        <v>22</v>
      </c>
      <c r="F25" s="28">
        <f>_xlfn.XLOOKUP(G25,[2]PLANEAMIENTO!$A:$A,[2]PLANEAMIENTO!$AT:$AT)</f>
        <v>0.31842105263157894</v>
      </c>
      <c r="G25" s="25">
        <v>368225</v>
      </c>
      <c r="H25" s="46" t="s">
        <v>139</v>
      </c>
      <c r="I25" s="43">
        <v>24</v>
      </c>
      <c r="J25" s="29" t="s">
        <v>222</v>
      </c>
      <c r="K25" s="31" t="s">
        <v>212</v>
      </c>
      <c r="L25" s="31" t="s">
        <v>213</v>
      </c>
      <c r="M25" s="32" t="s">
        <v>51</v>
      </c>
      <c r="N25" s="33">
        <v>0</v>
      </c>
      <c r="O25" s="34"/>
    </row>
    <row r="26" spans="1:15" x14ac:dyDescent="0.2">
      <c r="A26" s="25" t="s">
        <v>55</v>
      </c>
      <c r="B26" s="26">
        <f>_xlfn.XLOOKUP(G26,'[1]Base de datos'!$A:$A,'[1]Base de datos'!$X:$X)</f>
        <v>46013</v>
      </c>
      <c r="C26" s="25" t="s">
        <v>196</v>
      </c>
      <c r="D26" s="25" t="s">
        <v>196</v>
      </c>
      <c r="E26" s="27" t="s">
        <v>22</v>
      </c>
      <c r="F26" s="28">
        <f>_xlfn.XLOOKUP(G26,[2]PLANEAMIENTO!$A:$A,[2]PLANEAMIENTO!$AT:$AT)</f>
        <v>0.56562500000000004</v>
      </c>
      <c r="G26" s="25">
        <v>366325</v>
      </c>
      <c r="H26" s="46" t="s">
        <v>44</v>
      </c>
      <c r="I26" s="43" t="s">
        <v>45</v>
      </c>
      <c r="J26" s="29" t="s">
        <v>152</v>
      </c>
      <c r="K26" s="31" t="s">
        <v>213</v>
      </c>
      <c r="L26" s="31" t="s">
        <v>213</v>
      </c>
      <c r="M26" s="32" t="s">
        <v>51</v>
      </c>
      <c r="N26" s="33">
        <v>0</v>
      </c>
      <c r="O26" s="34"/>
    </row>
    <row r="27" spans="1:15" x14ac:dyDescent="0.2">
      <c r="A27" s="25" t="s">
        <v>58</v>
      </c>
      <c r="B27" s="26">
        <f>_xlfn.XLOOKUP(G27,'[1]Base de datos'!$A:$A,'[1]Base de datos'!$X:$X)</f>
        <v>46015</v>
      </c>
      <c r="C27" s="25" t="s">
        <v>196</v>
      </c>
      <c r="D27" s="25" t="s">
        <v>196</v>
      </c>
      <c r="E27" s="27" t="s">
        <v>22</v>
      </c>
      <c r="F27" s="28">
        <f>_xlfn.XLOOKUP(G27,[2]PLANEAMIENTO!$A:$A,[2]PLANEAMIENTO!$AT:$AT)</f>
        <v>8.1578947368421056E-2</v>
      </c>
      <c r="G27" s="25">
        <v>367125</v>
      </c>
      <c r="H27" s="46" t="s">
        <v>27</v>
      </c>
      <c r="I27" s="43" t="s">
        <v>28</v>
      </c>
      <c r="J27" s="29" t="s">
        <v>152</v>
      </c>
      <c r="K27" s="31" t="s">
        <v>213</v>
      </c>
      <c r="L27" s="31" t="s">
        <v>213</v>
      </c>
      <c r="M27" s="32" t="s">
        <v>51</v>
      </c>
      <c r="N27" s="33">
        <v>0</v>
      </c>
      <c r="O27" s="34"/>
    </row>
    <row r="28" spans="1:15" x14ac:dyDescent="0.2">
      <c r="A28" s="25" t="s">
        <v>157</v>
      </c>
      <c r="B28" s="26">
        <f>_xlfn.XLOOKUP(G28,'[1]Base de datos'!$A:$A,'[1]Base de datos'!$X:$X)</f>
        <v>0</v>
      </c>
      <c r="C28" s="25" t="s">
        <v>196</v>
      </c>
      <c r="D28" s="25" t="s">
        <v>196</v>
      </c>
      <c r="E28" s="27" t="s">
        <v>22</v>
      </c>
      <c r="F28" s="28">
        <f>_xlfn.XLOOKUP(G28,[2]PLANEAMIENTO!$A:$A,[2]PLANEAMIENTO!$AT:$AT)</f>
        <v>0</v>
      </c>
      <c r="G28" s="25"/>
      <c r="H28" s="46" t="e">
        <v>#N/A</v>
      </c>
      <c r="I28" s="43" t="e">
        <v>#N/A</v>
      </c>
      <c r="J28" s="29" t="s">
        <v>165</v>
      </c>
      <c r="K28" s="31" t="s">
        <v>213</v>
      </c>
      <c r="L28" s="31" t="s">
        <v>214</v>
      </c>
      <c r="M28" s="32" t="s">
        <v>51</v>
      </c>
      <c r="N28" s="33">
        <v>0</v>
      </c>
      <c r="O28" s="34"/>
    </row>
    <row r="29" spans="1:15" x14ac:dyDescent="0.2">
      <c r="A29" s="14" t="s">
        <v>61</v>
      </c>
      <c r="B29" s="37"/>
      <c r="C29" s="14"/>
      <c r="D29" s="38"/>
      <c r="E29" s="38"/>
      <c r="F29" s="17"/>
      <c r="G29" s="14"/>
      <c r="H29" s="14" t="s">
        <v>62</v>
      </c>
      <c r="I29" s="19"/>
      <c r="J29" s="39"/>
      <c r="K29" s="40">
        <f>$K$6</f>
        <v>46034</v>
      </c>
      <c r="L29" s="40">
        <f>$L$6</f>
        <v>46038</v>
      </c>
      <c r="M29" s="41"/>
      <c r="N29" s="42">
        <f>AVERAGE(N30:N39)</f>
        <v>0</v>
      </c>
      <c r="O29" s="24"/>
    </row>
    <row r="30" spans="1:15" x14ac:dyDescent="0.2">
      <c r="A30" s="25" t="s">
        <v>63</v>
      </c>
      <c r="B30" s="26">
        <f>_xlfn.XLOOKUP(G30,'[1]Base de datos'!$A:$A,'[1]Base de datos'!$X:$X)</f>
        <v>45972</v>
      </c>
      <c r="C30" s="25" t="s">
        <v>196</v>
      </c>
      <c r="D30" s="25" t="s">
        <v>196</v>
      </c>
      <c r="E30" s="27" t="s">
        <v>22</v>
      </c>
      <c r="F30" s="28">
        <f>_xlfn.XLOOKUP(G30,[2]PLANEAMIENTO!$A:$A,[2]PLANEAMIENTO!$AT:$AT)</f>
        <v>1</v>
      </c>
      <c r="G30" s="25">
        <v>359925</v>
      </c>
      <c r="H30" s="25" t="s">
        <v>54</v>
      </c>
      <c r="I30" s="43" t="s">
        <v>24</v>
      </c>
      <c r="J30" s="29" t="s">
        <v>223</v>
      </c>
      <c r="K30" s="31" t="s">
        <v>156</v>
      </c>
      <c r="L30" s="31" t="s">
        <v>156</v>
      </c>
      <c r="M30" s="32" t="s">
        <v>64</v>
      </c>
      <c r="N30" s="33">
        <v>0</v>
      </c>
      <c r="O30" s="34"/>
    </row>
    <row r="31" spans="1:15" ht="25.5" x14ac:dyDescent="0.2">
      <c r="A31" s="25" t="s">
        <v>65</v>
      </c>
      <c r="B31" s="26">
        <f>_xlfn.XLOOKUP(G31,'[1]Base de datos'!$A:$A,'[1]Base de datos'!$X:$X)</f>
        <v>46010</v>
      </c>
      <c r="C31" s="25" t="s">
        <v>196</v>
      </c>
      <c r="D31" s="25" t="s">
        <v>196</v>
      </c>
      <c r="E31" s="27" t="s">
        <v>22</v>
      </c>
      <c r="F31" s="28">
        <f>_xlfn.XLOOKUP(G31,[2]PLANEAMIENTO!$A:$A,[2]PLANEAMIENTO!$AT:$AT)</f>
        <v>0.40909090909090912</v>
      </c>
      <c r="G31" s="25">
        <v>365625</v>
      </c>
      <c r="H31" s="25" t="s">
        <v>42</v>
      </c>
      <c r="I31" s="43" t="s">
        <v>75</v>
      </c>
      <c r="J31" s="29" t="s">
        <v>224</v>
      </c>
      <c r="K31" s="31" t="s">
        <v>156</v>
      </c>
      <c r="L31" s="31" t="s">
        <v>212</v>
      </c>
      <c r="M31" s="32" t="s">
        <v>64</v>
      </c>
      <c r="N31" s="33">
        <v>0</v>
      </c>
      <c r="O31" s="34"/>
    </row>
    <row r="32" spans="1:15" ht="25.5" x14ac:dyDescent="0.2">
      <c r="A32" s="25" t="s">
        <v>66</v>
      </c>
      <c r="B32" s="26">
        <f>_xlfn.XLOOKUP(G32,'[1]Base de datos'!$A:$A,'[1]Base de datos'!$X:$X)</f>
        <v>46013</v>
      </c>
      <c r="C32" s="25" t="s">
        <v>196</v>
      </c>
      <c r="D32" s="25" t="s">
        <v>196</v>
      </c>
      <c r="E32" s="27" t="s">
        <v>22</v>
      </c>
      <c r="F32" s="28">
        <f>_xlfn.XLOOKUP(G32,[2]PLANEAMIENTO!$A:$A,[2]PLANEAMIENTO!$AT:$AT)</f>
        <v>0.31818181818181818</v>
      </c>
      <c r="G32" s="25">
        <v>365925</v>
      </c>
      <c r="H32" s="25" t="s">
        <v>44</v>
      </c>
      <c r="I32" s="43" t="s">
        <v>141</v>
      </c>
      <c r="J32" s="29" t="s">
        <v>224</v>
      </c>
      <c r="K32" s="31" t="s">
        <v>212</v>
      </c>
      <c r="L32" s="31" t="s">
        <v>212</v>
      </c>
      <c r="M32" s="32" t="s">
        <v>64</v>
      </c>
      <c r="N32" s="33">
        <v>0</v>
      </c>
      <c r="O32" s="34"/>
    </row>
    <row r="33" spans="1:15" x14ac:dyDescent="0.2">
      <c r="A33" s="25" t="s">
        <v>67</v>
      </c>
      <c r="B33" s="26">
        <f>_xlfn.XLOOKUP(G33,'[1]Base de datos'!$A:$A,'[1]Base de datos'!$X:$X)</f>
        <v>46021</v>
      </c>
      <c r="C33" s="25" t="s">
        <v>196</v>
      </c>
      <c r="D33" s="25" t="s">
        <v>196</v>
      </c>
      <c r="E33" s="27" t="s">
        <v>22</v>
      </c>
      <c r="F33" s="28">
        <f>_xlfn.XLOOKUP(G33,[2]PLANEAMIENTO!$A:$A,[2]PLANEAMIENTO!$AT:$AT)</f>
        <v>0.155</v>
      </c>
      <c r="G33" s="25">
        <v>368325</v>
      </c>
      <c r="H33" s="25" t="s">
        <v>175</v>
      </c>
      <c r="I33" s="43" t="s">
        <v>176</v>
      </c>
      <c r="J33" s="29" t="s">
        <v>225</v>
      </c>
      <c r="K33" s="31" t="s">
        <v>212</v>
      </c>
      <c r="L33" s="31" t="s">
        <v>212</v>
      </c>
      <c r="M33" s="32" t="s">
        <v>64</v>
      </c>
      <c r="N33" s="33">
        <v>0</v>
      </c>
      <c r="O33" s="34"/>
    </row>
    <row r="34" spans="1:15" x14ac:dyDescent="0.2">
      <c r="A34" s="25" t="s">
        <v>68</v>
      </c>
      <c r="B34" s="26" t="e">
        <f>_xlfn.XLOOKUP(G34,'[1]Base de datos'!$A:$A,'[1]Base de datos'!$X:$X)</f>
        <v>#N/A</v>
      </c>
      <c r="C34" s="25" t="s">
        <v>196</v>
      </c>
      <c r="D34" s="25" t="s">
        <v>196</v>
      </c>
      <c r="E34" s="27" t="s">
        <v>22</v>
      </c>
      <c r="F34" s="28" t="e">
        <f>_xlfn.XLOOKUP(G34,[2]PLANEAMIENTO!$A:$A,[2]PLANEAMIENTO!$AT:$AT)</f>
        <v>#N/A</v>
      </c>
      <c r="G34" s="25">
        <v>368725</v>
      </c>
      <c r="H34" s="25" t="s">
        <v>200</v>
      </c>
      <c r="I34" s="43" t="s">
        <v>75</v>
      </c>
      <c r="J34" s="29" t="s">
        <v>225</v>
      </c>
      <c r="K34" s="31" t="s">
        <v>213</v>
      </c>
      <c r="L34" s="31" t="s">
        <v>213</v>
      </c>
      <c r="M34" s="32" t="s">
        <v>64</v>
      </c>
      <c r="N34" s="33">
        <v>0</v>
      </c>
      <c r="O34" s="34"/>
    </row>
    <row r="35" spans="1:15" x14ac:dyDescent="0.2">
      <c r="A35" s="25" t="s">
        <v>70</v>
      </c>
      <c r="B35" s="26" t="e">
        <f>_xlfn.XLOOKUP(G35,'[1]Base de datos'!$A:$A,'[1]Base de datos'!$X:$X)</f>
        <v>#N/A</v>
      </c>
      <c r="C35" s="25" t="s">
        <v>196</v>
      </c>
      <c r="D35" s="25" t="s">
        <v>196</v>
      </c>
      <c r="E35" s="27"/>
      <c r="F35" s="28" t="e">
        <f>_xlfn.XLOOKUP(G35,[2]PLANEAMIENTO!$A:$A,[2]PLANEAMIENTO!$AT:$AT)</f>
        <v>#N/A</v>
      </c>
      <c r="G35" s="25">
        <v>369225</v>
      </c>
      <c r="H35" s="25" t="s">
        <v>38</v>
      </c>
      <c r="I35" s="43">
        <v>24</v>
      </c>
      <c r="J35" s="29" t="s">
        <v>225</v>
      </c>
      <c r="K35" s="31" t="s">
        <v>213</v>
      </c>
      <c r="L35" s="31" t="s">
        <v>214</v>
      </c>
      <c r="M35" s="32" t="s">
        <v>64</v>
      </c>
      <c r="N35" s="33"/>
      <c r="O35" s="34"/>
    </row>
    <row r="36" spans="1:15" x14ac:dyDescent="0.2">
      <c r="A36" s="25" t="s">
        <v>243</v>
      </c>
      <c r="B36" s="26" t="e">
        <f>_xlfn.XLOOKUP(G36,'[1]Base de datos'!$A:$A,'[1]Base de datos'!$X:$X)</f>
        <v>#N/A</v>
      </c>
      <c r="C36" s="25" t="s">
        <v>196</v>
      </c>
      <c r="D36" s="25" t="s">
        <v>196</v>
      </c>
      <c r="E36" s="27"/>
      <c r="F36" s="28" t="e">
        <f>_xlfn.XLOOKUP(G36,[2]PLANEAMIENTO!$A:$A,[2]PLANEAMIENTO!$AT:$AT)</f>
        <v>#N/A</v>
      </c>
      <c r="G36" s="25" t="s">
        <v>69</v>
      </c>
      <c r="H36" s="25" t="s">
        <v>22</v>
      </c>
      <c r="I36" s="25" t="s">
        <v>22</v>
      </c>
      <c r="J36" s="29" t="s">
        <v>163</v>
      </c>
      <c r="K36" s="31" t="s">
        <v>214</v>
      </c>
      <c r="L36" s="31" t="s">
        <v>214</v>
      </c>
      <c r="M36" s="32" t="s">
        <v>64</v>
      </c>
      <c r="N36" s="33"/>
      <c r="O36" s="34"/>
    </row>
    <row r="37" spans="1:15" x14ac:dyDescent="0.2">
      <c r="A37" s="25" t="s">
        <v>244</v>
      </c>
      <c r="B37" s="26" t="e">
        <f>_xlfn.XLOOKUP(G37,'[1]Base de datos'!$A:$A,'[1]Base de datos'!$X:$X)</f>
        <v>#N/A</v>
      </c>
      <c r="C37" s="25" t="s">
        <v>196</v>
      </c>
      <c r="D37" s="25" t="s">
        <v>196</v>
      </c>
      <c r="E37" s="27"/>
      <c r="F37" s="28" t="e">
        <f>_xlfn.XLOOKUP(G37,[2]PLANEAMIENTO!$A:$A,[2]PLANEAMIENTO!$AT:$AT)</f>
        <v>#N/A</v>
      </c>
      <c r="G37" s="25" t="s">
        <v>71</v>
      </c>
      <c r="H37" s="25" t="s">
        <v>22</v>
      </c>
      <c r="I37" s="25" t="s">
        <v>22</v>
      </c>
      <c r="J37" s="29" t="s">
        <v>163</v>
      </c>
      <c r="K37" s="31" t="s">
        <v>214</v>
      </c>
      <c r="L37" s="31" t="s">
        <v>215</v>
      </c>
      <c r="M37" s="32" t="s">
        <v>64</v>
      </c>
      <c r="N37" s="33"/>
      <c r="O37" s="34"/>
    </row>
    <row r="38" spans="1:15" ht="25.5" x14ac:dyDescent="0.2">
      <c r="A38" s="25" t="s">
        <v>245</v>
      </c>
      <c r="B38" s="26">
        <f>_xlfn.XLOOKUP(G38,'[1]Base de datos'!$A:$A,'[1]Base de datos'!$X:$X)</f>
        <v>45980</v>
      </c>
      <c r="C38" s="25" t="s">
        <v>196</v>
      </c>
      <c r="D38" s="25" t="s">
        <v>196</v>
      </c>
      <c r="E38" s="27"/>
      <c r="F38" s="28">
        <f>_xlfn.XLOOKUP(G38,[2]PLANEAMIENTO!$A:$A,[2]PLANEAMIENTO!$AT:$AT)</f>
        <v>0.2857142857142857</v>
      </c>
      <c r="G38" s="25">
        <v>361525</v>
      </c>
      <c r="H38" s="25" t="s">
        <v>32</v>
      </c>
      <c r="I38" s="43" t="s">
        <v>33</v>
      </c>
      <c r="J38" s="29" t="s">
        <v>164</v>
      </c>
      <c r="K38" s="31" t="s">
        <v>215</v>
      </c>
      <c r="L38" s="31" t="s">
        <v>215</v>
      </c>
      <c r="M38" s="32" t="s">
        <v>64</v>
      </c>
      <c r="N38" s="33"/>
      <c r="O38" s="34"/>
    </row>
    <row r="39" spans="1:15" x14ac:dyDescent="0.2">
      <c r="A39" s="25" t="s">
        <v>246</v>
      </c>
      <c r="B39" s="26"/>
      <c r="C39" s="25"/>
      <c r="D39" s="25"/>
      <c r="E39" s="27"/>
      <c r="F39" s="28"/>
      <c r="G39" s="25"/>
      <c r="H39" s="25"/>
      <c r="I39" s="43"/>
      <c r="J39" s="29" t="s">
        <v>165</v>
      </c>
      <c r="K39" s="31" t="s">
        <v>215</v>
      </c>
      <c r="L39" s="31" t="s">
        <v>219</v>
      </c>
      <c r="M39" s="32" t="s">
        <v>64</v>
      </c>
      <c r="N39" s="33">
        <v>0</v>
      </c>
      <c r="O39" s="34"/>
    </row>
    <row r="40" spans="1:15" x14ac:dyDescent="0.2">
      <c r="A40" s="14" t="s">
        <v>72</v>
      </c>
      <c r="B40" s="37"/>
      <c r="C40" s="14"/>
      <c r="D40" s="38"/>
      <c r="E40" s="38"/>
      <c r="F40" s="17"/>
      <c r="G40" s="14"/>
      <c r="H40" s="14" t="s">
        <v>73</v>
      </c>
      <c r="I40" s="19"/>
      <c r="J40" s="39"/>
      <c r="K40" s="40">
        <f>$K$6</f>
        <v>46034</v>
      </c>
      <c r="L40" s="40">
        <f>$L$6</f>
        <v>46038</v>
      </c>
      <c r="M40" s="41"/>
      <c r="N40" s="42">
        <f>AVERAGE(N41:N44)</f>
        <v>0</v>
      </c>
      <c r="O40" s="24"/>
    </row>
    <row r="41" spans="1:15" ht="25.5" x14ac:dyDescent="0.2">
      <c r="A41" s="25" t="s">
        <v>74</v>
      </c>
      <c r="B41" s="26">
        <f>_xlfn.XLOOKUP(G41,'[1]Base de datos'!$A:$A,'[1]Base de datos'!$X:$X)</f>
        <v>46013</v>
      </c>
      <c r="C41" s="25" t="s">
        <v>196</v>
      </c>
      <c r="D41" s="25" t="s">
        <v>196</v>
      </c>
      <c r="E41" s="27"/>
      <c r="F41" s="28">
        <f>_xlfn.XLOOKUP(G41,[2]PLANEAMIENTO!$A:$A,[2]PLANEAMIENTO!$AT:$AT)</f>
        <v>0.56562500000000004</v>
      </c>
      <c r="G41" s="25">
        <v>366325</v>
      </c>
      <c r="H41" s="25" t="s">
        <v>44</v>
      </c>
      <c r="I41" s="43" t="s">
        <v>45</v>
      </c>
      <c r="J41" s="94" t="s">
        <v>226</v>
      </c>
      <c r="K41" s="31" t="s">
        <v>145</v>
      </c>
      <c r="L41" s="31" t="s">
        <v>212</v>
      </c>
      <c r="M41" s="32" t="s">
        <v>76</v>
      </c>
      <c r="N41" s="33">
        <v>0</v>
      </c>
      <c r="O41" s="34"/>
    </row>
    <row r="42" spans="1:15" x14ac:dyDescent="0.2">
      <c r="A42" s="25" t="s">
        <v>77</v>
      </c>
      <c r="B42" s="26">
        <f>_xlfn.XLOOKUP(G42,'[1]Base de datos'!$A:$A,'[1]Base de datos'!$X:$X)</f>
        <v>46028</v>
      </c>
      <c r="C42" s="25" t="s">
        <v>196</v>
      </c>
      <c r="D42" s="25" t="s">
        <v>196</v>
      </c>
      <c r="E42" s="27" t="s">
        <v>22</v>
      </c>
      <c r="F42" s="28">
        <f>_xlfn.XLOOKUP(G42,[2]PLANEAMIENTO!$A:$A,[2]PLANEAMIENTO!$AT:$AT)</f>
        <v>0.18571428571428572</v>
      </c>
      <c r="G42" s="25">
        <v>369626</v>
      </c>
      <c r="H42" s="25" t="s">
        <v>200</v>
      </c>
      <c r="I42" s="43" t="s">
        <v>60</v>
      </c>
      <c r="J42" s="94" t="s">
        <v>227</v>
      </c>
      <c r="K42" s="31" t="s">
        <v>212</v>
      </c>
      <c r="L42" s="31" t="s">
        <v>213</v>
      </c>
      <c r="M42" s="32" t="s">
        <v>76</v>
      </c>
      <c r="N42" s="33">
        <v>0</v>
      </c>
      <c r="O42" s="34"/>
    </row>
    <row r="43" spans="1:15" x14ac:dyDescent="0.2">
      <c r="A43" s="25" t="s">
        <v>189</v>
      </c>
      <c r="B43" s="26">
        <f>_xlfn.XLOOKUP(G43,'[1]Base de datos'!$A:$A,'[1]Base de datos'!$X:$X)</f>
        <v>46028</v>
      </c>
      <c r="C43" s="25" t="s">
        <v>196</v>
      </c>
      <c r="D43" s="25" t="s">
        <v>196</v>
      </c>
      <c r="E43" s="27" t="s">
        <v>22</v>
      </c>
      <c r="F43" s="28">
        <f>_xlfn.XLOOKUP(G43,[2]PLANEAMIENTO!$A:$A,[2]PLANEAMIENTO!$AT:$AT)</f>
        <v>0.45</v>
      </c>
      <c r="G43" s="25">
        <v>369726</v>
      </c>
      <c r="H43" s="25" t="s">
        <v>200</v>
      </c>
      <c r="I43" s="43" t="s">
        <v>60</v>
      </c>
      <c r="J43" s="94" t="s">
        <v>227</v>
      </c>
      <c r="K43" s="31" t="s">
        <v>213</v>
      </c>
      <c r="L43" s="31" t="s">
        <v>214</v>
      </c>
      <c r="M43" s="32" t="s">
        <v>76</v>
      </c>
      <c r="N43" s="33">
        <v>0</v>
      </c>
      <c r="O43" s="34"/>
    </row>
    <row r="44" spans="1:15" x14ac:dyDescent="0.2">
      <c r="A44" s="25" t="s">
        <v>190</v>
      </c>
      <c r="B44" s="26"/>
      <c r="C44" s="25"/>
      <c r="D44" s="25"/>
      <c r="E44" s="27" t="s">
        <v>22</v>
      </c>
      <c r="F44" s="28"/>
      <c r="G44" s="25"/>
      <c r="H44" s="25"/>
      <c r="I44" s="43"/>
      <c r="J44" s="94" t="s">
        <v>165</v>
      </c>
      <c r="K44" s="31" t="s">
        <v>214</v>
      </c>
      <c r="L44" s="31" t="s">
        <v>215</v>
      </c>
      <c r="M44" s="32" t="s">
        <v>76</v>
      </c>
      <c r="N44" s="33">
        <v>0</v>
      </c>
      <c r="O44" s="34"/>
    </row>
    <row r="45" spans="1:15" x14ac:dyDescent="0.2">
      <c r="A45" s="14">
        <v>6</v>
      </c>
      <c r="B45" s="37"/>
      <c r="C45" s="14"/>
      <c r="D45" s="38"/>
      <c r="E45" s="38"/>
      <c r="F45" s="17"/>
      <c r="G45" s="14"/>
      <c r="H45" s="14" t="s">
        <v>78</v>
      </c>
      <c r="I45" s="19"/>
      <c r="J45" s="39"/>
      <c r="K45" s="40">
        <f>$K$6</f>
        <v>46034</v>
      </c>
      <c r="L45" s="40">
        <f>$L$6</f>
        <v>46038</v>
      </c>
      <c r="M45" s="41"/>
      <c r="N45" s="42">
        <f>AVERAGE(N46:N46)</f>
        <v>0</v>
      </c>
      <c r="O45" s="24"/>
    </row>
    <row r="46" spans="1:15" x14ac:dyDescent="0.2">
      <c r="A46" s="25" t="s">
        <v>79</v>
      </c>
      <c r="B46" s="26">
        <f>_xlfn.XLOOKUP(G46,'[1]Base de datos'!$A:$A,'[1]Base de datos'!$X:$X)</f>
        <v>45980</v>
      </c>
      <c r="C46" s="25" t="s">
        <v>196</v>
      </c>
      <c r="D46" s="25" t="s">
        <v>196</v>
      </c>
      <c r="E46" s="27"/>
      <c r="F46" s="28">
        <f>_xlfn.XLOOKUP(G46,[2]PLANEAMIENTO!$A:$A,[2]PLANEAMIENTO!$AT:$AT)</f>
        <v>0.2857142857142857</v>
      </c>
      <c r="G46" s="25">
        <v>361525</v>
      </c>
      <c r="H46" s="4" t="s">
        <v>32</v>
      </c>
      <c r="I46" s="8" t="s">
        <v>33</v>
      </c>
      <c r="J46" s="94" t="s">
        <v>228</v>
      </c>
      <c r="K46" s="31" t="s">
        <v>145</v>
      </c>
      <c r="L46" s="31" t="s">
        <v>156</v>
      </c>
      <c r="M46" s="32" t="s">
        <v>80</v>
      </c>
      <c r="N46" s="33">
        <v>0</v>
      </c>
      <c r="O46" s="34"/>
    </row>
    <row r="47" spans="1:15" ht="25.5" x14ac:dyDescent="0.2">
      <c r="A47" s="25" t="s">
        <v>185</v>
      </c>
      <c r="B47" s="26">
        <f>_xlfn.XLOOKUP(G47,'[1]Base de datos'!$A:$A,'[1]Base de datos'!$X:$X)</f>
        <v>46021</v>
      </c>
      <c r="C47" s="25" t="s">
        <v>196</v>
      </c>
      <c r="D47" s="25" t="s">
        <v>196</v>
      </c>
      <c r="E47" s="27" t="s">
        <v>22</v>
      </c>
      <c r="F47" s="28">
        <f>_xlfn.XLOOKUP(G47,[2]PLANEAMIENTO!$A:$A,[2]PLANEAMIENTO!$AT:$AT)</f>
        <v>0.29411764705882354</v>
      </c>
      <c r="G47" s="4">
        <v>368425</v>
      </c>
      <c r="H47" s="4" t="s">
        <v>44</v>
      </c>
      <c r="I47" s="8" t="s">
        <v>140</v>
      </c>
      <c r="J47" s="95" t="s">
        <v>229</v>
      </c>
      <c r="K47" s="36" t="s">
        <v>156</v>
      </c>
      <c r="L47" s="36" t="s">
        <v>212</v>
      </c>
      <c r="M47" s="32" t="s">
        <v>80</v>
      </c>
      <c r="N47" s="33">
        <v>0</v>
      </c>
      <c r="O47" s="13"/>
    </row>
    <row r="48" spans="1:15" x14ac:dyDescent="0.2">
      <c r="A48" s="25" t="s">
        <v>186</v>
      </c>
      <c r="B48" s="26">
        <f>_xlfn.XLOOKUP(G48,'[1]Base de datos'!$A:$A,'[1]Base de datos'!$X:$X)</f>
        <v>46013</v>
      </c>
      <c r="C48" s="25" t="s">
        <v>196</v>
      </c>
      <c r="D48" s="25" t="s">
        <v>196</v>
      </c>
      <c r="E48" s="27" t="s">
        <v>22</v>
      </c>
      <c r="F48" s="28">
        <f>_xlfn.XLOOKUP(G48,[2]PLANEAMIENTO!$A:$A,[2]PLANEAMIENTO!$AT:$AT)</f>
        <v>0.37916666666666665</v>
      </c>
      <c r="G48" s="4">
        <v>366225</v>
      </c>
      <c r="H48" s="4" t="s">
        <v>92</v>
      </c>
      <c r="I48" s="8" t="s">
        <v>45</v>
      </c>
      <c r="J48" s="95" t="s">
        <v>171</v>
      </c>
      <c r="K48" s="36" t="s">
        <v>212</v>
      </c>
      <c r="L48" s="36" t="s">
        <v>212</v>
      </c>
      <c r="M48" s="32" t="s">
        <v>80</v>
      </c>
      <c r="N48" s="33">
        <v>0</v>
      </c>
      <c r="O48" s="13"/>
    </row>
    <row r="49" spans="1:15" x14ac:dyDescent="0.2">
      <c r="A49" s="25" t="s">
        <v>187</v>
      </c>
      <c r="B49" s="26">
        <f>_xlfn.XLOOKUP(G49,'[1]Base de datos'!$A:$A,'[1]Base de datos'!$X:$X)</f>
        <v>46015</v>
      </c>
      <c r="C49" s="25" t="s">
        <v>196</v>
      </c>
      <c r="D49" s="25" t="s">
        <v>196</v>
      </c>
      <c r="E49" s="27" t="s">
        <v>22</v>
      </c>
      <c r="F49" s="28">
        <f>_xlfn.XLOOKUP(G49,[2]PLANEAMIENTO!$A:$A,[2]PLANEAMIENTO!$AT:$AT)</f>
        <v>0.28928571428571426</v>
      </c>
      <c r="G49" s="4">
        <v>366525</v>
      </c>
      <c r="H49" s="4" t="s">
        <v>59</v>
      </c>
      <c r="I49" s="8" t="s">
        <v>75</v>
      </c>
      <c r="J49" s="95" t="s">
        <v>172</v>
      </c>
      <c r="K49" s="36" t="s">
        <v>212</v>
      </c>
      <c r="L49" s="36" t="s">
        <v>212</v>
      </c>
      <c r="M49" s="32" t="s">
        <v>80</v>
      </c>
      <c r="N49" s="33">
        <v>0</v>
      </c>
      <c r="O49" s="13"/>
    </row>
    <row r="50" spans="1:15" x14ac:dyDescent="0.2">
      <c r="A50" s="25" t="s">
        <v>188</v>
      </c>
      <c r="B50" s="26">
        <f>_xlfn.XLOOKUP(G50,'[1]Base de datos'!$A:$A,'[1]Base de datos'!$X:$X)</f>
        <v>46015</v>
      </c>
      <c r="C50" s="25" t="s">
        <v>196</v>
      </c>
      <c r="D50" s="25" t="s">
        <v>196</v>
      </c>
      <c r="E50" s="90"/>
      <c r="F50" s="28">
        <f>_xlfn.XLOOKUP(G50,[2]PLANEAMIENTO!$A:$A,[2]PLANEAMIENTO!$AT:$AT)</f>
        <v>0.18214285714285713</v>
      </c>
      <c r="G50" s="4">
        <v>366625</v>
      </c>
      <c r="H50" s="4" t="s">
        <v>59</v>
      </c>
      <c r="I50" s="8" t="s">
        <v>75</v>
      </c>
      <c r="J50" s="95" t="s">
        <v>172</v>
      </c>
      <c r="K50" s="36" t="s">
        <v>212</v>
      </c>
      <c r="L50" s="36" t="s">
        <v>213</v>
      </c>
      <c r="M50" s="32" t="s">
        <v>80</v>
      </c>
      <c r="N50" s="33"/>
      <c r="O50" s="13"/>
    </row>
    <row r="51" spans="1:15" x14ac:dyDescent="0.2">
      <c r="A51" s="25" t="s">
        <v>247</v>
      </c>
      <c r="B51" s="26">
        <f>_xlfn.XLOOKUP(G51,'[1]Base de datos'!$A:$A,'[1]Base de datos'!$X:$X)</f>
        <v>46021</v>
      </c>
      <c r="C51" s="25" t="s">
        <v>196</v>
      </c>
      <c r="D51" s="25" t="s">
        <v>196</v>
      </c>
      <c r="E51" s="90"/>
      <c r="F51" s="28">
        <f>_xlfn.XLOOKUP(G51,[2]PLANEAMIENTO!$A:$A,[2]PLANEAMIENTO!$AT:$AT)</f>
        <v>0.155</v>
      </c>
      <c r="G51" s="4">
        <v>368325</v>
      </c>
      <c r="H51" s="4" t="s">
        <v>175</v>
      </c>
      <c r="I51" s="8" t="s">
        <v>176</v>
      </c>
      <c r="J51" s="95" t="s">
        <v>172</v>
      </c>
      <c r="K51" s="36" t="s">
        <v>213</v>
      </c>
      <c r="L51" s="36" t="s">
        <v>213</v>
      </c>
      <c r="M51" s="32" t="s">
        <v>80</v>
      </c>
      <c r="N51" s="33"/>
      <c r="O51" s="13"/>
    </row>
    <row r="52" spans="1:15" x14ac:dyDescent="0.2">
      <c r="A52" s="25" t="s">
        <v>248</v>
      </c>
      <c r="B52" s="26">
        <f>_xlfn.XLOOKUP(G52,'[1]Base de datos'!$A:$A,'[1]Base de datos'!$X:$X)</f>
        <v>46027</v>
      </c>
      <c r="C52" s="25" t="s">
        <v>196</v>
      </c>
      <c r="D52" s="25" t="s">
        <v>196</v>
      </c>
      <c r="E52" s="90"/>
      <c r="F52" s="28">
        <f>_xlfn.XLOOKUP(G52,[2]PLANEAMIENTO!$A:$A,[2]PLANEAMIENTO!$AT:$AT)</f>
        <v>0.255</v>
      </c>
      <c r="G52" s="4">
        <v>368826</v>
      </c>
      <c r="H52" s="4" t="s">
        <v>200</v>
      </c>
      <c r="I52" s="8" t="s">
        <v>201</v>
      </c>
      <c r="J52" s="95" t="s">
        <v>172</v>
      </c>
      <c r="K52" s="36" t="s">
        <v>213</v>
      </c>
      <c r="L52" s="36" t="s">
        <v>214</v>
      </c>
      <c r="M52" s="32" t="s">
        <v>80</v>
      </c>
      <c r="N52" s="33"/>
      <c r="O52" s="13"/>
    </row>
    <row r="53" spans="1:15" x14ac:dyDescent="0.2">
      <c r="A53" s="25" t="s">
        <v>249</v>
      </c>
      <c r="B53" s="26">
        <f>_xlfn.XLOOKUP(G53,'[1]Base de datos'!$A:$A,'[1]Base de datos'!$X:$X)</f>
        <v>46027</v>
      </c>
      <c r="C53" s="25" t="s">
        <v>196</v>
      </c>
      <c r="D53" s="25" t="s">
        <v>196</v>
      </c>
      <c r="E53" s="90"/>
      <c r="F53" s="28">
        <f>_xlfn.XLOOKUP(G53,[2]PLANEAMIENTO!$A:$A,[2]PLANEAMIENTO!$AT:$AT)</f>
        <v>0.35</v>
      </c>
      <c r="G53" s="4">
        <v>368926</v>
      </c>
      <c r="H53" s="4" t="s">
        <v>200</v>
      </c>
      <c r="I53" s="8" t="s">
        <v>201</v>
      </c>
      <c r="J53" s="95" t="s">
        <v>172</v>
      </c>
      <c r="K53" s="36" t="s">
        <v>214</v>
      </c>
      <c r="L53" s="36" t="s">
        <v>215</v>
      </c>
      <c r="M53" s="32" t="s">
        <v>80</v>
      </c>
      <c r="N53" s="33"/>
      <c r="O53" s="13"/>
    </row>
    <row r="54" spans="1:15" x14ac:dyDescent="0.2">
      <c r="A54" s="25" t="s">
        <v>250</v>
      </c>
      <c r="B54" s="26">
        <f>_xlfn.XLOOKUP(G54,'[1]Base de datos'!$A:$A,'[1]Base de datos'!$X:$X)</f>
        <v>46028</v>
      </c>
      <c r="C54" s="25" t="s">
        <v>196</v>
      </c>
      <c r="D54" s="25" t="s">
        <v>196</v>
      </c>
      <c r="E54" s="90"/>
      <c r="F54" s="28">
        <f>_xlfn.XLOOKUP(G54,[2]PLANEAMIENTO!$A:$A,[2]PLANEAMIENTO!$AT:$AT)</f>
        <v>0.18571428571428572</v>
      </c>
      <c r="G54" s="4">
        <v>369626</v>
      </c>
      <c r="H54" s="4" t="s">
        <v>200</v>
      </c>
      <c r="I54" s="8" t="s">
        <v>60</v>
      </c>
      <c r="J54" s="95" t="s">
        <v>172</v>
      </c>
      <c r="K54" s="36" t="s">
        <v>215</v>
      </c>
      <c r="L54" s="36" t="s">
        <v>215</v>
      </c>
      <c r="M54" s="32" t="s">
        <v>80</v>
      </c>
      <c r="N54" s="33"/>
      <c r="O54" s="13"/>
    </row>
    <row r="55" spans="1:15" x14ac:dyDescent="0.2">
      <c r="A55" s="25" t="s">
        <v>251</v>
      </c>
      <c r="B55" s="26">
        <f>_xlfn.XLOOKUP(G55,'[1]Base de datos'!$A:$A,'[1]Base de datos'!$X:$X)</f>
        <v>46028</v>
      </c>
      <c r="C55" s="25" t="s">
        <v>196</v>
      </c>
      <c r="D55" s="25" t="s">
        <v>196</v>
      </c>
      <c r="E55" s="90"/>
      <c r="F55" s="28">
        <f>_xlfn.XLOOKUP(G55,[2]PLANEAMIENTO!$A:$A,[2]PLANEAMIENTO!$AT:$AT)</f>
        <v>0.45</v>
      </c>
      <c r="G55" s="4">
        <v>369726</v>
      </c>
      <c r="H55" s="4" t="s">
        <v>200</v>
      </c>
      <c r="I55" s="8" t="s">
        <v>60</v>
      </c>
      <c r="J55" s="95" t="s">
        <v>172</v>
      </c>
      <c r="K55" s="36" t="s">
        <v>215</v>
      </c>
      <c r="L55" s="36" t="s">
        <v>219</v>
      </c>
      <c r="M55" s="32" t="s">
        <v>80</v>
      </c>
      <c r="N55" s="33">
        <v>0</v>
      </c>
      <c r="O55" s="13"/>
    </row>
    <row r="56" spans="1:15" x14ac:dyDescent="0.2">
      <c r="A56" s="14" t="s">
        <v>81</v>
      </c>
      <c r="B56" s="37"/>
      <c r="C56" s="14"/>
      <c r="D56" s="38"/>
      <c r="E56" s="38"/>
      <c r="F56" s="17"/>
      <c r="G56" s="14"/>
      <c r="H56" s="14" t="s">
        <v>82</v>
      </c>
      <c r="I56" s="19"/>
      <c r="J56" s="39"/>
      <c r="K56" s="40">
        <f>$K$6</f>
        <v>46034</v>
      </c>
      <c r="L56" s="40">
        <f>$L$6</f>
        <v>46038</v>
      </c>
      <c r="M56" s="41"/>
      <c r="N56" s="42">
        <f>AVERAGE(N57:N57)</f>
        <v>0</v>
      </c>
      <c r="O56" s="24"/>
    </row>
    <row r="57" spans="1:15" x14ac:dyDescent="0.2">
      <c r="A57" s="25" t="s">
        <v>83</v>
      </c>
      <c r="B57" s="26">
        <f>_xlfn.XLOOKUP(G57,'[1]Base de datos'!$A:$A,'[1]Base de datos'!$X:$X)</f>
        <v>46028</v>
      </c>
      <c r="C57" s="25" t="s">
        <v>196</v>
      </c>
      <c r="D57" s="25" t="s">
        <v>196</v>
      </c>
      <c r="E57" s="27" t="s">
        <v>22</v>
      </c>
      <c r="F57" s="28">
        <f>_xlfn.XLOOKUP(G57,[2]PLANEAMIENTO!$A:$A,[2]PLANEAMIENTO!$AT:$AT)</f>
        <v>0.05</v>
      </c>
      <c r="G57" s="25">
        <v>369126</v>
      </c>
      <c r="H57" s="4" t="s">
        <v>232</v>
      </c>
      <c r="I57" s="43">
        <v>24</v>
      </c>
      <c r="J57" s="29" t="s">
        <v>230</v>
      </c>
      <c r="K57" s="31" t="s">
        <v>145</v>
      </c>
      <c r="L57" s="31" t="s">
        <v>156</v>
      </c>
      <c r="M57" s="32" t="s">
        <v>177</v>
      </c>
      <c r="N57" s="33">
        <v>0</v>
      </c>
      <c r="O57" s="34"/>
    </row>
    <row r="58" spans="1:15" x14ac:dyDescent="0.2">
      <c r="A58" s="25" t="s">
        <v>178</v>
      </c>
      <c r="B58" s="26">
        <f>_xlfn.XLOOKUP(G58,'[1]Base de datos'!$A:$A,'[1]Base de datos'!$X:$X)</f>
        <v>46028</v>
      </c>
      <c r="C58" s="25" t="s">
        <v>196</v>
      </c>
      <c r="D58" s="25" t="s">
        <v>196</v>
      </c>
      <c r="E58" s="27" t="s">
        <v>22</v>
      </c>
      <c r="F58" s="28">
        <f>_xlfn.XLOOKUP(G58,[2]PLANEAMIENTO!$A:$A,[2]PLANEAMIENTO!$AT:$AT)</f>
        <v>0.15</v>
      </c>
      <c r="G58" s="4">
        <v>369826</v>
      </c>
      <c r="H58" s="4" t="s">
        <v>42</v>
      </c>
      <c r="I58" s="8" t="s">
        <v>233</v>
      </c>
      <c r="J58" s="35" t="s">
        <v>231</v>
      </c>
      <c r="K58" s="36" t="s">
        <v>156</v>
      </c>
      <c r="L58" s="36" t="s">
        <v>156</v>
      </c>
      <c r="M58" s="92" t="s">
        <v>177</v>
      </c>
      <c r="N58" s="33">
        <v>0</v>
      </c>
      <c r="O58" s="13"/>
    </row>
    <row r="59" spans="1:15" x14ac:dyDescent="0.2">
      <c r="A59" s="25" t="s">
        <v>179</v>
      </c>
      <c r="B59" s="26">
        <f>_xlfn.XLOOKUP(G59,'[1]Base de datos'!$A:$A,'[1]Base de datos'!$X:$X)</f>
        <v>46029</v>
      </c>
      <c r="C59" s="25" t="s">
        <v>196</v>
      </c>
      <c r="D59" s="25" t="s">
        <v>196</v>
      </c>
      <c r="E59" s="27" t="s">
        <v>22</v>
      </c>
      <c r="F59" s="28">
        <f>_xlfn.XLOOKUP(G59,[2]PLANEAMIENTO!$A:$A,[2]PLANEAMIENTO!$AT:$AT)</f>
        <v>0.15</v>
      </c>
      <c r="G59" s="4">
        <v>369926</v>
      </c>
      <c r="H59" s="4" t="s">
        <v>42</v>
      </c>
      <c r="I59" s="8" t="s">
        <v>75</v>
      </c>
      <c r="J59" s="35" t="s">
        <v>231</v>
      </c>
      <c r="K59" s="36" t="s">
        <v>156</v>
      </c>
      <c r="L59" s="36" t="s">
        <v>212</v>
      </c>
      <c r="M59" s="92" t="s">
        <v>177</v>
      </c>
      <c r="N59" s="33">
        <v>0</v>
      </c>
      <c r="O59" s="13"/>
    </row>
    <row r="60" spans="1:15" x14ac:dyDescent="0.2">
      <c r="A60" s="25" t="s">
        <v>180</v>
      </c>
      <c r="B60" s="26">
        <f>_xlfn.XLOOKUP(G60,'[1]Base de datos'!$A:$A,'[1]Base de datos'!$X:$X)</f>
        <v>46029</v>
      </c>
      <c r="C60" s="25" t="s">
        <v>196</v>
      </c>
      <c r="D60" s="25" t="s">
        <v>196</v>
      </c>
      <c r="E60" s="27" t="s">
        <v>22</v>
      </c>
      <c r="F60" s="28">
        <f>_xlfn.XLOOKUP(G60,[2]PLANEAMIENTO!$A:$A,[2]PLANEAMIENTO!$AT:$AT)</f>
        <v>0.15</v>
      </c>
      <c r="G60" s="4">
        <v>370026</v>
      </c>
      <c r="H60" s="4" t="s">
        <v>42</v>
      </c>
      <c r="I60" s="8" t="s">
        <v>75</v>
      </c>
      <c r="J60" s="35" t="s">
        <v>231</v>
      </c>
      <c r="K60" s="36" t="s">
        <v>212</v>
      </c>
      <c r="L60" s="36" t="s">
        <v>212</v>
      </c>
      <c r="M60" s="92" t="s">
        <v>177</v>
      </c>
      <c r="N60" s="33">
        <v>0</v>
      </c>
      <c r="O60" s="13"/>
    </row>
    <row r="61" spans="1:15" x14ac:dyDescent="0.2">
      <c r="A61" s="25" t="s">
        <v>181</v>
      </c>
      <c r="B61" s="26">
        <f>_xlfn.XLOOKUP(G61,'[1]Base de datos'!$A:$A,'[1]Base de datos'!$X:$X)</f>
        <v>46029</v>
      </c>
      <c r="C61" s="25" t="s">
        <v>196</v>
      </c>
      <c r="D61" s="25" t="s">
        <v>196</v>
      </c>
      <c r="E61" s="27" t="s">
        <v>22</v>
      </c>
      <c r="F61" s="28">
        <f>_xlfn.XLOOKUP(G61,[2]PLANEAMIENTO!$A:$A,[2]PLANEAMIENTO!$AT:$AT)</f>
        <v>0.43214285714285711</v>
      </c>
      <c r="G61" s="4">
        <v>370126</v>
      </c>
      <c r="H61" s="4" t="s">
        <v>42</v>
      </c>
      <c r="I61" s="8" t="s">
        <v>75</v>
      </c>
      <c r="J61" s="35" t="s">
        <v>231</v>
      </c>
      <c r="K61" s="36" t="s">
        <v>212</v>
      </c>
      <c r="L61" s="36" t="s">
        <v>212</v>
      </c>
      <c r="M61" s="92" t="s">
        <v>177</v>
      </c>
      <c r="N61" s="33">
        <v>0</v>
      </c>
      <c r="O61" s="13"/>
    </row>
    <row r="62" spans="1:15" x14ac:dyDescent="0.2">
      <c r="A62" s="25" t="s">
        <v>182</v>
      </c>
      <c r="B62" s="26">
        <f>_xlfn.XLOOKUP(G62,'[1]Base de datos'!$A:$A,'[1]Base de datos'!$X:$X)</f>
        <v>46029</v>
      </c>
      <c r="C62" s="25" t="s">
        <v>196</v>
      </c>
      <c r="D62" s="25" t="s">
        <v>196</v>
      </c>
      <c r="E62" s="27" t="s">
        <v>22</v>
      </c>
      <c r="F62" s="28">
        <f>_xlfn.XLOOKUP(G62,[2]PLANEAMIENTO!$A:$A,[2]PLANEAMIENTO!$AT:$AT)</f>
        <v>0.17857142857142858</v>
      </c>
      <c r="G62" s="4">
        <v>370226</v>
      </c>
      <c r="H62" s="4" t="s">
        <v>59</v>
      </c>
      <c r="I62" s="8" t="s">
        <v>75</v>
      </c>
      <c r="J62" s="35" t="s">
        <v>231</v>
      </c>
      <c r="K62" s="36" t="s">
        <v>212</v>
      </c>
      <c r="L62" s="36" t="s">
        <v>213</v>
      </c>
      <c r="M62" s="92" t="s">
        <v>177</v>
      </c>
      <c r="N62" s="33">
        <v>0</v>
      </c>
      <c r="O62" s="13"/>
    </row>
    <row r="63" spans="1:15" x14ac:dyDescent="0.2">
      <c r="A63" s="25" t="s">
        <v>183</v>
      </c>
      <c r="B63" s="26">
        <f>_xlfn.XLOOKUP(G63,'[1]Base de datos'!$A:$A,'[1]Base de datos'!$X:$X)</f>
        <v>46029</v>
      </c>
      <c r="C63" s="25" t="s">
        <v>196</v>
      </c>
      <c r="D63" s="25" t="s">
        <v>196</v>
      </c>
      <c r="E63" s="27" t="s">
        <v>22</v>
      </c>
      <c r="F63" s="28">
        <f>_xlfn.XLOOKUP(G63,[2]PLANEAMIENTO!$A:$A,[2]PLANEAMIENTO!$AT:$AT)</f>
        <v>0.14642857142857141</v>
      </c>
      <c r="G63" s="4">
        <v>370326</v>
      </c>
      <c r="H63" s="4" t="s">
        <v>59</v>
      </c>
      <c r="I63" s="8" t="s">
        <v>75</v>
      </c>
      <c r="J63" s="35" t="s">
        <v>231</v>
      </c>
      <c r="K63" s="36" t="s">
        <v>213</v>
      </c>
      <c r="L63" s="36" t="s">
        <v>214</v>
      </c>
      <c r="M63" s="92" t="s">
        <v>177</v>
      </c>
      <c r="N63" s="33">
        <v>0</v>
      </c>
      <c r="O63" s="13"/>
    </row>
    <row r="64" spans="1:15" x14ac:dyDescent="0.2">
      <c r="A64" s="25" t="s">
        <v>184</v>
      </c>
      <c r="B64" s="26">
        <f>_xlfn.XLOOKUP(G64,'[1]Base de datos'!$A:$A,'[1]Base de datos'!$X:$X)</f>
        <v>46029</v>
      </c>
      <c r="C64" s="25" t="s">
        <v>196</v>
      </c>
      <c r="D64" s="25" t="s">
        <v>196</v>
      </c>
      <c r="E64" s="27"/>
      <c r="F64" s="28">
        <f>_xlfn.XLOOKUP(G64,[2]PLANEAMIENTO!$A:$A,[2]PLANEAMIENTO!$AT:$AT)</f>
        <v>7.1428571428571425E-2</v>
      </c>
      <c r="G64" s="4">
        <v>370426</v>
      </c>
      <c r="H64" s="4" t="s">
        <v>59</v>
      </c>
      <c r="I64" s="8" t="s">
        <v>233</v>
      </c>
      <c r="J64" s="35" t="s">
        <v>231</v>
      </c>
      <c r="K64" s="36" t="s">
        <v>214</v>
      </c>
      <c r="L64" s="36" t="s">
        <v>214</v>
      </c>
      <c r="M64" s="92" t="s">
        <v>177</v>
      </c>
      <c r="N64" s="33"/>
      <c r="O64" s="13"/>
    </row>
    <row r="65" spans="1:15" x14ac:dyDescent="0.2">
      <c r="A65" s="25" t="s">
        <v>252</v>
      </c>
      <c r="B65" s="26">
        <f>_xlfn.XLOOKUP(G65,'[1]Base de datos'!$A:$A,'[1]Base de datos'!$X:$X)</f>
        <v>46029</v>
      </c>
      <c r="C65" s="25" t="s">
        <v>196</v>
      </c>
      <c r="D65" s="25" t="s">
        <v>196</v>
      </c>
      <c r="E65" s="27"/>
      <c r="F65" s="28">
        <f>_xlfn.XLOOKUP(G65,[2]PLANEAMIENTO!$A:$A,[2]PLANEAMIENTO!$AT:$AT)</f>
        <v>0.35</v>
      </c>
      <c r="G65" s="4">
        <v>370626</v>
      </c>
      <c r="H65" s="4" t="s">
        <v>42</v>
      </c>
      <c r="I65" s="8" t="s">
        <v>75</v>
      </c>
      <c r="J65" s="35" t="s">
        <v>231</v>
      </c>
      <c r="K65" s="36" t="s">
        <v>214</v>
      </c>
      <c r="L65" s="36" t="s">
        <v>215</v>
      </c>
      <c r="M65" s="92" t="s">
        <v>177</v>
      </c>
      <c r="N65" s="33"/>
      <c r="O65" s="13"/>
    </row>
    <row r="66" spans="1:15" x14ac:dyDescent="0.2">
      <c r="A66" s="25" t="s">
        <v>253</v>
      </c>
      <c r="B66" s="26">
        <f>_xlfn.XLOOKUP(G66,'[1]Base de datos'!$A:$A,'[1]Base de datos'!$X:$X)</f>
        <v>46021</v>
      </c>
      <c r="C66" s="25" t="s">
        <v>196</v>
      </c>
      <c r="D66" s="25" t="s">
        <v>196</v>
      </c>
      <c r="E66" s="27"/>
      <c r="F66" s="28">
        <f>_xlfn.XLOOKUP(G66,[2]PLANEAMIENTO!$A:$A,[2]PLANEAMIENTO!$AT:$AT)</f>
        <v>0.19285714285714284</v>
      </c>
      <c r="G66" s="4">
        <v>368525</v>
      </c>
      <c r="H66" s="4" t="s">
        <v>44</v>
      </c>
      <c r="I66" s="8" t="s">
        <v>106</v>
      </c>
      <c r="J66" s="35" t="s">
        <v>172</v>
      </c>
      <c r="K66" s="36" t="s">
        <v>215</v>
      </c>
      <c r="L66" s="36" t="s">
        <v>215</v>
      </c>
      <c r="M66" s="92" t="s">
        <v>177</v>
      </c>
      <c r="N66" s="33"/>
      <c r="O66" s="13"/>
    </row>
    <row r="67" spans="1:15" ht="25.5" x14ac:dyDescent="0.2">
      <c r="A67" s="25" t="s">
        <v>254</v>
      </c>
      <c r="B67" s="26">
        <f>_xlfn.XLOOKUP(G67,'[1]Base de datos'!$A:$A,'[1]Base de datos'!$X:$X)</f>
        <v>46015</v>
      </c>
      <c r="C67" s="25" t="s">
        <v>196</v>
      </c>
      <c r="D67" s="25" t="s">
        <v>196</v>
      </c>
      <c r="E67" s="27"/>
      <c r="F67" s="28">
        <f>_xlfn.XLOOKUP(G67,[2]PLANEAMIENTO!$A:$A,[2]PLANEAMIENTO!$AT:$AT)</f>
        <v>0.28928571428571426</v>
      </c>
      <c r="G67" s="4">
        <v>366525</v>
      </c>
      <c r="H67" s="4" t="s">
        <v>59</v>
      </c>
      <c r="I67" s="8" t="s">
        <v>75</v>
      </c>
      <c r="J67" s="35" t="s">
        <v>173</v>
      </c>
      <c r="K67" s="36" t="s">
        <v>215</v>
      </c>
      <c r="L67" s="36" t="s">
        <v>219</v>
      </c>
      <c r="M67" s="92" t="s">
        <v>177</v>
      </c>
      <c r="N67" s="33"/>
      <c r="O67" s="13"/>
    </row>
    <row r="68" spans="1:15" ht="25.5" x14ac:dyDescent="0.2">
      <c r="A68" s="25" t="s">
        <v>255</v>
      </c>
      <c r="B68" s="26">
        <f>_xlfn.XLOOKUP(G68,'[1]Base de datos'!$A:$A,'[1]Base de datos'!$X:$X)</f>
        <v>46015</v>
      </c>
      <c r="C68" s="25" t="s">
        <v>196</v>
      </c>
      <c r="D68" s="25" t="s">
        <v>196</v>
      </c>
      <c r="E68" s="27"/>
      <c r="F68" s="28">
        <f>_xlfn.XLOOKUP(G68,[2]PLANEAMIENTO!$A:$A,[2]PLANEAMIENTO!$AT:$AT)</f>
        <v>0.18214285714285713</v>
      </c>
      <c r="G68" s="4">
        <v>366625</v>
      </c>
      <c r="H68" s="4" t="s">
        <v>59</v>
      </c>
      <c r="I68" s="8" t="s">
        <v>75</v>
      </c>
      <c r="J68" s="35" t="s">
        <v>173</v>
      </c>
      <c r="K68" s="36" t="s">
        <v>219</v>
      </c>
      <c r="L68" s="36" t="s">
        <v>219</v>
      </c>
      <c r="M68" s="92" t="s">
        <v>177</v>
      </c>
      <c r="N68" s="33"/>
      <c r="O68" s="13"/>
    </row>
    <row r="69" spans="1:15" x14ac:dyDescent="0.2">
      <c r="A69" s="25" t="s">
        <v>256</v>
      </c>
      <c r="B69" s="26">
        <f>_xlfn.XLOOKUP(G69,'[1]Base de datos'!$A:$A,'[1]Base de datos'!$X:$X)</f>
        <v>46015</v>
      </c>
      <c r="C69" s="25" t="s">
        <v>196</v>
      </c>
      <c r="D69" s="25" t="s">
        <v>196</v>
      </c>
      <c r="E69" s="27"/>
      <c r="F69" s="28">
        <f>_xlfn.XLOOKUP(G69,[2]PLANEAMIENTO!$A:$A,[2]PLANEAMIENTO!$AT:$AT)</f>
        <v>0.06</v>
      </c>
      <c r="G69" s="4">
        <v>367725</v>
      </c>
      <c r="H69" s="4" t="s">
        <v>32</v>
      </c>
      <c r="I69" s="8" t="s">
        <v>101</v>
      </c>
      <c r="J69" s="35" t="s">
        <v>231</v>
      </c>
      <c r="K69" s="36" t="s">
        <v>219</v>
      </c>
      <c r="L69" s="36" t="s">
        <v>234</v>
      </c>
      <c r="M69" s="92" t="s">
        <v>177</v>
      </c>
      <c r="N69" s="33"/>
      <c r="O69" s="13"/>
    </row>
    <row r="70" spans="1:15" x14ac:dyDescent="0.2">
      <c r="A70" s="25" t="s">
        <v>257</v>
      </c>
      <c r="B70" s="26">
        <f>_xlfn.XLOOKUP(G70,'[1]Base de datos'!$A:$A,'[1]Base de datos'!$X:$X)</f>
        <v>46015</v>
      </c>
      <c r="C70" s="25" t="s">
        <v>196</v>
      </c>
      <c r="D70" s="25" t="s">
        <v>196</v>
      </c>
      <c r="E70" s="27"/>
      <c r="F70" s="28">
        <f>_xlfn.XLOOKUP(G70,[2]PLANEAMIENTO!$A:$A,[2]PLANEAMIENTO!$AT:$AT)</f>
        <v>0.06</v>
      </c>
      <c r="G70" s="4">
        <v>367725</v>
      </c>
      <c r="H70" s="4" t="s">
        <v>32</v>
      </c>
      <c r="I70" s="8" t="s">
        <v>101</v>
      </c>
      <c r="J70" s="35" t="s">
        <v>172</v>
      </c>
      <c r="K70" s="36" t="s">
        <v>235</v>
      </c>
      <c r="L70" s="36" t="s">
        <v>235</v>
      </c>
      <c r="M70" s="92" t="s">
        <v>177</v>
      </c>
      <c r="N70" s="33"/>
      <c r="O70" s="13"/>
    </row>
    <row r="71" spans="1:15" x14ac:dyDescent="0.2">
      <c r="A71" s="25" t="s">
        <v>258</v>
      </c>
      <c r="B71" s="26">
        <f>_xlfn.XLOOKUP(G71,'[1]Base de datos'!$A:$A,'[1]Base de datos'!$X:$X)</f>
        <v>46027</v>
      </c>
      <c r="C71" s="25" t="s">
        <v>196</v>
      </c>
      <c r="D71" s="25" t="s">
        <v>196</v>
      </c>
      <c r="E71" s="27" t="s">
        <v>22</v>
      </c>
      <c r="F71" s="28">
        <f>_xlfn.XLOOKUP(G71,[2]PLANEAMIENTO!$A:$A,[2]PLANEAMIENTO!$AT:$AT)</f>
        <v>0.255</v>
      </c>
      <c r="G71" s="4">
        <v>368826</v>
      </c>
      <c r="H71" s="4" t="s">
        <v>200</v>
      </c>
      <c r="I71" s="8" t="s">
        <v>201</v>
      </c>
      <c r="J71" s="35" t="s">
        <v>231</v>
      </c>
      <c r="K71" s="36" t="s">
        <v>235</v>
      </c>
      <c r="L71" s="36" t="s">
        <v>235</v>
      </c>
      <c r="M71" s="92" t="s">
        <v>177</v>
      </c>
      <c r="N71" s="33">
        <v>0</v>
      </c>
      <c r="O71" s="13"/>
    </row>
    <row r="72" spans="1:15" x14ac:dyDescent="0.2">
      <c r="A72" s="14" t="s">
        <v>84</v>
      </c>
      <c r="B72" s="37"/>
      <c r="C72" s="14"/>
      <c r="D72" s="38"/>
      <c r="E72" s="38"/>
      <c r="F72" s="17"/>
      <c r="G72" s="14"/>
      <c r="H72" s="14" t="s">
        <v>85</v>
      </c>
      <c r="I72" s="19"/>
      <c r="J72" s="39"/>
      <c r="K72" s="40">
        <f>$K$6</f>
        <v>46034</v>
      </c>
      <c r="L72" s="40">
        <f>$L$6</f>
        <v>46038</v>
      </c>
      <c r="M72" s="41"/>
      <c r="N72" s="42">
        <f>AVERAGE(N73:N86)</f>
        <v>0</v>
      </c>
      <c r="O72" s="24"/>
    </row>
    <row r="73" spans="1:15" x14ac:dyDescent="0.2">
      <c r="A73" s="25" t="s">
        <v>86</v>
      </c>
      <c r="B73" s="26">
        <f>_xlfn.XLOOKUP(G73,'[1]Base de datos'!$A:$A,'[1]Base de datos'!$X:$X)</f>
        <v>46021</v>
      </c>
      <c r="C73" s="25"/>
      <c r="D73" s="25"/>
      <c r="E73" s="27"/>
      <c r="F73" s="28">
        <f>_xlfn.XLOOKUP(G73,[2]PLANEAMIENTO!$A:$A,[2]PLANEAMIENTO!$AT:$AT)</f>
        <v>0.1409090909090909</v>
      </c>
      <c r="G73" s="25">
        <v>368125</v>
      </c>
      <c r="H73" s="25" t="s">
        <v>42</v>
      </c>
      <c r="I73" s="43" t="s">
        <v>60</v>
      </c>
      <c r="J73" s="94" t="s">
        <v>236</v>
      </c>
      <c r="K73" s="31"/>
      <c r="L73" s="31"/>
      <c r="M73" s="32"/>
      <c r="N73" s="33">
        <v>0</v>
      </c>
      <c r="O73" s="34"/>
    </row>
    <row r="74" spans="1:15" x14ac:dyDescent="0.2">
      <c r="A74" s="25" t="s">
        <v>88</v>
      </c>
      <c r="B74" s="26">
        <f>_xlfn.XLOOKUP(G74,'[1]Base de datos'!$A:$A,'[1]Base de datos'!$X:$X)</f>
        <v>46021</v>
      </c>
      <c r="C74" s="25"/>
      <c r="D74" s="25"/>
      <c r="E74" s="27"/>
      <c r="F74" s="28">
        <f>_xlfn.XLOOKUP(G74,[2]PLANEAMIENTO!$A:$A,[2]PLANEAMIENTO!$AT:$AT)</f>
        <v>0.31842105263157894</v>
      </c>
      <c r="G74" s="25">
        <v>368225</v>
      </c>
      <c r="H74" s="25" t="s">
        <v>139</v>
      </c>
      <c r="I74" s="43">
        <v>24</v>
      </c>
      <c r="J74" s="94" t="s">
        <v>236</v>
      </c>
      <c r="K74" s="31"/>
      <c r="L74" s="31"/>
      <c r="M74" s="32"/>
      <c r="N74" s="33">
        <v>0</v>
      </c>
      <c r="O74" s="34"/>
    </row>
    <row r="75" spans="1:15" x14ac:dyDescent="0.2">
      <c r="A75" s="25" t="s">
        <v>89</v>
      </c>
      <c r="B75" s="26">
        <f>_xlfn.XLOOKUP(G75,'[1]Base de datos'!$A:$A,'[1]Base de datos'!$X:$X)</f>
        <v>46021</v>
      </c>
      <c r="C75" s="25"/>
      <c r="D75" s="25"/>
      <c r="E75" s="27"/>
      <c r="F75" s="28">
        <f>_xlfn.XLOOKUP(G75,[2]PLANEAMIENTO!$A:$A,[2]PLANEAMIENTO!$AT:$AT)</f>
        <v>0.6</v>
      </c>
      <c r="G75" s="25">
        <v>368625</v>
      </c>
      <c r="H75" s="25" t="s">
        <v>59</v>
      </c>
      <c r="I75" s="43" t="s">
        <v>60</v>
      </c>
      <c r="J75" s="94" t="s">
        <v>236</v>
      </c>
      <c r="K75" s="31"/>
      <c r="L75" s="31"/>
      <c r="M75" s="32"/>
      <c r="N75" s="33">
        <v>0</v>
      </c>
      <c r="O75" s="34"/>
    </row>
    <row r="76" spans="1:15" x14ac:dyDescent="0.2">
      <c r="A76" s="25" t="s">
        <v>91</v>
      </c>
      <c r="B76" s="26">
        <f>_xlfn.XLOOKUP(G76,'[1]Base de datos'!$A:$A,'[1]Base de datos'!$X:$X)</f>
        <v>46027</v>
      </c>
      <c r="C76" s="25"/>
      <c r="D76" s="25"/>
      <c r="E76" s="27"/>
      <c r="F76" s="28">
        <f>_xlfn.XLOOKUP(G76,[2]PLANEAMIENTO!$A:$A,[2]PLANEAMIENTO!$AT:$AT)</f>
        <v>0.18214285714285713</v>
      </c>
      <c r="G76" s="25">
        <v>368726</v>
      </c>
      <c r="H76" s="25" t="s">
        <v>200</v>
      </c>
      <c r="I76" s="43" t="s">
        <v>75</v>
      </c>
      <c r="J76" s="94" t="s">
        <v>236</v>
      </c>
      <c r="K76" s="31"/>
      <c r="L76" s="31"/>
      <c r="M76" s="32"/>
      <c r="N76" s="33">
        <v>0</v>
      </c>
      <c r="O76" s="34"/>
    </row>
    <row r="77" spans="1:15" x14ac:dyDescent="0.2">
      <c r="A77" s="25" t="s">
        <v>94</v>
      </c>
      <c r="B77" s="26">
        <f>_xlfn.XLOOKUP(G77,'[1]Base de datos'!$A:$A,'[1]Base de datos'!$X:$X)</f>
        <v>46028</v>
      </c>
      <c r="C77" s="25"/>
      <c r="D77" s="25"/>
      <c r="E77" s="27"/>
      <c r="F77" s="28">
        <f>_xlfn.XLOOKUP(G77,[2]PLANEAMIENTO!$A:$A,[2]PLANEAMIENTO!$AT:$AT)</f>
        <v>0</v>
      </c>
      <c r="G77" s="25">
        <v>369026</v>
      </c>
      <c r="H77" s="25" t="s">
        <v>44</v>
      </c>
      <c r="I77" s="43" t="s">
        <v>45</v>
      </c>
      <c r="J77" s="94" t="s">
        <v>236</v>
      </c>
      <c r="K77" s="31"/>
      <c r="L77" s="31"/>
      <c r="M77" s="32"/>
      <c r="N77" s="33">
        <v>0</v>
      </c>
      <c r="O77" s="34"/>
    </row>
    <row r="78" spans="1:15" x14ac:dyDescent="0.2">
      <c r="A78" s="25" t="s">
        <v>95</v>
      </c>
      <c r="B78" s="26">
        <f>_xlfn.XLOOKUP(G78,'[1]Base de datos'!$A:$A,'[1]Base de datos'!$X:$X)</f>
        <v>46028</v>
      </c>
      <c r="C78" s="25"/>
      <c r="D78" s="25"/>
      <c r="E78" s="27"/>
      <c r="F78" s="28">
        <f>_xlfn.XLOOKUP(G78,[2]PLANEAMIENTO!$A:$A,[2]PLANEAMIENTO!$AT:$AT)</f>
        <v>0.05</v>
      </c>
      <c r="G78" s="25">
        <v>369126</v>
      </c>
      <c r="H78" s="25" t="s">
        <v>232</v>
      </c>
      <c r="I78" s="43">
        <v>24</v>
      </c>
      <c r="J78" s="94" t="s">
        <v>236</v>
      </c>
      <c r="K78" s="31"/>
      <c r="L78" s="31"/>
      <c r="M78" s="32"/>
      <c r="N78" s="33">
        <v>0</v>
      </c>
      <c r="O78" s="34"/>
    </row>
    <row r="79" spans="1:15" x14ac:dyDescent="0.2">
      <c r="A79" s="25" t="s">
        <v>96</v>
      </c>
      <c r="B79" s="26">
        <f>_xlfn.XLOOKUP(G79,'[1]Base de datos'!$A:$A,'[1]Base de datos'!$X:$X)</f>
        <v>46028</v>
      </c>
      <c r="C79" s="25"/>
      <c r="D79" s="25"/>
      <c r="E79" s="27"/>
      <c r="F79" s="28">
        <f>_xlfn.XLOOKUP(G79,[2]PLANEAMIENTO!$A:$A,[2]PLANEAMIENTO!$AT:$AT)</f>
        <v>0.12916666666666668</v>
      </c>
      <c r="G79" s="25">
        <v>369226</v>
      </c>
      <c r="H79" s="25" t="s">
        <v>38</v>
      </c>
      <c r="I79" s="43">
        <v>24</v>
      </c>
      <c r="J79" s="94" t="s">
        <v>236</v>
      </c>
      <c r="K79" s="31"/>
      <c r="L79" s="31"/>
      <c r="M79" s="32"/>
      <c r="N79" s="33">
        <v>0</v>
      </c>
      <c r="O79" s="34"/>
    </row>
    <row r="80" spans="1:15" x14ac:dyDescent="0.2">
      <c r="A80" s="25" t="s">
        <v>97</v>
      </c>
      <c r="B80" s="26">
        <f>_xlfn.XLOOKUP(G80,'[1]Base de datos'!$A:$A,'[1]Base de datos'!$X:$X)</f>
        <v>46028</v>
      </c>
      <c r="C80" s="25"/>
      <c r="D80" s="25"/>
      <c r="E80" s="27"/>
      <c r="F80" s="28">
        <f>_xlfn.XLOOKUP(G80,[2]PLANEAMIENTO!$A:$A,[2]PLANEAMIENTO!$AT:$AT)</f>
        <v>5.5555555555555552E-2</v>
      </c>
      <c r="G80" s="25">
        <v>369326</v>
      </c>
      <c r="H80" s="25" t="s">
        <v>237</v>
      </c>
      <c r="I80" s="43">
        <v>24</v>
      </c>
      <c r="J80" s="94" t="s">
        <v>236</v>
      </c>
      <c r="K80" s="31"/>
      <c r="L80" s="31"/>
      <c r="M80" s="32"/>
      <c r="N80" s="33">
        <v>0</v>
      </c>
      <c r="O80" s="34"/>
    </row>
    <row r="81" spans="1:15" x14ac:dyDescent="0.2">
      <c r="A81" s="25" t="s">
        <v>98</v>
      </c>
      <c r="B81" s="26">
        <f>_xlfn.XLOOKUP(G81,'[1]Base de datos'!$A:$A,'[1]Base de datos'!$X:$X)</f>
        <v>46028</v>
      </c>
      <c r="C81" s="25"/>
      <c r="D81" s="25"/>
      <c r="E81" s="27"/>
      <c r="F81" s="28">
        <f>_xlfn.XLOOKUP(G81,[2]PLANEAMIENTO!$A:$A,[2]PLANEAMIENTO!$AT:$AT)</f>
        <v>5.5555555555555552E-2</v>
      </c>
      <c r="G81" s="25">
        <v>369426</v>
      </c>
      <c r="H81" s="25" t="s">
        <v>237</v>
      </c>
      <c r="I81" s="43">
        <v>24</v>
      </c>
      <c r="J81" s="94" t="s">
        <v>236</v>
      </c>
      <c r="K81" s="31"/>
      <c r="L81" s="31"/>
      <c r="M81" s="32"/>
      <c r="N81" s="33">
        <v>0</v>
      </c>
      <c r="O81" s="34"/>
    </row>
    <row r="82" spans="1:15" x14ac:dyDescent="0.2">
      <c r="A82" s="25" t="s">
        <v>99</v>
      </c>
      <c r="B82" s="26">
        <f>_xlfn.XLOOKUP(G82,'[1]Base de datos'!$A:$A,'[1]Base de datos'!$X:$X)</f>
        <v>46028</v>
      </c>
      <c r="C82" s="25"/>
      <c r="D82" s="25"/>
      <c r="E82" s="27"/>
      <c r="F82" s="28">
        <f>_xlfn.XLOOKUP(G82,[2]PLANEAMIENTO!$A:$A,[2]PLANEAMIENTO!$AT:$AT)</f>
        <v>0.6</v>
      </c>
      <c r="G82" s="25">
        <v>369526</v>
      </c>
      <c r="H82" s="25" t="s">
        <v>59</v>
      </c>
      <c r="I82" s="43" t="s">
        <v>60</v>
      </c>
      <c r="J82" s="94" t="s">
        <v>236</v>
      </c>
      <c r="K82" s="31"/>
      <c r="L82" s="31"/>
      <c r="M82" s="32"/>
      <c r="N82" s="33">
        <v>0</v>
      </c>
      <c r="O82" s="34"/>
    </row>
    <row r="83" spans="1:15" x14ac:dyDescent="0.2">
      <c r="A83" s="25" t="s">
        <v>100</v>
      </c>
      <c r="B83" s="26">
        <f>_xlfn.XLOOKUP(G83,'[1]Base de datos'!$A:$A,'[1]Base de datos'!$X:$X)</f>
        <v>46028</v>
      </c>
      <c r="C83" s="25"/>
      <c r="D83" s="25"/>
      <c r="E83" s="27"/>
      <c r="F83" s="28">
        <f>_xlfn.XLOOKUP(G83,[2]PLANEAMIENTO!$A:$A,[2]PLANEAMIENTO!$AT:$AT)</f>
        <v>0.18571428571428572</v>
      </c>
      <c r="G83" s="25">
        <v>369626</v>
      </c>
      <c r="H83" s="25" t="s">
        <v>200</v>
      </c>
      <c r="I83" s="43" t="s">
        <v>60</v>
      </c>
      <c r="J83" s="94" t="s">
        <v>236</v>
      </c>
      <c r="K83" s="31"/>
      <c r="L83" s="31"/>
      <c r="M83" s="32"/>
      <c r="N83" s="33">
        <v>0</v>
      </c>
      <c r="O83" s="34"/>
    </row>
    <row r="84" spans="1:15" x14ac:dyDescent="0.2">
      <c r="A84" s="25" t="s">
        <v>202</v>
      </c>
      <c r="B84" s="26">
        <f>_xlfn.XLOOKUP(G84,'[1]Base de datos'!$A:$A,'[1]Base de datos'!$X:$X)</f>
        <v>46028</v>
      </c>
      <c r="C84" s="25"/>
      <c r="D84" s="25"/>
      <c r="E84" s="27"/>
      <c r="F84" s="28">
        <f>_xlfn.XLOOKUP(G84,[2]PLANEAMIENTO!$A:$A,[2]PLANEAMIENTO!$AT:$AT)</f>
        <v>0.45</v>
      </c>
      <c r="G84" s="25">
        <v>369726</v>
      </c>
      <c r="H84" s="25" t="s">
        <v>200</v>
      </c>
      <c r="I84" s="43" t="s">
        <v>60</v>
      </c>
      <c r="J84" s="94" t="s">
        <v>236</v>
      </c>
      <c r="K84" s="31"/>
      <c r="L84" s="31"/>
      <c r="M84" s="32"/>
      <c r="N84" s="33">
        <v>0</v>
      </c>
      <c r="O84" s="34"/>
    </row>
    <row r="85" spans="1:15" x14ac:dyDescent="0.2">
      <c r="A85" s="25" t="s">
        <v>203</v>
      </c>
      <c r="B85" s="26">
        <f>_xlfn.XLOOKUP(G85,'[1]Base de datos'!$A:$A,'[1]Base de datos'!$X:$X)</f>
        <v>46028</v>
      </c>
      <c r="C85" s="25"/>
      <c r="D85" s="25"/>
      <c r="E85" s="27"/>
      <c r="F85" s="28">
        <f>_xlfn.XLOOKUP(G85,[2]PLANEAMIENTO!$A:$A,[2]PLANEAMIENTO!$AT:$AT)</f>
        <v>0.15</v>
      </c>
      <c r="G85" s="25">
        <v>369826</v>
      </c>
      <c r="H85" s="25" t="s">
        <v>42</v>
      </c>
      <c r="I85" s="43" t="s">
        <v>233</v>
      </c>
      <c r="J85" s="94" t="s">
        <v>236</v>
      </c>
      <c r="K85" s="31"/>
      <c r="L85" s="31"/>
      <c r="M85" s="32"/>
      <c r="N85" s="33">
        <v>0</v>
      </c>
      <c r="O85" s="34"/>
    </row>
    <row r="86" spans="1:15" x14ac:dyDescent="0.2">
      <c r="A86" s="25" t="s">
        <v>204</v>
      </c>
      <c r="B86" s="26">
        <f>_xlfn.XLOOKUP(G86,'[1]Base de datos'!$A:$A,'[1]Base de datos'!$X:$X)</f>
        <v>46029</v>
      </c>
      <c r="C86" s="25"/>
      <c r="D86" s="27"/>
      <c r="E86" s="27"/>
      <c r="F86" s="28">
        <f>_xlfn.XLOOKUP(G86,[2]PLANEAMIENTO!$A:$A,[2]PLANEAMIENTO!$AT:$AT)</f>
        <v>0.15</v>
      </c>
      <c r="G86" s="25">
        <v>369926</v>
      </c>
      <c r="H86" s="25" t="s">
        <v>42</v>
      </c>
      <c r="I86" s="43" t="s">
        <v>75</v>
      </c>
      <c r="J86" s="94" t="s">
        <v>236</v>
      </c>
      <c r="K86" s="31"/>
      <c r="L86" s="31"/>
      <c r="M86" s="32"/>
      <c r="N86" s="33">
        <v>0</v>
      </c>
      <c r="O86" s="34"/>
    </row>
    <row r="87" spans="1:15" x14ac:dyDescent="0.2">
      <c r="A87" s="14" t="s">
        <v>102</v>
      </c>
      <c r="B87" s="37" t="s">
        <v>103</v>
      </c>
      <c r="C87" s="14"/>
      <c r="D87" s="38"/>
      <c r="E87" s="38"/>
      <c r="F87" s="17" t="s">
        <v>104</v>
      </c>
      <c r="G87" s="14" t="s">
        <v>10</v>
      </c>
      <c r="H87" s="14" t="s">
        <v>105</v>
      </c>
      <c r="I87" s="19"/>
      <c r="J87" s="39"/>
      <c r="K87" s="40">
        <f>$K$6</f>
        <v>46034</v>
      </c>
      <c r="L87" s="40">
        <f>$L$6</f>
        <v>46038</v>
      </c>
      <c r="M87" s="41"/>
      <c r="N87" s="42">
        <f>AVERAGE(N88:N101)</f>
        <v>0</v>
      </c>
      <c r="O87" s="24"/>
    </row>
    <row r="88" spans="1:15" ht="25.5" x14ac:dyDescent="0.2">
      <c r="A88" s="43">
        <v>9.1</v>
      </c>
      <c r="B88" s="26">
        <f>_xlfn.XLOOKUP(G88,'[1]Base de datos'!$A:$A,'[1]Base de datos'!$X:$X)</f>
        <v>45972</v>
      </c>
      <c r="C88" s="25" t="s">
        <v>196</v>
      </c>
      <c r="D88" s="25" t="s">
        <v>196</v>
      </c>
      <c r="E88" s="27" t="s">
        <v>22</v>
      </c>
      <c r="F88" s="28">
        <f>_xlfn.XLOOKUP(G88,[2]PLANEAMIENTO!$A:$A,[2]PLANEAMIENTO!$AT:$AT)</f>
        <v>1</v>
      </c>
      <c r="G88" s="25">
        <v>359825</v>
      </c>
      <c r="H88" s="25" t="s">
        <v>54</v>
      </c>
      <c r="I88" s="43" t="s">
        <v>24</v>
      </c>
      <c r="J88" s="29" t="s">
        <v>238</v>
      </c>
      <c r="K88" s="31"/>
      <c r="L88" s="31"/>
      <c r="M88" s="32"/>
      <c r="N88" s="33">
        <v>0</v>
      </c>
      <c r="O88" s="34"/>
    </row>
    <row r="89" spans="1:15" ht="25.5" x14ac:dyDescent="0.2">
      <c r="A89" s="43">
        <v>9.1999999999999993</v>
      </c>
      <c r="B89" s="26">
        <f>_xlfn.XLOOKUP(G89,'[1]Base de datos'!$A:$A,'[1]Base de datos'!$X:$X)</f>
        <v>45972</v>
      </c>
      <c r="C89" s="25" t="s">
        <v>196</v>
      </c>
      <c r="D89" s="25" t="s">
        <v>196</v>
      </c>
      <c r="E89" s="27" t="s">
        <v>22</v>
      </c>
      <c r="F89" s="28">
        <f>_xlfn.XLOOKUP(G89,[2]PLANEAMIENTO!$A:$A,[2]PLANEAMIENTO!$AT:$AT)</f>
        <v>1</v>
      </c>
      <c r="G89" s="25">
        <v>359925</v>
      </c>
      <c r="H89" s="25" t="s">
        <v>54</v>
      </c>
      <c r="I89" s="43" t="s">
        <v>24</v>
      </c>
      <c r="J89" s="29" t="s">
        <v>239</v>
      </c>
      <c r="K89" s="31"/>
      <c r="L89" s="31"/>
      <c r="M89" s="32"/>
      <c r="N89" s="33">
        <v>0</v>
      </c>
      <c r="O89" s="34"/>
    </row>
    <row r="90" spans="1:15" x14ac:dyDescent="0.2">
      <c r="A90" s="43">
        <v>9.3000000000000007</v>
      </c>
      <c r="B90" s="26">
        <f>_xlfn.XLOOKUP(G90,'[1]Base de datos'!$A:$A,'[1]Base de datos'!$X:$X)</f>
        <v>45975</v>
      </c>
      <c r="C90" s="25" t="s">
        <v>196</v>
      </c>
      <c r="D90" s="25" t="s">
        <v>196</v>
      </c>
      <c r="E90" s="27"/>
      <c r="F90" s="28">
        <f>_xlfn.XLOOKUP(G90,[2]PLANEAMIENTO!$A:$A,[2]PLANEAMIENTO!$AT:$AT)</f>
        <v>0.73333333333333328</v>
      </c>
      <c r="G90" s="25">
        <v>360325</v>
      </c>
      <c r="H90" s="25" t="s">
        <v>38</v>
      </c>
      <c r="I90" s="43" t="s">
        <v>39</v>
      </c>
      <c r="J90" s="29" t="s">
        <v>192</v>
      </c>
      <c r="K90" s="31"/>
      <c r="L90" s="31"/>
      <c r="M90" s="32"/>
      <c r="N90" s="33">
        <v>0</v>
      </c>
      <c r="O90" s="34"/>
    </row>
    <row r="91" spans="1:15" x14ac:dyDescent="0.2">
      <c r="A91" s="43">
        <v>9.4</v>
      </c>
      <c r="B91" s="26">
        <f>_xlfn.XLOOKUP(G91,'[1]Base de datos'!$A:$A,'[1]Base de datos'!$X:$X)</f>
        <v>45979</v>
      </c>
      <c r="C91" s="25" t="s">
        <v>196</v>
      </c>
      <c r="D91" s="25" t="s">
        <v>196</v>
      </c>
      <c r="E91" s="27"/>
      <c r="F91" s="28">
        <f>_xlfn.XLOOKUP(G91,[2]PLANEAMIENTO!$A:$A,[2]PLANEAMIENTO!$AT:$AT)</f>
        <v>1</v>
      </c>
      <c r="G91" s="25">
        <v>360925</v>
      </c>
      <c r="H91" s="25" t="s">
        <v>42</v>
      </c>
      <c r="I91" s="43">
        <v>24</v>
      </c>
      <c r="J91" s="29" t="s">
        <v>193</v>
      </c>
      <c r="K91" s="31"/>
      <c r="L91" s="31"/>
      <c r="M91" s="32"/>
      <c r="N91" s="33">
        <v>0</v>
      </c>
      <c r="O91" s="34"/>
    </row>
    <row r="92" spans="1:15" x14ac:dyDescent="0.2">
      <c r="A92" s="43">
        <v>9.5</v>
      </c>
      <c r="B92" s="26">
        <f>_xlfn.XLOOKUP(G92,'[1]Base de datos'!$A:$A,'[1]Base de datos'!$X:$X)</f>
        <v>45979</v>
      </c>
      <c r="C92" s="25" t="s">
        <v>196</v>
      </c>
      <c r="D92" s="25" t="s">
        <v>196</v>
      </c>
      <c r="E92" s="27"/>
      <c r="F92" s="28">
        <f>_xlfn.XLOOKUP(G92,[2]PLANEAMIENTO!$A:$A,[2]PLANEAMIENTO!$AT:$AT)</f>
        <v>1</v>
      </c>
      <c r="G92" s="25">
        <v>361225</v>
      </c>
      <c r="H92" s="25" t="s">
        <v>194</v>
      </c>
      <c r="I92" s="43" t="s">
        <v>75</v>
      </c>
      <c r="J92" s="29" t="s">
        <v>193</v>
      </c>
      <c r="K92" s="31"/>
      <c r="L92" s="31"/>
      <c r="M92" s="32"/>
      <c r="N92" s="33">
        <v>0</v>
      </c>
      <c r="O92" s="34"/>
    </row>
    <row r="93" spans="1:15" x14ac:dyDescent="0.2">
      <c r="A93" s="43">
        <v>9.6</v>
      </c>
      <c r="B93" s="26">
        <f>_xlfn.XLOOKUP(G93,'[1]Base de datos'!$A:$A,'[1]Base de datos'!$X:$X)</f>
        <v>45979</v>
      </c>
      <c r="C93" s="25" t="s">
        <v>196</v>
      </c>
      <c r="D93" s="25" t="s">
        <v>196</v>
      </c>
      <c r="E93" s="27"/>
      <c r="F93" s="28">
        <f>_xlfn.XLOOKUP(G93,[2]PLANEAMIENTO!$A:$A,[2]PLANEAMIENTO!$AT:$AT)</f>
        <v>1</v>
      </c>
      <c r="G93" s="25">
        <v>361325</v>
      </c>
      <c r="H93" s="25" t="s">
        <v>194</v>
      </c>
      <c r="I93" s="43" t="s">
        <v>75</v>
      </c>
      <c r="J93" s="29" t="s">
        <v>193</v>
      </c>
      <c r="K93" s="31"/>
      <c r="L93" s="31"/>
      <c r="M93" s="32"/>
      <c r="N93" s="33">
        <v>0</v>
      </c>
      <c r="O93" s="34"/>
    </row>
    <row r="94" spans="1:15" x14ac:dyDescent="0.2">
      <c r="A94" s="43">
        <v>9.6999999999999993</v>
      </c>
      <c r="B94" s="26">
        <f>_xlfn.XLOOKUP(G94,'[1]Base de datos'!$A:$A,'[1]Base de datos'!$X:$X)</f>
        <v>45980</v>
      </c>
      <c r="C94" s="25" t="s">
        <v>196</v>
      </c>
      <c r="D94" s="25" t="s">
        <v>196</v>
      </c>
      <c r="E94" s="27"/>
      <c r="F94" s="28">
        <f>_xlfn.XLOOKUP(G94,[2]PLANEAMIENTO!$A:$A,[2]PLANEAMIENTO!$AT:$AT)</f>
        <v>1</v>
      </c>
      <c r="G94" s="25">
        <v>361625</v>
      </c>
      <c r="H94" s="25" t="s">
        <v>32</v>
      </c>
      <c r="I94" s="43" t="s">
        <v>33</v>
      </c>
      <c r="J94" s="29" t="s">
        <v>193</v>
      </c>
      <c r="K94" s="31"/>
      <c r="L94" s="31"/>
      <c r="M94" s="32"/>
      <c r="N94" s="33">
        <v>0</v>
      </c>
      <c r="O94" s="34"/>
    </row>
    <row r="95" spans="1:15" x14ac:dyDescent="0.2">
      <c r="A95" s="43">
        <v>9.8000000000000007</v>
      </c>
      <c r="B95" s="26">
        <f>_xlfn.XLOOKUP(G95,'[1]Base de datos'!$A:$A,'[1]Base de datos'!$X:$X)</f>
        <v>45985</v>
      </c>
      <c r="C95" s="25" t="s">
        <v>196</v>
      </c>
      <c r="D95" s="25" t="s">
        <v>196</v>
      </c>
      <c r="E95" s="27"/>
      <c r="F95" s="28">
        <f>_xlfn.XLOOKUP(G95,[2]PLANEAMIENTO!$A:$A,[2]PLANEAMIENTO!$AT:$AT)</f>
        <v>0</v>
      </c>
      <c r="G95" s="25">
        <v>362525</v>
      </c>
      <c r="H95" s="25" t="s">
        <v>194</v>
      </c>
      <c r="I95" s="43" t="s">
        <v>75</v>
      </c>
      <c r="J95" s="29" t="s">
        <v>193</v>
      </c>
      <c r="K95" s="31"/>
      <c r="L95" s="31"/>
      <c r="M95" s="32"/>
      <c r="N95" s="33">
        <v>0</v>
      </c>
      <c r="O95" s="34"/>
    </row>
    <row r="96" spans="1:15" x14ac:dyDescent="0.2">
      <c r="A96" s="43">
        <v>9.9</v>
      </c>
      <c r="B96" s="26">
        <f>_xlfn.XLOOKUP(G96,'[1]Base de datos'!$A:$A,'[1]Base de datos'!$X:$X)</f>
        <v>45985</v>
      </c>
      <c r="C96" s="25" t="s">
        <v>196</v>
      </c>
      <c r="D96" s="25" t="s">
        <v>196</v>
      </c>
      <c r="E96" s="27"/>
      <c r="F96" s="28">
        <f>_xlfn.XLOOKUP(G96,[2]PLANEAMIENTO!$A:$A,[2]PLANEAMIENTO!$AT:$AT)</f>
        <v>1</v>
      </c>
      <c r="G96" s="25">
        <v>362625</v>
      </c>
      <c r="H96" s="25" t="s">
        <v>42</v>
      </c>
      <c r="I96" s="43">
        <v>24</v>
      </c>
      <c r="J96" s="29" t="s">
        <v>192</v>
      </c>
      <c r="K96" s="31"/>
      <c r="L96" s="31"/>
      <c r="M96" s="32"/>
      <c r="N96" s="33">
        <v>0</v>
      </c>
      <c r="O96" s="34"/>
    </row>
    <row r="97" spans="1:15" x14ac:dyDescent="0.2">
      <c r="A97" s="43">
        <v>10</v>
      </c>
      <c r="B97" s="26">
        <f>_xlfn.XLOOKUP(G97,'[1]Base de datos'!$A:$A,'[1]Base de datos'!$X:$X)</f>
        <v>45985</v>
      </c>
      <c r="C97" s="25" t="s">
        <v>196</v>
      </c>
      <c r="D97" s="25" t="s">
        <v>196</v>
      </c>
      <c r="E97" s="27"/>
      <c r="F97" s="28">
        <f>_xlfn.XLOOKUP(G97,[2]PLANEAMIENTO!$A:$A,[2]PLANEAMIENTO!$AT:$AT)</f>
        <v>1</v>
      </c>
      <c r="G97" s="25">
        <v>362725</v>
      </c>
      <c r="H97" s="25" t="s">
        <v>42</v>
      </c>
      <c r="I97" s="43" t="s">
        <v>195</v>
      </c>
      <c r="J97" s="29" t="s">
        <v>193</v>
      </c>
      <c r="K97" s="31"/>
      <c r="L97" s="31"/>
      <c r="M97" s="32"/>
      <c r="N97" s="33">
        <v>0</v>
      </c>
      <c r="O97" s="34"/>
    </row>
    <row r="98" spans="1:15" x14ac:dyDescent="0.2">
      <c r="A98" s="43">
        <v>10.1</v>
      </c>
      <c r="B98" s="26">
        <f>_xlfn.XLOOKUP(G98,'[1]Base de datos'!$A:$A,'[1]Base de datos'!$X:$X)</f>
        <v>45985</v>
      </c>
      <c r="C98" s="25" t="s">
        <v>196</v>
      </c>
      <c r="D98" s="25" t="s">
        <v>196</v>
      </c>
      <c r="E98" s="27"/>
      <c r="F98" s="28">
        <f>_xlfn.XLOOKUP(G98,[2]PLANEAMIENTO!$A:$A,[2]PLANEAMIENTO!$AT:$AT)</f>
        <v>0.8125</v>
      </c>
      <c r="G98" s="25">
        <v>363125</v>
      </c>
      <c r="H98" s="25" t="s">
        <v>56</v>
      </c>
      <c r="I98" s="43" t="s">
        <v>57</v>
      </c>
      <c r="J98" s="29" t="s">
        <v>192</v>
      </c>
      <c r="K98" s="31"/>
      <c r="L98" s="31"/>
      <c r="M98" s="32"/>
      <c r="N98" s="33"/>
      <c r="O98" s="34"/>
    </row>
    <row r="99" spans="1:15" x14ac:dyDescent="0.2">
      <c r="A99" s="43">
        <v>10.199999999999999</v>
      </c>
      <c r="B99" s="26">
        <f>_xlfn.XLOOKUP(G99,'[1]Base de datos'!$A:$A,'[1]Base de datos'!$X:$X)</f>
        <v>45987</v>
      </c>
      <c r="C99" s="25" t="s">
        <v>196</v>
      </c>
      <c r="D99" s="25" t="s">
        <v>196</v>
      </c>
      <c r="E99" s="27"/>
      <c r="F99" s="28">
        <f>_xlfn.XLOOKUP(G99,[2]PLANEAMIENTO!$A:$A,[2]PLANEAMIENTO!$AT:$AT)</f>
        <v>0.505</v>
      </c>
      <c r="G99" s="25">
        <v>363625</v>
      </c>
      <c r="H99" s="25" t="s">
        <v>42</v>
      </c>
      <c r="I99" s="43" t="s">
        <v>60</v>
      </c>
      <c r="J99" s="29" t="s">
        <v>192</v>
      </c>
      <c r="K99" s="31"/>
      <c r="L99" s="31"/>
      <c r="M99" s="32"/>
      <c r="N99" s="33"/>
      <c r="O99" s="34"/>
    </row>
    <row r="100" spans="1:15" x14ac:dyDescent="0.2">
      <c r="A100" s="43"/>
      <c r="B100" s="26"/>
      <c r="C100" s="25"/>
      <c r="D100" s="25"/>
      <c r="E100" s="27"/>
      <c r="F100" s="28"/>
      <c r="G100" s="25"/>
      <c r="H100" s="25"/>
      <c r="I100" s="43"/>
      <c r="J100" s="29"/>
      <c r="K100" s="31"/>
      <c r="L100" s="31"/>
      <c r="M100" s="32"/>
      <c r="N100" s="33"/>
      <c r="O100" s="34"/>
    </row>
    <row r="101" spans="1:15" x14ac:dyDescent="0.2">
      <c r="A101" s="43"/>
      <c r="B101" s="26"/>
      <c r="C101" s="25"/>
      <c r="D101" s="25"/>
      <c r="E101" s="27"/>
      <c r="F101" s="28"/>
      <c r="G101" s="25"/>
      <c r="H101" s="25"/>
      <c r="I101" s="43"/>
      <c r="J101" s="29"/>
      <c r="K101" s="31"/>
      <c r="L101" s="31"/>
      <c r="M101" s="32"/>
      <c r="N101" s="33"/>
      <c r="O101" s="34"/>
    </row>
    <row r="102" spans="1:15" x14ac:dyDescent="0.2">
      <c r="A102" s="43"/>
      <c r="B102" s="26"/>
      <c r="C102" s="25"/>
      <c r="D102" s="25"/>
      <c r="E102" s="27"/>
      <c r="F102" s="28"/>
      <c r="G102" s="25"/>
      <c r="H102" s="25"/>
      <c r="I102" s="43"/>
      <c r="J102" s="29"/>
      <c r="K102" s="31"/>
      <c r="L102" s="31"/>
      <c r="M102" s="32"/>
      <c r="N102" s="33"/>
      <c r="O102" s="34"/>
    </row>
    <row r="103" spans="1:15" ht="13.5" thickBot="1" x14ac:dyDescent="0.25"/>
    <row r="104" spans="1:15" ht="39" thickBot="1" x14ac:dyDescent="0.25">
      <c r="B104" s="50" t="s">
        <v>109</v>
      </c>
      <c r="C104" s="51" t="s">
        <v>11</v>
      </c>
      <c r="D104" s="51" t="s">
        <v>110</v>
      </c>
      <c r="E104" s="51" t="s">
        <v>111</v>
      </c>
      <c r="F104" s="52" t="s">
        <v>112</v>
      </c>
      <c r="G104" s="53" t="s">
        <v>113</v>
      </c>
      <c r="H104" s="54" t="s">
        <v>114</v>
      </c>
      <c r="J104" s="55" t="s">
        <v>11</v>
      </c>
      <c r="K104" s="56" t="s">
        <v>205</v>
      </c>
      <c r="L104" s="56" t="s">
        <v>206</v>
      </c>
      <c r="M104" s="56" t="s">
        <v>207</v>
      </c>
      <c r="N104" s="56" t="s">
        <v>208</v>
      </c>
      <c r="O104" s="56" t="s">
        <v>115</v>
      </c>
    </row>
    <row r="105" spans="1:15" x14ac:dyDescent="0.2">
      <c r="B105" s="57">
        <v>1</v>
      </c>
      <c r="C105" s="58" t="s">
        <v>20</v>
      </c>
      <c r="D105" s="59">
        <v>48</v>
      </c>
      <c r="E105" s="59"/>
      <c r="F105" s="59"/>
      <c r="G105" s="60">
        <f>F105/D105</f>
        <v>0</v>
      </c>
      <c r="H105" s="61"/>
      <c r="J105" s="62" t="s">
        <v>110</v>
      </c>
      <c r="K105" s="59"/>
      <c r="L105" s="59"/>
      <c r="M105" s="63"/>
      <c r="N105" s="63"/>
      <c r="O105" s="64"/>
    </row>
    <row r="106" spans="1:15" x14ac:dyDescent="0.2">
      <c r="B106" s="65">
        <v>1</v>
      </c>
      <c r="C106" s="66" t="s">
        <v>36</v>
      </c>
      <c r="D106" s="67">
        <v>48</v>
      </c>
      <c r="E106" s="67"/>
      <c r="F106" s="67"/>
      <c r="G106" s="60">
        <f t="shared" ref="G106:G114" si="0">F106/D106</f>
        <v>0</v>
      </c>
      <c r="H106" s="68"/>
      <c r="J106" s="69" t="s">
        <v>116</v>
      </c>
      <c r="K106" s="70"/>
      <c r="L106" s="70"/>
      <c r="M106" s="71"/>
      <c r="N106" s="71"/>
      <c r="O106" s="72"/>
    </row>
    <row r="107" spans="1:15" x14ac:dyDescent="0.2">
      <c r="B107" s="65">
        <v>1</v>
      </c>
      <c r="C107" s="66" t="s">
        <v>49</v>
      </c>
      <c r="D107" s="67">
        <v>48</v>
      </c>
      <c r="E107" s="67"/>
      <c r="F107" s="67"/>
      <c r="G107" s="60">
        <f t="shared" si="0"/>
        <v>0</v>
      </c>
      <c r="H107" s="68"/>
      <c r="J107" s="69" t="s">
        <v>117</v>
      </c>
      <c r="K107" s="67"/>
      <c r="L107" s="67"/>
      <c r="M107" s="73"/>
      <c r="N107" s="73"/>
      <c r="O107" s="72"/>
    </row>
    <row r="108" spans="1:15" x14ac:dyDescent="0.2">
      <c r="B108" s="65">
        <v>1</v>
      </c>
      <c r="C108" s="66" t="s">
        <v>62</v>
      </c>
      <c r="D108" s="67">
        <v>48</v>
      </c>
      <c r="E108" s="67"/>
      <c r="F108" s="67"/>
      <c r="G108" s="60">
        <f t="shared" si="0"/>
        <v>0</v>
      </c>
      <c r="H108" s="68"/>
      <c r="J108" s="74" t="s">
        <v>118</v>
      </c>
      <c r="K108" s="67"/>
      <c r="L108" s="67"/>
      <c r="M108" s="73"/>
      <c r="N108" s="73"/>
      <c r="O108" s="72"/>
    </row>
    <row r="109" spans="1:15" x14ac:dyDescent="0.2">
      <c r="B109" s="65">
        <v>1</v>
      </c>
      <c r="C109" s="66" t="s">
        <v>73</v>
      </c>
      <c r="D109" s="67">
        <v>48</v>
      </c>
      <c r="E109" s="67"/>
      <c r="F109" s="67"/>
      <c r="G109" s="60">
        <f t="shared" si="0"/>
        <v>0</v>
      </c>
      <c r="H109" s="68"/>
      <c r="J109" s="74" t="s">
        <v>119</v>
      </c>
      <c r="K109" s="67"/>
      <c r="L109" s="67"/>
      <c r="M109" s="73"/>
      <c r="N109" s="73"/>
      <c r="O109" s="72"/>
    </row>
    <row r="110" spans="1:15" x14ac:dyDescent="0.2">
      <c r="B110" s="65">
        <v>1</v>
      </c>
      <c r="C110" s="66" t="s">
        <v>78</v>
      </c>
      <c r="D110" s="67">
        <v>48</v>
      </c>
      <c r="E110" s="67"/>
      <c r="F110" s="67"/>
      <c r="G110" s="60">
        <f t="shared" si="0"/>
        <v>0</v>
      </c>
      <c r="H110" s="68"/>
      <c r="J110" s="74" t="s">
        <v>120</v>
      </c>
      <c r="K110" s="67"/>
      <c r="L110" s="67"/>
      <c r="M110" s="73"/>
      <c r="N110" s="73"/>
      <c r="O110" s="72"/>
    </row>
    <row r="111" spans="1:15" ht="13.5" thickBot="1" x14ac:dyDescent="0.25">
      <c r="B111" s="65">
        <v>1</v>
      </c>
      <c r="C111" s="66" t="s">
        <v>82</v>
      </c>
      <c r="D111" s="67">
        <v>48</v>
      </c>
      <c r="E111" s="67"/>
      <c r="F111" s="67"/>
      <c r="G111" s="60">
        <f t="shared" si="0"/>
        <v>0</v>
      </c>
      <c r="H111" s="68"/>
      <c r="J111" s="75" t="s">
        <v>121</v>
      </c>
      <c r="K111" s="76"/>
      <c r="L111" s="76"/>
      <c r="M111" s="77"/>
      <c r="N111" s="77"/>
      <c r="O111" s="78"/>
    </row>
    <row r="112" spans="1:15" x14ac:dyDescent="0.2">
      <c r="B112" s="65">
        <v>1</v>
      </c>
      <c r="C112" s="66" t="s">
        <v>122</v>
      </c>
      <c r="D112" s="67">
        <v>48</v>
      </c>
      <c r="E112" s="67"/>
      <c r="F112" s="67"/>
      <c r="G112" s="60">
        <f t="shared" si="0"/>
        <v>0</v>
      </c>
      <c r="H112" s="68"/>
    </row>
    <row r="113" spans="2:8" ht="25.5" x14ac:dyDescent="0.2">
      <c r="B113" s="65">
        <v>3</v>
      </c>
      <c r="C113" s="79" t="s">
        <v>123</v>
      </c>
      <c r="D113" s="67">
        <v>144</v>
      </c>
      <c r="E113" s="67"/>
      <c r="F113" s="67"/>
      <c r="G113" s="60">
        <f t="shared" si="0"/>
        <v>0</v>
      </c>
      <c r="H113" s="80"/>
    </row>
    <row r="114" spans="2:8" ht="13.5" thickBot="1" x14ac:dyDescent="0.25">
      <c r="B114" s="81">
        <v>1</v>
      </c>
      <c r="C114" s="82" t="s">
        <v>124</v>
      </c>
      <c r="D114" s="83">
        <v>48</v>
      </c>
      <c r="E114" s="83"/>
      <c r="F114" s="83"/>
      <c r="G114" s="84">
        <f t="shared" si="0"/>
        <v>0</v>
      </c>
      <c r="H114" s="85"/>
    </row>
    <row r="115" spans="2:8" ht="13.5" thickBot="1" x14ac:dyDescent="0.25">
      <c r="B115"/>
      <c r="C115" s="1"/>
      <c r="D115" s="86">
        <f>SUM(D105:D114)</f>
        <v>576</v>
      </c>
      <c r="G115" s="87">
        <f>AVERAGE(G105:G114)</f>
        <v>0</v>
      </c>
    </row>
    <row r="118" spans="2:8" x14ac:dyDescent="0.2">
      <c r="B118" s="88"/>
    </row>
    <row r="119" spans="2:8" x14ac:dyDescent="0.2">
      <c r="B119" s="89"/>
    </row>
  </sheetData>
  <mergeCells count="23">
    <mergeCell ref="M3:M4"/>
    <mergeCell ref="N3:N4"/>
    <mergeCell ref="O3:O4"/>
    <mergeCell ref="M1:M2"/>
    <mergeCell ref="N1:N2"/>
    <mergeCell ref="O1:O2"/>
    <mergeCell ref="G3:G4"/>
    <mergeCell ref="H3:H4"/>
    <mergeCell ref="A1:A4"/>
    <mergeCell ref="B1:B2"/>
    <mergeCell ref="C1:C2"/>
    <mergeCell ref="G1:J2"/>
    <mergeCell ref="B3:B4"/>
    <mergeCell ref="C3:C4"/>
    <mergeCell ref="D3:D4"/>
    <mergeCell ref="E3:E4"/>
    <mergeCell ref="F3:F4"/>
    <mergeCell ref="K1:K2"/>
    <mergeCell ref="L1:L2"/>
    <mergeCell ref="I3:I4"/>
    <mergeCell ref="J3:J4"/>
    <mergeCell ref="K3:K4"/>
    <mergeCell ref="L3:L4"/>
  </mergeCells>
  <phoneticPr fontId="12" type="noConversion"/>
  <conditionalFormatting sqref="A23:F28">
    <cfRule type="expression" dxfId="14" priority="7" stopIfTrue="1">
      <formula>$R23="x"</formula>
    </cfRule>
  </conditionalFormatting>
  <conditionalFormatting sqref="A5:O22">
    <cfRule type="expression" dxfId="13" priority="8" stopIfTrue="1">
      <formula>$R5="x"</formula>
    </cfRule>
  </conditionalFormatting>
  <conditionalFormatting sqref="A29:O102">
    <cfRule type="expression" dxfId="12" priority="1" stopIfTrue="1">
      <formula>$R29="x"</formula>
    </cfRule>
  </conditionalFormatting>
  <conditionalFormatting sqref="B104 H104:H114">
    <cfRule type="expression" dxfId="11" priority="13" stopIfTrue="1">
      <formula>$R104="x"</formula>
    </cfRule>
  </conditionalFormatting>
  <conditionalFormatting sqref="G15:L21 G23:L28">
    <cfRule type="expression" dxfId="10" priority="14" stopIfTrue="1">
      <formula>#REF!="x"</formula>
    </cfRule>
  </conditionalFormatting>
  <conditionalFormatting sqref="L1">
    <cfRule type="expression" dxfId="9" priority="11" stopIfTrue="1">
      <formula>$R1="x"</formula>
    </cfRule>
  </conditionalFormatting>
  <conditionalFormatting sqref="M23:O28">
    <cfRule type="expression" dxfId="8" priority="10" stopIfTrue="1">
      <formula>$R23="x"</formula>
    </cfRule>
  </conditionalFormatting>
  <conditionalFormatting sqref="N1">
    <cfRule type="expression" dxfId="7" priority="12" stopIfTrue="1">
      <formula>$R1="x"</formula>
    </cfRule>
  </conditionalFormatting>
  <dataValidations disablePrompts="1" count="2">
    <dataValidation type="list" allowBlank="1" sqref="O6 O72 O22 O29 O14 O56 O45 O40" xr:uid="{C1CBB78C-0542-4E57-8F7E-1E6447D2679C}">
      <formula1>"Activate PRO features"</formula1>
    </dataValidation>
    <dataValidation type="custom" allowBlank="1" showDropDown="1" sqref="K5:L14 K22:L102" xr:uid="{04694A88-7E29-4BEB-96B3-A9B6541EEB59}">
      <formula1>OR(NOT(ISERROR(DATEVALUE(K5))), AND(ISNUMBER(K5), LEFT(CELL("format", K5))="D"))</formula1>
    </dataValidation>
  </dataValidations>
  <printOptions horizontalCentered="1"/>
  <pageMargins left="0.23622047244094491" right="0.23622047244094491" top="0.51181102362204722" bottom="0.51181102362204722" header="0.31496062992125984" footer="0.31496062992125984"/>
  <pageSetup paperSize="9" scale="56" fitToHeight="0" orientation="landscape" horizontalDpi="360" verticalDpi="36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" displayEmptyCellsAs="gap" markers="1" first="1" last="1" negative="1" displayXAxis="1" xr2:uid="{29A7B64F-08B3-479A-95DB-B156A25BEDB8}">
          <x14:colorSeries theme="7"/>
          <x14:colorNegative theme="5" tint="-0.499984740745262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'SEMANA 3'!K106:M106</xm:f>
              <xm:sqref>O106</xm:sqref>
            </x14:sparkline>
            <x14:sparkline>
              <xm:f>'SEMANA 3'!K107:M107</xm:f>
              <xm:sqref>O107</xm:sqref>
            </x14:sparkline>
            <x14:sparkline>
              <xm:f>'SEMANA 3'!K108:M108</xm:f>
              <xm:sqref>O108</xm:sqref>
            </x14:sparkline>
            <x14:sparkline>
              <xm:f>'SEMANA 3'!K109:M109</xm:f>
              <xm:sqref>O109</xm:sqref>
            </x14:sparkline>
            <x14:sparkline>
              <xm:f>'SEMANA 3'!K110:M110</xm:f>
              <xm:sqref>O110</xm:sqref>
            </x14:sparkline>
            <x14:sparkline>
              <xm:f>'SEMANA 3'!K111:M111</xm:f>
              <xm:sqref>O111</xm:sqref>
            </x14:sparkline>
          </x14:sparklines>
        </x14:sparklineGroup>
        <x14:sparklineGroup manualMax="0" manualMin="0" lineWeight="1" displayEmptyCellsAs="gap" markers="1" first="1" last="1" negative="1" displayXAxis="1" xr2:uid="{B181C493-76A1-444F-916A-E86BD6C3D07D}">
          <x14:colorSeries theme="7"/>
          <x14:colorNegative theme="5" tint="-0.499984740745262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'SEMANA 3'!K105:M105</xm:f>
              <xm:sqref>O105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08B4-62FD-4B89-9329-4FDC4BE3A456}">
  <sheetPr>
    <pageSetUpPr fitToPage="1"/>
  </sheetPr>
  <dimension ref="A1:O96"/>
  <sheetViews>
    <sheetView tabSelected="1" topLeftCell="A55" zoomScaleNormal="100" workbookViewId="0">
      <selection activeCell="H68" sqref="H68:H75"/>
    </sheetView>
  </sheetViews>
  <sheetFormatPr baseColWidth="10" defaultColWidth="11.5703125" defaultRowHeight="12.75" x14ac:dyDescent="0.2"/>
  <cols>
    <col min="1" max="1" width="5.28515625" style="3" customWidth="1"/>
    <col min="2" max="2" width="13.5703125" style="1" customWidth="1"/>
    <col min="3" max="3" width="14.42578125" customWidth="1"/>
    <col min="4" max="4" width="13.5703125" style="1" customWidth="1"/>
    <col min="5" max="5" width="8" style="1" customWidth="1"/>
    <col min="6" max="6" width="11.85546875" style="2" customWidth="1"/>
    <col min="7" max="7" width="10.140625" customWidth="1"/>
    <col min="8" max="8" width="39.85546875" bestFit="1" customWidth="1"/>
    <col min="10" max="10" width="39.5703125" style="49" customWidth="1"/>
    <col min="11" max="11" width="11" customWidth="1"/>
    <col min="13" max="13" width="14" bestFit="1" customWidth="1"/>
    <col min="15" max="15" width="39" bestFit="1" customWidth="1"/>
  </cols>
  <sheetData>
    <row r="1" spans="1:15" ht="12.75" customHeight="1" x14ac:dyDescent="0.2">
      <c r="A1" s="108" t="s">
        <v>0</v>
      </c>
      <c r="B1" s="111" t="s">
        <v>1</v>
      </c>
      <c r="C1" s="112">
        <v>4</v>
      </c>
      <c r="G1" s="113" t="s">
        <v>2</v>
      </c>
      <c r="H1" s="114"/>
      <c r="I1" s="114"/>
      <c r="J1" s="114"/>
      <c r="K1" s="101" t="s">
        <v>3</v>
      </c>
      <c r="L1" s="123">
        <f>COUNTA(_xlfn.UNIQUE(G6:G78))-2</f>
        <v>39</v>
      </c>
      <c r="M1" s="101" t="s">
        <v>4</v>
      </c>
      <c r="N1" s="103">
        <f>AVERAGE(N14,N23,N32,N41,N45,N51,N61,N66,N6)</f>
        <v>0</v>
      </c>
      <c r="O1" s="104"/>
    </row>
    <row r="2" spans="1:15" ht="13.5" thickBot="1" x14ac:dyDescent="0.25">
      <c r="A2" s="109"/>
      <c r="B2" s="111"/>
      <c r="C2" s="112"/>
      <c r="G2" s="115"/>
      <c r="H2" s="116"/>
      <c r="I2" s="116"/>
      <c r="J2" s="116"/>
      <c r="K2" s="102"/>
      <c r="L2" s="123"/>
      <c r="M2" s="102"/>
      <c r="N2" s="103"/>
      <c r="O2" s="105"/>
    </row>
    <row r="3" spans="1:15" ht="27.6" customHeight="1" x14ac:dyDescent="0.2">
      <c r="A3" s="109"/>
      <c r="B3" s="117" t="s">
        <v>5</v>
      </c>
      <c r="C3" s="119" t="s">
        <v>6</v>
      </c>
      <c r="D3" s="117" t="s">
        <v>7</v>
      </c>
      <c r="E3" s="117" t="s">
        <v>8</v>
      </c>
      <c r="F3" s="121" t="s">
        <v>9</v>
      </c>
      <c r="G3" s="106" t="s">
        <v>10</v>
      </c>
      <c r="H3" s="106" t="s">
        <v>11</v>
      </c>
      <c r="I3" s="106" t="s">
        <v>12</v>
      </c>
      <c r="J3" s="119" t="s">
        <v>13</v>
      </c>
      <c r="K3" s="97" t="s">
        <v>14</v>
      </c>
      <c r="L3" s="97" t="s">
        <v>15</v>
      </c>
      <c r="M3" s="97" t="s">
        <v>16</v>
      </c>
      <c r="N3" s="97" t="s">
        <v>17</v>
      </c>
      <c r="O3" s="99" t="s">
        <v>18</v>
      </c>
    </row>
    <row r="4" spans="1:15" ht="29.25" customHeight="1" thickBot="1" x14ac:dyDescent="0.25">
      <c r="A4" s="110"/>
      <c r="B4" s="118"/>
      <c r="C4" s="120"/>
      <c r="D4" s="118"/>
      <c r="E4" s="118"/>
      <c r="F4" s="122"/>
      <c r="G4" s="107"/>
      <c r="H4" s="107"/>
      <c r="I4" s="124"/>
      <c r="J4" s="120"/>
      <c r="K4" s="98"/>
      <c r="L4" s="98"/>
      <c r="M4" s="98"/>
      <c r="N4" s="98"/>
      <c r="O4" s="100"/>
    </row>
    <row r="5" spans="1:15" ht="13.5" thickTop="1" x14ac:dyDescent="0.2">
      <c r="A5" s="4"/>
      <c r="B5" s="5"/>
      <c r="C5" s="6"/>
      <c r="D5" s="5"/>
      <c r="E5" s="5"/>
      <c r="F5" s="7"/>
      <c r="G5" s="6"/>
      <c r="H5" s="6"/>
      <c r="I5" s="8"/>
      <c r="J5" s="9"/>
      <c r="K5" s="10"/>
      <c r="L5" s="10"/>
      <c r="M5" s="11"/>
      <c r="N5" s="12"/>
      <c r="O5" s="13"/>
    </row>
    <row r="6" spans="1:15" x14ac:dyDescent="0.2">
      <c r="A6" s="14" t="s">
        <v>19</v>
      </c>
      <c r="B6" s="15"/>
      <c r="C6" s="16">
        <v>45985</v>
      </c>
      <c r="D6" s="16">
        <f>C6</f>
        <v>45985</v>
      </c>
      <c r="E6" s="15"/>
      <c r="F6" s="17"/>
      <c r="G6" s="18"/>
      <c r="H6" s="18" t="s">
        <v>20</v>
      </c>
      <c r="I6" s="19"/>
      <c r="J6" s="20"/>
      <c r="K6" s="21">
        <v>46041</v>
      </c>
      <c r="L6" s="21">
        <v>46045</v>
      </c>
      <c r="M6" s="22"/>
      <c r="N6" s="23">
        <f>AVERAGE(N7:N13)</f>
        <v>0</v>
      </c>
      <c r="O6" s="24"/>
    </row>
    <row r="7" spans="1:15" ht="24" customHeight="1" x14ac:dyDescent="0.2">
      <c r="A7" s="25" t="s">
        <v>21</v>
      </c>
      <c r="B7" s="26">
        <f>_xlfn.XLOOKUP(G7,'[1]Base de datos'!$A:$A,'[1]Base de datos'!$X:$X)</f>
        <v>45975</v>
      </c>
      <c r="C7" s="25" t="s">
        <v>196</v>
      </c>
      <c r="D7" s="25" t="s">
        <v>196</v>
      </c>
      <c r="E7" s="27" t="s">
        <v>22</v>
      </c>
      <c r="F7" s="28">
        <f>_xlfn.XLOOKUP(G7,[2]PLANEAMIENTO!$A:$A,[2]PLANEAMIENTO!$AT:$AT)</f>
        <v>0.61111111111111116</v>
      </c>
      <c r="G7" s="4">
        <v>360525</v>
      </c>
      <c r="H7" s="4" t="s">
        <v>27</v>
      </c>
      <c r="I7" s="8" t="s">
        <v>28</v>
      </c>
      <c r="J7" s="29" t="s">
        <v>259</v>
      </c>
      <c r="K7" s="30" t="s">
        <v>234</v>
      </c>
      <c r="L7" s="31" t="s">
        <v>234</v>
      </c>
      <c r="M7" s="32" t="s">
        <v>25</v>
      </c>
      <c r="N7" s="33">
        <v>0</v>
      </c>
      <c r="O7" s="34"/>
    </row>
    <row r="8" spans="1:15" x14ac:dyDescent="0.2">
      <c r="A8" s="25" t="s">
        <v>26</v>
      </c>
      <c r="B8" s="26">
        <f>_xlfn.XLOOKUP(G8,'[1]Base de datos'!$A:$A,'[1]Base de datos'!$X:$X)</f>
        <v>46015</v>
      </c>
      <c r="C8" s="25" t="s">
        <v>196</v>
      </c>
      <c r="D8" s="25" t="s">
        <v>196</v>
      </c>
      <c r="E8" s="27" t="s">
        <v>22</v>
      </c>
      <c r="F8" s="28">
        <f>_xlfn.XLOOKUP(G8,[2]PLANEAMIENTO!$A:$A,[2]PLANEAMIENTO!$AT:$AT)</f>
        <v>8.1578947368421056E-2</v>
      </c>
      <c r="G8" s="4">
        <v>367125</v>
      </c>
      <c r="H8" s="4" t="s">
        <v>27</v>
      </c>
      <c r="I8" s="8" t="s">
        <v>28</v>
      </c>
      <c r="J8" s="35" t="s">
        <v>260</v>
      </c>
      <c r="K8" s="36" t="s">
        <v>234</v>
      </c>
      <c r="L8" s="36" t="s">
        <v>262</v>
      </c>
      <c r="M8" s="32" t="s">
        <v>25</v>
      </c>
      <c r="N8" s="33">
        <v>0</v>
      </c>
      <c r="O8" s="13"/>
    </row>
    <row r="9" spans="1:15" x14ac:dyDescent="0.2">
      <c r="A9" s="25" t="s">
        <v>29</v>
      </c>
      <c r="B9" s="26">
        <f>_xlfn.XLOOKUP(G9,'[1]Base de datos'!$A:$A,'[1]Base de datos'!$X:$X)</f>
        <v>46015</v>
      </c>
      <c r="C9" s="25" t="s">
        <v>196</v>
      </c>
      <c r="D9" s="25" t="s">
        <v>196</v>
      </c>
      <c r="E9" s="27" t="s">
        <v>22</v>
      </c>
      <c r="F9" s="28">
        <f>_xlfn.XLOOKUP(G9,[2]PLANEAMIENTO!$A:$A,[2]PLANEAMIENTO!$AT:$AT)</f>
        <v>8.1578947368421056E-2</v>
      </c>
      <c r="G9" s="4">
        <v>367125</v>
      </c>
      <c r="H9" s="4" t="s">
        <v>27</v>
      </c>
      <c r="I9" s="8" t="s">
        <v>28</v>
      </c>
      <c r="J9" s="35" t="s">
        <v>211</v>
      </c>
      <c r="K9" s="36" t="s">
        <v>262</v>
      </c>
      <c r="L9" s="36" t="s">
        <v>263</v>
      </c>
      <c r="M9" s="32" t="s">
        <v>25</v>
      </c>
      <c r="N9" s="33">
        <v>0</v>
      </c>
      <c r="O9" s="13"/>
    </row>
    <row r="10" spans="1:15" x14ac:dyDescent="0.2">
      <c r="A10" s="25" t="s">
        <v>31</v>
      </c>
      <c r="B10" s="26">
        <f>_xlfn.XLOOKUP(G10,'[1]Base de datos'!$A:$A,'[1]Base de datos'!$X:$X)</f>
        <v>46027</v>
      </c>
      <c r="C10" s="25" t="s">
        <v>196</v>
      </c>
      <c r="D10" s="25" t="s">
        <v>196</v>
      </c>
      <c r="E10" s="27"/>
      <c r="F10" s="28">
        <f>_xlfn.XLOOKUP(G10,[2]PLANEAMIENTO!$A:$A,[2]PLANEAMIENTO!$AT:$AT)</f>
        <v>0.18214285714285713</v>
      </c>
      <c r="G10" s="4">
        <v>368726</v>
      </c>
      <c r="H10" s="4" t="s">
        <v>200</v>
      </c>
      <c r="I10" s="8" t="s">
        <v>75</v>
      </c>
      <c r="J10" s="35" t="s">
        <v>135</v>
      </c>
      <c r="K10" s="36" t="s">
        <v>263</v>
      </c>
      <c r="L10" s="36" t="s">
        <v>264</v>
      </c>
      <c r="M10" s="32" t="s">
        <v>25</v>
      </c>
      <c r="N10" s="33">
        <v>0</v>
      </c>
      <c r="O10" s="13"/>
    </row>
    <row r="11" spans="1:15" x14ac:dyDescent="0.2">
      <c r="A11" s="25" t="s">
        <v>240</v>
      </c>
      <c r="B11" s="26">
        <f>_xlfn.XLOOKUP(G11,'[1]Base de datos'!$A:$A,'[1]Base de datos'!$X:$X)</f>
        <v>46028</v>
      </c>
      <c r="C11" s="25" t="s">
        <v>196</v>
      </c>
      <c r="D11" s="25" t="s">
        <v>196</v>
      </c>
      <c r="E11" s="27"/>
      <c r="F11" s="28">
        <f>_xlfn.XLOOKUP(G11,[2]PLANEAMIENTO!$A:$A,[2]PLANEAMIENTO!$AT:$AT)</f>
        <v>0.18571428571428572</v>
      </c>
      <c r="G11" s="4">
        <v>369626</v>
      </c>
      <c r="H11" s="4" t="s">
        <v>200</v>
      </c>
      <c r="I11" s="8" t="s">
        <v>60</v>
      </c>
      <c r="J11" s="35" t="s">
        <v>135</v>
      </c>
      <c r="K11" s="36" t="s">
        <v>264</v>
      </c>
      <c r="L11" s="36" t="s">
        <v>264</v>
      </c>
      <c r="M11" s="32" t="s">
        <v>25</v>
      </c>
      <c r="N11" s="33">
        <v>0</v>
      </c>
      <c r="O11" s="13"/>
    </row>
    <row r="12" spans="1:15" x14ac:dyDescent="0.2">
      <c r="A12" s="25" t="s">
        <v>241</v>
      </c>
      <c r="B12" s="26">
        <f>_xlfn.XLOOKUP(G12,'[1]Base de datos'!$A:$A,'[1]Base de datos'!$X:$X)</f>
        <v>46029</v>
      </c>
      <c r="C12" s="25" t="s">
        <v>196</v>
      </c>
      <c r="D12" s="25" t="s">
        <v>196</v>
      </c>
      <c r="E12" s="27"/>
      <c r="F12" s="28">
        <f>_xlfn.XLOOKUP(G12,[2]PLANEAMIENTO!$A:$A,[2]PLANEAMIENTO!$AT:$AT)</f>
        <v>0.18214285714285713</v>
      </c>
      <c r="G12" s="4">
        <v>370526</v>
      </c>
      <c r="H12" s="4" t="s">
        <v>200</v>
      </c>
      <c r="I12" s="8" t="s">
        <v>75</v>
      </c>
      <c r="J12" s="35" t="s">
        <v>135</v>
      </c>
      <c r="K12" s="36" t="s">
        <v>264</v>
      </c>
      <c r="L12" s="36" t="s">
        <v>265</v>
      </c>
      <c r="M12" s="32" t="s">
        <v>25</v>
      </c>
      <c r="N12" s="33">
        <v>0</v>
      </c>
      <c r="O12" s="13"/>
    </row>
    <row r="13" spans="1:15" ht="25.5" x14ac:dyDescent="0.2">
      <c r="A13" s="25" t="s">
        <v>242</v>
      </c>
      <c r="B13" s="26">
        <f>_xlfn.XLOOKUP(G13,'[1]Base de datos'!$A:$A,'[1]Base de datos'!$X:$X)</f>
        <v>45980</v>
      </c>
      <c r="C13" s="25" t="s">
        <v>196</v>
      </c>
      <c r="D13" s="25" t="s">
        <v>196</v>
      </c>
      <c r="E13" s="27" t="s">
        <v>22</v>
      </c>
      <c r="F13" s="28">
        <f>_xlfn.XLOOKUP(G13,[2]PLANEAMIENTO!$A:$A,[2]PLANEAMIENTO!$AT:$AT)</f>
        <v>0.2857142857142857</v>
      </c>
      <c r="G13" s="4">
        <v>361525</v>
      </c>
      <c r="H13" s="4" t="s">
        <v>32</v>
      </c>
      <c r="I13" s="4" t="s">
        <v>33</v>
      </c>
      <c r="J13" s="35" t="s">
        <v>261</v>
      </c>
      <c r="K13" s="36" t="s">
        <v>265</v>
      </c>
      <c r="L13" s="36" t="s">
        <v>266</v>
      </c>
      <c r="M13" s="32" t="s">
        <v>25</v>
      </c>
      <c r="N13" s="33">
        <v>0</v>
      </c>
      <c r="O13" s="13"/>
    </row>
    <row r="14" spans="1:15" x14ac:dyDescent="0.2">
      <c r="A14" s="14" t="s">
        <v>35</v>
      </c>
      <c r="B14" s="37"/>
      <c r="C14" s="14"/>
      <c r="D14" s="38"/>
      <c r="E14" s="38"/>
      <c r="F14" s="17"/>
      <c r="G14" s="14"/>
      <c r="H14" s="14" t="s">
        <v>36</v>
      </c>
      <c r="I14" s="19"/>
      <c r="J14" s="39"/>
      <c r="K14" s="40">
        <f>$K$6</f>
        <v>46041</v>
      </c>
      <c r="L14" s="40">
        <f>$L$6</f>
        <v>46045</v>
      </c>
      <c r="M14" s="41"/>
      <c r="N14" s="42">
        <f>AVERAGE(N15:N21)</f>
        <v>0</v>
      </c>
      <c r="O14" s="24"/>
    </row>
    <row r="15" spans="1:15" ht="25.5" x14ac:dyDescent="0.2">
      <c r="A15" s="25" t="s">
        <v>37</v>
      </c>
      <c r="B15" s="26">
        <f>_xlfn.XLOOKUP(G15,'[1]Base de datos'!$A:$A,'[1]Base de datos'!$X:$X)</f>
        <v>46029</v>
      </c>
      <c r="C15" s="25" t="s">
        <v>196</v>
      </c>
      <c r="D15" s="25" t="s">
        <v>196</v>
      </c>
      <c r="E15" s="27" t="s">
        <v>22</v>
      </c>
      <c r="F15" s="28">
        <f>_xlfn.XLOOKUP(G15,[2]PLANEAMIENTO!$A:$A,[2]PLANEAMIENTO!$AT:$AT)</f>
        <v>0.43214285714285711</v>
      </c>
      <c r="G15" s="25">
        <v>370126</v>
      </c>
      <c r="H15" s="25" t="s">
        <v>42</v>
      </c>
      <c r="I15" s="43" t="s">
        <v>75</v>
      </c>
      <c r="J15" s="29" t="s">
        <v>216</v>
      </c>
      <c r="K15" s="31" t="s">
        <v>215</v>
      </c>
      <c r="L15" s="31" t="s">
        <v>219</v>
      </c>
      <c r="M15" s="32" t="s">
        <v>40</v>
      </c>
      <c r="N15" s="33">
        <v>0</v>
      </c>
      <c r="O15" s="34"/>
    </row>
    <row r="16" spans="1:15" ht="25.5" x14ac:dyDescent="0.2">
      <c r="A16" s="25" t="s">
        <v>41</v>
      </c>
      <c r="B16" s="26">
        <f>_xlfn.XLOOKUP(G16,'[1]Base de datos'!$A:$A,'[1]Base de datos'!$X:$X)</f>
        <v>46013</v>
      </c>
      <c r="C16" s="25" t="s">
        <v>196</v>
      </c>
      <c r="D16" s="25" t="s">
        <v>196</v>
      </c>
      <c r="E16" s="27" t="s">
        <v>22</v>
      </c>
      <c r="F16" s="28">
        <f>_xlfn.XLOOKUP(G16,[2]PLANEAMIENTO!$A:$A,[2]PLANEAMIENTO!$AT:$AT)</f>
        <v>0.56562500000000004</v>
      </c>
      <c r="G16" s="44">
        <v>366325</v>
      </c>
      <c r="H16" s="25" t="s">
        <v>44</v>
      </c>
      <c r="I16" s="43" t="s">
        <v>45</v>
      </c>
      <c r="J16" s="29" t="s">
        <v>216</v>
      </c>
      <c r="K16" s="31" t="s">
        <v>219</v>
      </c>
      <c r="L16" s="31" t="s">
        <v>234</v>
      </c>
      <c r="M16" s="32" t="s">
        <v>40</v>
      </c>
      <c r="N16" s="33">
        <v>0</v>
      </c>
      <c r="O16" s="34"/>
    </row>
    <row r="17" spans="1:15" x14ac:dyDescent="0.2">
      <c r="A17" s="25" t="s">
        <v>43</v>
      </c>
      <c r="B17" s="26">
        <f>_xlfn.XLOOKUP(G17,'[1]Base de datos'!$A:$A,'[1]Base de datos'!$X:$X)</f>
        <v>46013</v>
      </c>
      <c r="C17" s="25" t="s">
        <v>196</v>
      </c>
      <c r="D17" s="25" t="s">
        <v>196</v>
      </c>
      <c r="E17" s="27" t="s">
        <v>22</v>
      </c>
      <c r="F17" s="28">
        <f>_xlfn.XLOOKUP(G17,[2]PLANEAMIENTO!$A:$A,[2]PLANEAMIENTO!$AT:$AT)</f>
        <v>0.56562500000000004</v>
      </c>
      <c r="G17" s="25">
        <v>366325</v>
      </c>
      <c r="H17" s="29" t="s">
        <v>44</v>
      </c>
      <c r="I17" s="43" t="s">
        <v>45</v>
      </c>
      <c r="J17" s="29" t="s">
        <v>152</v>
      </c>
      <c r="K17" s="31" t="s">
        <v>234</v>
      </c>
      <c r="L17" s="31" t="s">
        <v>234</v>
      </c>
      <c r="M17" s="32" t="s">
        <v>40</v>
      </c>
      <c r="N17" s="33">
        <v>0</v>
      </c>
      <c r="O17" s="34"/>
    </row>
    <row r="18" spans="1:15" x14ac:dyDescent="0.2">
      <c r="A18" s="25" t="s">
        <v>46</v>
      </c>
      <c r="B18" s="26">
        <f>_xlfn.XLOOKUP(G18,'[1]Base de datos'!$A:$A,'[1]Base de datos'!$X:$X)</f>
        <v>46015</v>
      </c>
      <c r="C18" s="25" t="s">
        <v>196</v>
      </c>
      <c r="D18" s="25" t="s">
        <v>196</v>
      </c>
      <c r="E18" s="27" t="s">
        <v>22</v>
      </c>
      <c r="F18" s="28">
        <f>_xlfn.XLOOKUP(G18,[2]PLANEAMIENTO!$A:$A,[2]PLANEAMIENTO!$AT:$AT)</f>
        <v>8.1578947368421056E-2</v>
      </c>
      <c r="G18" s="25">
        <v>367125</v>
      </c>
      <c r="H18" s="29" t="s">
        <v>27</v>
      </c>
      <c r="I18" s="43" t="s">
        <v>28</v>
      </c>
      <c r="J18" s="29" t="s">
        <v>152</v>
      </c>
      <c r="K18" s="31" t="s">
        <v>234</v>
      </c>
      <c r="L18" s="31" t="s">
        <v>234</v>
      </c>
      <c r="M18" s="32" t="s">
        <v>40</v>
      </c>
      <c r="N18" s="33">
        <v>0</v>
      </c>
      <c r="O18" s="34"/>
    </row>
    <row r="19" spans="1:15" x14ac:dyDescent="0.2">
      <c r="A19" s="25" t="s">
        <v>47</v>
      </c>
      <c r="B19" s="26">
        <f>_xlfn.XLOOKUP(G19,'[1]Base de datos'!$A:$A,'[1]Base de datos'!$X:$X)</f>
        <v>46021</v>
      </c>
      <c r="C19" s="25" t="s">
        <v>196</v>
      </c>
      <c r="D19" s="25" t="s">
        <v>196</v>
      </c>
      <c r="E19" s="27" t="s">
        <v>22</v>
      </c>
      <c r="F19" s="28">
        <f>_xlfn.XLOOKUP(G19,[2]PLANEAMIENTO!$A:$A,[2]PLANEAMIENTO!$AT:$AT)</f>
        <v>0.1409090909090909</v>
      </c>
      <c r="G19" s="25">
        <v>368125</v>
      </c>
      <c r="H19" s="29" t="s">
        <v>42</v>
      </c>
      <c r="I19" s="43" t="s">
        <v>60</v>
      </c>
      <c r="J19" s="29" t="s">
        <v>152</v>
      </c>
      <c r="K19" s="31" t="s">
        <v>234</v>
      </c>
      <c r="L19" s="31" t="s">
        <v>234</v>
      </c>
      <c r="M19" s="32" t="s">
        <v>40</v>
      </c>
      <c r="N19" s="33">
        <v>0</v>
      </c>
      <c r="O19" s="34"/>
    </row>
    <row r="20" spans="1:15" x14ac:dyDescent="0.2">
      <c r="A20" s="25" t="s">
        <v>146</v>
      </c>
      <c r="B20" s="26">
        <f>_xlfn.XLOOKUP(G20,'[1]Base de datos'!$A:$A,'[1]Base de datos'!$X:$X)</f>
        <v>46013</v>
      </c>
      <c r="C20" s="25" t="s">
        <v>196</v>
      </c>
      <c r="D20" s="25" t="s">
        <v>196</v>
      </c>
      <c r="E20" s="27" t="s">
        <v>22</v>
      </c>
      <c r="F20" s="28">
        <f>_xlfn.XLOOKUP(G20,[2]PLANEAMIENTO!$A:$A,[2]PLANEAMIENTO!$AT:$AT)</f>
        <v>0.31818181818181818</v>
      </c>
      <c r="G20" s="25">
        <v>365925</v>
      </c>
      <c r="H20" s="29" t="s">
        <v>44</v>
      </c>
      <c r="I20" s="43" t="s">
        <v>141</v>
      </c>
      <c r="J20" s="29" t="s">
        <v>217</v>
      </c>
      <c r="K20" s="31" t="s">
        <v>234</v>
      </c>
      <c r="L20" s="31" t="s">
        <v>264</v>
      </c>
      <c r="M20" s="32" t="s">
        <v>40</v>
      </c>
      <c r="N20" s="33">
        <v>0</v>
      </c>
      <c r="O20" s="34"/>
    </row>
    <row r="21" spans="1:15" x14ac:dyDescent="0.2">
      <c r="A21" s="25" t="s">
        <v>147</v>
      </c>
      <c r="B21" s="26"/>
      <c r="C21" s="25"/>
      <c r="D21" s="25"/>
      <c r="E21" s="27" t="s">
        <v>22</v>
      </c>
      <c r="F21" s="28">
        <f>_xlfn.XLOOKUP(G21,[2]PLANEAMIENTO!$A:$A,[2]PLANEAMIENTO!$AT:$AT)</f>
        <v>0.31818181818181818</v>
      </c>
      <c r="G21" s="25">
        <v>365925</v>
      </c>
      <c r="H21" s="29" t="s">
        <v>44</v>
      </c>
      <c r="I21" s="43" t="s">
        <v>141</v>
      </c>
      <c r="J21" s="29" t="s">
        <v>267</v>
      </c>
      <c r="K21" s="31" t="s">
        <v>264</v>
      </c>
      <c r="L21" s="31" t="s">
        <v>264</v>
      </c>
      <c r="M21" s="32" t="s">
        <v>40</v>
      </c>
      <c r="N21" s="33">
        <v>0</v>
      </c>
      <c r="O21" s="34"/>
    </row>
    <row r="22" spans="1:15" x14ac:dyDescent="0.2">
      <c r="A22" s="25" t="s">
        <v>148</v>
      </c>
      <c r="B22" s="96"/>
      <c r="C22" s="4"/>
      <c r="D22" s="4"/>
      <c r="E22" s="90"/>
      <c r="F22" s="7"/>
      <c r="G22" s="4"/>
      <c r="H22" s="35" t="s">
        <v>165</v>
      </c>
      <c r="I22" s="8"/>
      <c r="J22" s="35"/>
      <c r="K22" s="36" t="s">
        <v>264</v>
      </c>
      <c r="L22" s="36" t="s">
        <v>266</v>
      </c>
      <c r="M22" s="32" t="s">
        <v>40</v>
      </c>
      <c r="N22" s="33">
        <v>0</v>
      </c>
      <c r="O22" s="13"/>
    </row>
    <row r="23" spans="1:15" x14ac:dyDescent="0.2">
      <c r="A23" s="14" t="s">
        <v>48</v>
      </c>
      <c r="B23" s="37"/>
      <c r="C23" s="14"/>
      <c r="D23" s="38"/>
      <c r="E23" s="38"/>
      <c r="F23" s="17"/>
      <c r="G23" s="14"/>
      <c r="H23" s="14" t="s">
        <v>49</v>
      </c>
      <c r="I23" s="19"/>
      <c r="J23" s="39"/>
      <c r="K23" s="40">
        <f>$K$6</f>
        <v>46041</v>
      </c>
      <c r="L23" s="40">
        <f>$L$6</f>
        <v>46045</v>
      </c>
      <c r="M23" s="41"/>
      <c r="N23" s="42">
        <f>AVERAGE(N24:N31)</f>
        <v>0</v>
      </c>
      <c r="O23" s="24"/>
    </row>
    <row r="24" spans="1:15" ht="25.5" x14ac:dyDescent="0.2">
      <c r="A24" s="25" t="s">
        <v>50</v>
      </c>
      <c r="B24" s="26">
        <f>_xlfn.XLOOKUP(G24,'[1]Base de datos'!$A:$A,'[1]Base de datos'!$X:$X)</f>
        <v>46028</v>
      </c>
      <c r="C24" s="25" t="s">
        <v>196</v>
      </c>
      <c r="D24" s="25" t="s">
        <v>196</v>
      </c>
      <c r="E24" s="27" t="s">
        <v>22</v>
      </c>
      <c r="F24" s="28">
        <f>_xlfn.XLOOKUP(G24,[2]PLANEAMIENTO!$A:$A,[2]PLANEAMIENTO!$AT:$AT)</f>
        <v>0.05</v>
      </c>
      <c r="G24" s="25">
        <v>369126</v>
      </c>
      <c r="H24" s="45" t="s">
        <v>232</v>
      </c>
      <c r="I24" s="43">
        <v>24</v>
      </c>
      <c r="J24" s="29" t="s">
        <v>268</v>
      </c>
      <c r="K24" s="31" t="s">
        <v>219</v>
      </c>
      <c r="L24" s="31" t="s">
        <v>219</v>
      </c>
      <c r="M24" s="32" t="s">
        <v>51</v>
      </c>
      <c r="N24" s="33">
        <v>0</v>
      </c>
      <c r="O24" s="34"/>
    </row>
    <row r="25" spans="1:15" x14ac:dyDescent="0.2">
      <c r="A25" s="25" t="s">
        <v>52</v>
      </c>
      <c r="B25" s="26">
        <f>_xlfn.XLOOKUP(G25,'[1]Base de datos'!$A:$A,'[1]Base de datos'!$X:$X)</f>
        <v>45985</v>
      </c>
      <c r="C25" s="25" t="s">
        <v>196</v>
      </c>
      <c r="D25" s="25" t="s">
        <v>196</v>
      </c>
      <c r="E25" s="27" t="s">
        <v>22</v>
      </c>
      <c r="F25" s="28">
        <f>_xlfn.XLOOKUP(G25,[2]PLANEAMIENTO!$A:$A,[2]PLANEAMIENTO!$AT:$AT)</f>
        <v>0.8125</v>
      </c>
      <c r="G25" s="25">
        <v>363125</v>
      </c>
      <c r="H25" s="46" t="s">
        <v>56</v>
      </c>
      <c r="I25" s="43" t="s">
        <v>57</v>
      </c>
      <c r="J25" s="29" t="s">
        <v>269</v>
      </c>
      <c r="K25" s="31" t="s">
        <v>219</v>
      </c>
      <c r="L25" s="31" t="s">
        <v>219</v>
      </c>
      <c r="M25" s="32" t="s">
        <v>51</v>
      </c>
      <c r="N25" s="33">
        <v>0</v>
      </c>
      <c r="O25" s="34"/>
    </row>
    <row r="26" spans="1:15" x14ac:dyDescent="0.2">
      <c r="A26" s="25" t="s">
        <v>53</v>
      </c>
      <c r="B26" s="26">
        <f>_xlfn.XLOOKUP(G26,'[1]Base de datos'!$A:$A,'[1]Base de datos'!$X:$X)</f>
        <v>46021</v>
      </c>
      <c r="C26" s="25" t="s">
        <v>196</v>
      </c>
      <c r="D26" s="25" t="s">
        <v>196</v>
      </c>
      <c r="E26" s="27" t="s">
        <v>22</v>
      </c>
      <c r="F26" s="28">
        <f>_xlfn.XLOOKUP(G26,[2]PLANEAMIENTO!$A:$A,[2]PLANEAMIENTO!$AT:$AT)</f>
        <v>0.19285714285714284</v>
      </c>
      <c r="G26" s="25">
        <v>368525</v>
      </c>
      <c r="H26" s="46" t="s">
        <v>44</v>
      </c>
      <c r="I26" s="43" t="s">
        <v>106</v>
      </c>
      <c r="J26" s="29" t="s">
        <v>270</v>
      </c>
      <c r="K26" s="31" t="s">
        <v>234</v>
      </c>
      <c r="L26" s="31" t="s">
        <v>234</v>
      </c>
      <c r="M26" s="32" t="s">
        <v>51</v>
      </c>
      <c r="N26" s="33">
        <v>0</v>
      </c>
      <c r="O26" s="34"/>
    </row>
    <row r="27" spans="1:15" ht="25.5" x14ac:dyDescent="0.2">
      <c r="A27" s="25" t="s">
        <v>55</v>
      </c>
      <c r="B27" s="26">
        <f>_xlfn.XLOOKUP(G27,'[1]Base de datos'!$A:$A,'[1]Base de datos'!$X:$X)</f>
        <v>45987</v>
      </c>
      <c r="C27" s="25" t="s">
        <v>196</v>
      </c>
      <c r="D27" s="25" t="s">
        <v>196</v>
      </c>
      <c r="E27" s="27" t="s">
        <v>22</v>
      </c>
      <c r="F27" s="28">
        <f>_xlfn.XLOOKUP(G27,[2]PLANEAMIENTO!$A:$A,[2]PLANEAMIENTO!$AT:$AT)</f>
        <v>0.43214285714285711</v>
      </c>
      <c r="G27" s="25">
        <v>363225</v>
      </c>
      <c r="H27" s="46" t="s">
        <v>59</v>
      </c>
      <c r="I27" s="43" t="s">
        <v>60</v>
      </c>
      <c r="J27" s="29" t="s">
        <v>271</v>
      </c>
      <c r="K27" s="31" t="s">
        <v>234</v>
      </c>
      <c r="L27" s="31" t="s">
        <v>262</v>
      </c>
      <c r="M27" s="32" t="s">
        <v>51</v>
      </c>
      <c r="N27" s="33">
        <v>0</v>
      </c>
      <c r="O27" s="34"/>
    </row>
    <row r="28" spans="1:15" x14ac:dyDescent="0.2">
      <c r="A28" s="25" t="s">
        <v>58</v>
      </c>
      <c r="B28" s="26">
        <f>_xlfn.XLOOKUP(G28,'[1]Base de datos'!$A:$A,'[1]Base de datos'!$X:$X)</f>
        <v>46021</v>
      </c>
      <c r="C28" s="25" t="s">
        <v>196</v>
      </c>
      <c r="D28" s="25" t="s">
        <v>196</v>
      </c>
      <c r="E28" s="27" t="s">
        <v>22</v>
      </c>
      <c r="F28" s="28">
        <f>_xlfn.XLOOKUP(G28,[2]PLANEAMIENTO!$A:$A,[2]PLANEAMIENTO!$AT:$AT)</f>
        <v>0.29411764705882354</v>
      </c>
      <c r="G28" s="25">
        <v>368425</v>
      </c>
      <c r="H28" s="46" t="s">
        <v>44</v>
      </c>
      <c r="I28" s="43" t="s">
        <v>140</v>
      </c>
      <c r="J28" s="29" t="s">
        <v>218</v>
      </c>
      <c r="K28" s="31" t="s">
        <v>262</v>
      </c>
      <c r="L28" s="31" t="s">
        <v>262</v>
      </c>
      <c r="M28" s="32" t="s">
        <v>51</v>
      </c>
      <c r="N28" s="33">
        <v>0</v>
      </c>
      <c r="O28" s="34"/>
    </row>
    <row r="29" spans="1:15" x14ac:dyDescent="0.2">
      <c r="A29" s="25" t="s">
        <v>157</v>
      </c>
      <c r="B29" s="26">
        <f>_xlfn.XLOOKUP(G29,'[1]Base de datos'!$A:$A,'[1]Base de datos'!$X:$X)</f>
        <v>46021</v>
      </c>
      <c r="C29" s="25" t="s">
        <v>196</v>
      </c>
      <c r="D29" s="25" t="s">
        <v>196</v>
      </c>
      <c r="E29" s="27"/>
      <c r="F29" s="28"/>
      <c r="G29" s="25">
        <v>368525</v>
      </c>
      <c r="H29" s="46" t="s">
        <v>44</v>
      </c>
      <c r="I29" s="43" t="s">
        <v>106</v>
      </c>
      <c r="J29" s="29" t="s">
        <v>218</v>
      </c>
      <c r="K29" s="31" t="s">
        <v>262</v>
      </c>
      <c r="L29" s="31" t="s">
        <v>274</v>
      </c>
      <c r="M29" s="32" t="s">
        <v>51</v>
      </c>
      <c r="N29" s="33">
        <v>0</v>
      </c>
      <c r="O29" s="34"/>
    </row>
    <row r="30" spans="1:15" x14ac:dyDescent="0.2">
      <c r="A30" s="25" t="s">
        <v>158</v>
      </c>
      <c r="B30" s="26">
        <f>_xlfn.XLOOKUP(G30,'[1]Base de datos'!$A:$A,'[1]Base de datos'!$X:$X)</f>
        <v>45747</v>
      </c>
      <c r="C30" s="25" t="s">
        <v>196</v>
      </c>
      <c r="D30" s="25" t="s">
        <v>196</v>
      </c>
      <c r="E30" s="27"/>
      <c r="F30" s="28"/>
      <c r="G30" s="25">
        <v>329725</v>
      </c>
      <c r="H30" s="46" t="s">
        <v>44</v>
      </c>
      <c r="I30" s="43" t="s">
        <v>141</v>
      </c>
      <c r="J30" s="29" t="s">
        <v>272</v>
      </c>
      <c r="K30" s="31" t="s">
        <v>274</v>
      </c>
      <c r="L30" s="31" t="s">
        <v>275</v>
      </c>
      <c r="M30" s="32" t="s">
        <v>51</v>
      </c>
      <c r="N30" s="33">
        <v>0</v>
      </c>
      <c r="O30" s="34"/>
    </row>
    <row r="31" spans="1:15" x14ac:dyDescent="0.2">
      <c r="A31" s="25" t="s">
        <v>159</v>
      </c>
      <c r="B31" s="26">
        <f>_xlfn.XLOOKUP(G31,'[1]Base de datos'!$A:$A,'[1]Base de datos'!$X:$X)</f>
        <v>45747</v>
      </c>
      <c r="C31" s="25" t="s">
        <v>196</v>
      </c>
      <c r="D31" s="25" t="s">
        <v>196</v>
      </c>
      <c r="E31" s="27" t="s">
        <v>22</v>
      </c>
      <c r="F31" s="28">
        <f>_xlfn.XLOOKUP(G31,[2]PLANEAMIENTO!$A:$A,[2]PLANEAMIENTO!$AT:$AT)</f>
        <v>0.20499999999999999</v>
      </c>
      <c r="G31" s="25">
        <v>329725</v>
      </c>
      <c r="H31" s="46" t="s">
        <v>44</v>
      </c>
      <c r="I31" s="43" t="s">
        <v>141</v>
      </c>
      <c r="J31" s="29" t="s">
        <v>273</v>
      </c>
      <c r="K31" s="31" t="s">
        <v>275</v>
      </c>
      <c r="L31" s="31" t="s">
        <v>275</v>
      </c>
      <c r="M31" s="32" t="s">
        <v>51</v>
      </c>
      <c r="N31" s="33">
        <v>0</v>
      </c>
      <c r="O31" s="34"/>
    </row>
    <row r="32" spans="1:15" x14ac:dyDescent="0.2">
      <c r="A32" s="14" t="s">
        <v>61</v>
      </c>
      <c r="B32" s="37"/>
      <c r="C32" s="14"/>
      <c r="D32" s="38"/>
      <c r="E32" s="38"/>
      <c r="F32" s="17"/>
      <c r="G32" s="14"/>
      <c r="H32" s="14" t="s">
        <v>62</v>
      </c>
      <c r="I32" s="19"/>
      <c r="J32" s="39"/>
      <c r="K32" s="40">
        <f>$K$6</f>
        <v>46041</v>
      </c>
      <c r="L32" s="40">
        <f>$L$6</f>
        <v>46045</v>
      </c>
      <c r="M32" s="41"/>
      <c r="N32" s="42">
        <f>AVERAGE(N33:N40)</f>
        <v>0</v>
      </c>
      <c r="O32" s="24"/>
    </row>
    <row r="33" spans="1:15" x14ac:dyDescent="0.2">
      <c r="A33" s="25" t="s">
        <v>63</v>
      </c>
      <c r="B33" s="26">
        <f>_xlfn.XLOOKUP(G33,'[1]Base de datos'!$A:$A,'[1]Base de datos'!$X:$X)</f>
        <v>45975</v>
      </c>
      <c r="C33" s="25" t="s">
        <v>196</v>
      </c>
      <c r="D33" s="25" t="s">
        <v>196</v>
      </c>
      <c r="E33" s="27" t="s">
        <v>22</v>
      </c>
      <c r="F33" s="28">
        <f>_xlfn.XLOOKUP(G33,[2]PLANEAMIENTO!$A:$A,[2]PLANEAMIENTO!$AT:$AT)</f>
        <v>0.73333333333333328</v>
      </c>
      <c r="G33" s="25">
        <v>360325</v>
      </c>
      <c r="H33" s="25" t="s">
        <v>38</v>
      </c>
      <c r="I33" s="43" t="s">
        <v>39</v>
      </c>
      <c r="J33" s="29" t="s">
        <v>162</v>
      </c>
      <c r="K33" s="31" t="s">
        <v>219</v>
      </c>
      <c r="L33" s="31" t="s">
        <v>219</v>
      </c>
      <c r="M33" s="32" t="s">
        <v>64</v>
      </c>
      <c r="N33" s="33">
        <v>0</v>
      </c>
      <c r="O33" s="34"/>
    </row>
    <row r="34" spans="1:15" x14ac:dyDescent="0.2">
      <c r="A34" s="25" t="s">
        <v>65</v>
      </c>
      <c r="B34" s="26">
        <f>_xlfn.XLOOKUP(G34,'[1]Base de datos'!$A:$A,'[1]Base de datos'!$X:$X)</f>
        <v>46029</v>
      </c>
      <c r="C34" s="25" t="s">
        <v>196</v>
      </c>
      <c r="D34" s="25" t="s">
        <v>196</v>
      </c>
      <c r="E34" s="27" t="s">
        <v>22</v>
      </c>
      <c r="F34" s="28">
        <f>_xlfn.XLOOKUP(G34,[2]PLANEAMIENTO!$A:$A,[2]PLANEAMIENTO!$AT:$AT)</f>
        <v>0.43214285714285711</v>
      </c>
      <c r="G34" s="25">
        <v>370126</v>
      </c>
      <c r="H34" s="25" t="s">
        <v>42</v>
      </c>
      <c r="I34" s="43" t="s">
        <v>75</v>
      </c>
      <c r="J34" s="29" t="s">
        <v>163</v>
      </c>
      <c r="K34" s="31" t="s">
        <v>219</v>
      </c>
      <c r="L34" s="31" t="s">
        <v>234</v>
      </c>
      <c r="M34" s="32" t="s">
        <v>64</v>
      </c>
      <c r="N34" s="33">
        <v>0</v>
      </c>
      <c r="O34" s="34"/>
    </row>
    <row r="35" spans="1:15" x14ac:dyDescent="0.2">
      <c r="A35" s="25" t="s">
        <v>66</v>
      </c>
      <c r="B35" s="26">
        <f>_xlfn.XLOOKUP(G35,'[1]Base de datos'!$A:$A,'[1]Base de datos'!$X:$X)</f>
        <v>46029</v>
      </c>
      <c r="C35" s="25" t="s">
        <v>196</v>
      </c>
      <c r="D35" s="25" t="s">
        <v>196</v>
      </c>
      <c r="E35" s="27" t="s">
        <v>22</v>
      </c>
      <c r="F35" s="28">
        <f>_xlfn.XLOOKUP(G35,[2]PLANEAMIENTO!$A:$A,[2]PLANEAMIENTO!$AT:$AT)</f>
        <v>0.15</v>
      </c>
      <c r="G35" s="25">
        <v>369926</v>
      </c>
      <c r="H35" s="25" t="s">
        <v>42</v>
      </c>
      <c r="I35" s="43" t="s">
        <v>75</v>
      </c>
      <c r="J35" s="29" t="s">
        <v>163</v>
      </c>
      <c r="K35" s="31" t="s">
        <v>234</v>
      </c>
      <c r="L35" s="31" t="s">
        <v>234</v>
      </c>
      <c r="M35" s="32" t="s">
        <v>64</v>
      </c>
      <c r="N35" s="33">
        <v>0</v>
      </c>
      <c r="O35" s="34"/>
    </row>
    <row r="36" spans="1:15" x14ac:dyDescent="0.2">
      <c r="A36" s="25" t="s">
        <v>67</v>
      </c>
      <c r="B36" s="26">
        <f>_xlfn.XLOOKUP(G36,'[1]Base de datos'!$A:$A,'[1]Base de datos'!$X:$X)</f>
        <v>46029</v>
      </c>
      <c r="C36" s="25" t="s">
        <v>196</v>
      </c>
      <c r="D36" s="25" t="s">
        <v>196</v>
      </c>
      <c r="E36" s="27" t="s">
        <v>22</v>
      </c>
      <c r="F36" s="28">
        <f>_xlfn.XLOOKUP(G36,[2]PLANEAMIENTO!$A:$A,[2]PLANEAMIENTO!$AT:$AT)</f>
        <v>0.18214285714285713</v>
      </c>
      <c r="G36" s="25">
        <v>370526</v>
      </c>
      <c r="H36" s="25" t="s">
        <v>200</v>
      </c>
      <c r="I36" s="43" t="s">
        <v>75</v>
      </c>
      <c r="J36" s="29" t="s">
        <v>163</v>
      </c>
      <c r="K36" s="31" t="s">
        <v>234</v>
      </c>
      <c r="L36" s="31" t="s">
        <v>262</v>
      </c>
      <c r="M36" s="32" t="s">
        <v>64</v>
      </c>
      <c r="N36" s="33">
        <v>0</v>
      </c>
      <c r="O36" s="34"/>
    </row>
    <row r="37" spans="1:15" x14ac:dyDescent="0.2">
      <c r="A37" s="25" t="s">
        <v>68</v>
      </c>
      <c r="B37" s="26">
        <f>_xlfn.XLOOKUP(G37,'[1]Base de datos'!$A:$A,'[1]Base de datos'!$X:$X)</f>
        <v>46029</v>
      </c>
      <c r="C37" s="25" t="s">
        <v>196</v>
      </c>
      <c r="D37" s="25" t="s">
        <v>196</v>
      </c>
      <c r="E37" s="27" t="s">
        <v>22</v>
      </c>
      <c r="F37" s="28">
        <f>_xlfn.XLOOKUP(G37,[2]PLANEAMIENTO!$A:$A,[2]PLANEAMIENTO!$AT:$AT)</f>
        <v>0.17857142857142858</v>
      </c>
      <c r="G37" s="25">
        <v>370226</v>
      </c>
      <c r="H37" s="25" t="s">
        <v>59</v>
      </c>
      <c r="I37" s="43" t="s">
        <v>75</v>
      </c>
      <c r="J37" s="29" t="s">
        <v>163</v>
      </c>
      <c r="K37" s="31" t="s">
        <v>262</v>
      </c>
      <c r="L37" s="31" t="s">
        <v>262</v>
      </c>
      <c r="M37" s="32" t="s">
        <v>64</v>
      </c>
      <c r="N37" s="33">
        <v>0</v>
      </c>
      <c r="O37" s="34"/>
    </row>
    <row r="38" spans="1:15" x14ac:dyDescent="0.2">
      <c r="A38" s="25" t="s">
        <v>70</v>
      </c>
      <c r="B38" s="26">
        <f>_xlfn.XLOOKUP(G38,'[1]Base de datos'!$A:$A,'[1]Base de datos'!$X:$X)</f>
        <v>46029</v>
      </c>
      <c r="C38" s="25" t="s">
        <v>196</v>
      </c>
      <c r="D38" s="25" t="s">
        <v>196</v>
      </c>
      <c r="E38" s="27"/>
      <c r="F38" s="28">
        <f>_xlfn.XLOOKUP(G38,[2]PLANEAMIENTO!$A:$A,[2]PLANEAMIENTO!$AT:$AT)</f>
        <v>0.14642857142857141</v>
      </c>
      <c r="G38" s="25">
        <v>370326</v>
      </c>
      <c r="H38" s="25" t="s">
        <v>59</v>
      </c>
      <c r="I38" s="43" t="s">
        <v>75</v>
      </c>
      <c r="J38" s="29" t="s">
        <v>163</v>
      </c>
      <c r="K38" s="31" t="s">
        <v>262</v>
      </c>
      <c r="L38" s="31" t="s">
        <v>262</v>
      </c>
      <c r="M38" s="32" t="s">
        <v>64</v>
      </c>
      <c r="N38" s="33"/>
      <c r="O38" s="34"/>
    </row>
    <row r="39" spans="1:15" x14ac:dyDescent="0.2">
      <c r="A39" s="25" t="s">
        <v>243</v>
      </c>
      <c r="B39" s="26">
        <f>_xlfn.XLOOKUP(G39,'[1]Base de datos'!$A:$A,'[1]Base de datos'!$X:$X)</f>
        <v>46013</v>
      </c>
      <c r="C39" s="25" t="s">
        <v>196</v>
      </c>
      <c r="D39" s="25" t="s">
        <v>196</v>
      </c>
      <c r="E39" s="27"/>
      <c r="F39" s="28">
        <f>_xlfn.XLOOKUP(G39,[2]PLANEAMIENTO!$A:$A,[2]PLANEAMIENTO!$AT:$AT)</f>
        <v>0.37916666666666665</v>
      </c>
      <c r="G39" s="25">
        <v>366225</v>
      </c>
      <c r="H39" s="25" t="s">
        <v>92</v>
      </c>
      <c r="I39" s="25" t="s">
        <v>45</v>
      </c>
      <c r="J39" s="29" t="s">
        <v>162</v>
      </c>
      <c r="K39" s="31" t="s">
        <v>274</v>
      </c>
      <c r="L39" s="31" t="s">
        <v>274</v>
      </c>
      <c r="M39" s="32" t="s">
        <v>64</v>
      </c>
      <c r="N39" s="33"/>
      <c r="O39" s="34"/>
    </row>
    <row r="40" spans="1:15" x14ac:dyDescent="0.2">
      <c r="A40" s="25" t="s">
        <v>244</v>
      </c>
      <c r="B40" s="26">
        <f>_xlfn.XLOOKUP(G40,'[1]Base de datos'!$A:$A,'[1]Base de datos'!$X:$X)</f>
        <v>0</v>
      </c>
      <c r="C40" s="25" t="s">
        <v>196</v>
      </c>
      <c r="D40" s="25" t="s">
        <v>196</v>
      </c>
      <c r="E40" s="27"/>
      <c r="F40" s="28">
        <f>_xlfn.XLOOKUP(G40,[2]PLANEAMIENTO!$A:$A,[2]PLANEAMIENTO!$AT:$AT)</f>
        <v>0</v>
      </c>
      <c r="G40" s="25"/>
      <c r="H40" s="25"/>
      <c r="I40" s="25"/>
      <c r="J40" s="29" t="s">
        <v>165</v>
      </c>
      <c r="K40" s="31" t="s">
        <v>274</v>
      </c>
      <c r="L40" s="31" t="s">
        <v>275</v>
      </c>
      <c r="M40" s="32" t="s">
        <v>64</v>
      </c>
      <c r="N40" s="33"/>
      <c r="O40" s="34"/>
    </row>
    <row r="41" spans="1:15" x14ac:dyDescent="0.2">
      <c r="A41" s="14" t="s">
        <v>72</v>
      </c>
      <c r="B41" s="37"/>
      <c r="C41" s="14"/>
      <c r="D41" s="38"/>
      <c r="E41" s="38"/>
      <c r="F41" s="17"/>
      <c r="G41" s="14"/>
      <c r="H41" s="14" t="s">
        <v>73</v>
      </c>
      <c r="I41" s="19"/>
      <c r="J41" s="39"/>
      <c r="K41" s="40">
        <f>$K$6</f>
        <v>46041</v>
      </c>
      <c r="L41" s="40">
        <f>$L$6</f>
        <v>46045</v>
      </c>
      <c r="M41" s="41"/>
      <c r="N41" s="42">
        <f>AVERAGE(N42:N44)</f>
        <v>0</v>
      </c>
      <c r="O41" s="24"/>
    </row>
    <row r="42" spans="1:15" x14ac:dyDescent="0.2">
      <c r="A42" s="25" t="s">
        <v>74</v>
      </c>
      <c r="B42" s="26">
        <f>_xlfn.XLOOKUP(G42,'[1]Base de datos'!$A:$A,'[1]Base de datos'!$X:$X)</f>
        <v>46029</v>
      </c>
      <c r="C42" s="25" t="s">
        <v>196</v>
      </c>
      <c r="D42" s="25" t="s">
        <v>196</v>
      </c>
      <c r="E42" s="27"/>
      <c r="F42" s="28">
        <f>_xlfn.XLOOKUP(G42,[2]PLANEAMIENTO!$A:$A,[2]PLANEAMIENTO!$AT:$AT)</f>
        <v>0.18214285714285713</v>
      </c>
      <c r="G42" s="25">
        <v>370526</v>
      </c>
      <c r="H42" s="25" t="s">
        <v>200</v>
      </c>
      <c r="I42" s="43" t="s">
        <v>75</v>
      </c>
      <c r="J42" s="94" t="s">
        <v>163</v>
      </c>
      <c r="K42" s="31" t="s">
        <v>235</v>
      </c>
      <c r="L42" s="31" t="s">
        <v>235</v>
      </c>
      <c r="M42" s="32" t="s">
        <v>76</v>
      </c>
      <c r="N42" s="33">
        <v>0</v>
      </c>
      <c r="O42" s="34"/>
    </row>
    <row r="43" spans="1:15" x14ac:dyDescent="0.2">
      <c r="A43" s="25" t="s">
        <v>77</v>
      </c>
      <c r="B43" s="26">
        <f>_xlfn.XLOOKUP(G43,'[1]Base de datos'!$A:$A,'[1]Base de datos'!$X:$X)</f>
        <v>46027</v>
      </c>
      <c r="C43" s="25" t="s">
        <v>196</v>
      </c>
      <c r="D43" s="25" t="s">
        <v>196</v>
      </c>
      <c r="E43" s="27" t="s">
        <v>22</v>
      </c>
      <c r="F43" s="28">
        <f>_xlfn.XLOOKUP(G43,[2]PLANEAMIENTO!$A:$A,[2]PLANEAMIENTO!$AT:$AT)</f>
        <v>0.18214285714285713</v>
      </c>
      <c r="G43" s="25">
        <v>368726</v>
      </c>
      <c r="H43" s="25" t="s">
        <v>200</v>
      </c>
      <c r="I43" s="43" t="s">
        <v>75</v>
      </c>
      <c r="J43" s="94" t="s">
        <v>163</v>
      </c>
      <c r="K43" s="31" t="s">
        <v>235</v>
      </c>
      <c r="L43" s="31" t="s">
        <v>276</v>
      </c>
      <c r="M43" s="32" t="s">
        <v>76</v>
      </c>
      <c r="N43" s="33">
        <v>0</v>
      </c>
      <c r="O43" s="34"/>
    </row>
    <row r="44" spans="1:15" x14ac:dyDescent="0.2">
      <c r="A44" s="25" t="s">
        <v>189</v>
      </c>
      <c r="B44" s="26">
        <f>_xlfn.XLOOKUP(G44,'[1]Base de datos'!$A:$A,'[1]Base de datos'!$X:$X)</f>
        <v>0</v>
      </c>
      <c r="C44" s="25" t="s">
        <v>196</v>
      </c>
      <c r="D44" s="25" t="s">
        <v>196</v>
      </c>
      <c r="E44" s="27" t="s">
        <v>22</v>
      </c>
      <c r="F44" s="28">
        <f>_xlfn.XLOOKUP(G44,[2]PLANEAMIENTO!$A:$A,[2]PLANEAMIENTO!$AT:$AT)</f>
        <v>0</v>
      </c>
      <c r="G44" s="25"/>
      <c r="H44" s="25"/>
      <c r="I44" s="43"/>
      <c r="J44" s="94" t="s">
        <v>165</v>
      </c>
      <c r="K44" s="31" t="s">
        <v>276</v>
      </c>
      <c r="L44" s="31" t="s">
        <v>277</v>
      </c>
      <c r="M44" s="32" t="s">
        <v>76</v>
      </c>
      <c r="N44" s="33">
        <v>0</v>
      </c>
      <c r="O44" s="34"/>
    </row>
    <row r="45" spans="1:15" x14ac:dyDescent="0.2">
      <c r="A45" s="14">
        <v>6</v>
      </c>
      <c r="B45" s="37"/>
      <c r="C45" s="14"/>
      <c r="D45" s="38"/>
      <c r="E45" s="38"/>
      <c r="F45" s="17"/>
      <c r="G45" s="14"/>
      <c r="H45" s="14" t="s">
        <v>78</v>
      </c>
      <c r="I45" s="19"/>
      <c r="J45" s="39"/>
      <c r="K45" s="40">
        <f>$K$6</f>
        <v>46041</v>
      </c>
      <c r="L45" s="40">
        <f>$L$6</f>
        <v>46045</v>
      </c>
      <c r="M45" s="41"/>
      <c r="N45" s="42">
        <f>AVERAGE(N46:N46)</f>
        <v>0</v>
      </c>
      <c r="O45" s="24"/>
    </row>
    <row r="46" spans="1:15" ht="25.5" x14ac:dyDescent="0.2">
      <c r="A46" s="25" t="s">
        <v>79</v>
      </c>
      <c r="B46" s="26">
        <f>_xlfn.XLOOKUP(G46,'[1]Base de datos'!$A:$A,'[1]Base de datos'!$X:$X)</f>
        <v>45975</v>
      </c>
      <c r="C46" s="25" t="s">
        <v>196</v>
      </c>
      <c r="D46" s="25" t="s">
        <v>196</v>
      </c>
      <c r="E46" s="27"/>
      <c r="F46" s="28">
        <f>_xlfn.XLOOKUP(G46,[2]PLANEAMIENTO!$A:$A,[2]PLANEAMIENTO!$AT:$AT)</f>
        <v>0.61111111111111116</v>
      </c>
      <c r="G46" s="25">
        <v>360525</v>
      </c>
      <c r="H46" s="4" t="s">
        <v>27</v>
      </c>
      <c r="I46" s="8" t="s">
        <v>28</v>
      </c>
      <c r="J46" s="94" t="s">
        <v>278</v>
      </c>
      <c r="K46" s="31" t="s">
        <v>219</v>
      </c>
      <c r="L46" s="31" t="s">
        <v>234</v>
      </c>
      <c r="M46" s="32" t="s">
        <v>80</v>
      </c>
      <c r="N46" s="33">
        <v>0</v>
      </c>
      <c r="O46" s="34"/>
    </row>
    <row r="47" spans="1:15" ht="25.5" x14ac:dyDescent="0.2">
      <c r="A47" s="25" t="s">
        <v>185</v>
      </c>
      <c r="B47" s="26">
        <f>_xlfn.XLOOKUP(G47,'[1]Base de datos'!$A:$A,'[1]Base de datos'!$X:$X)</f>
        <v>46013</v>
      </c>
      <c r="C47" s="25" t="s">
        <v>196</v>
      </c>
      <c r="D47" s="25" t="s">
        <v>196</v>
      </c>
      <c r="E47" s="27" t="s">
        <v>22</v>
      </c>
      <c r="F47" s="28">
        <f>_xlfn.XLOOKUP(G47,[2]PLANEAMIENTO!$A:$A,[2]PLANEAMIENTO!$AT:$AT)</f>
        <v>0.36071428571428571</v>
      </c>
      <c r="G47" s="4">
        <v>366025</v>
      </c>
      <c r="H47" s="4" t="s">
        <v>90</v>
      </c>
      <c r="I47" s="8" t="s">
        <v>174</v>
      </c>
      <c r="J47" s="95" t="s">
        <v>279</v>
      </c>
      <c r="K47" s="36" t="s">
        <v>234</v>
      </c>
      <c r="L47" s="36" t="s">
        <v>234</v>
      </c>
      <c r="M47" s="32" t="s">
        <v>80</v>
      </c>
      <c r="N47" s="33">
        <v>0</v>
      </c>
      <c r="O47" s="13"/>
    </row>
    <row r="48" spans="1:15" ht="25.5" x14ac:dyDescent="0.2">
      <c r="A48" s="25" t="s">
        <v>186</v>
      </c>
      <c r="B48" s="26">
        <f>_xlfn.XLOOKUP(G48,'[1]Base de datos'!$A:$A,'[1]Base de datos'!$X:$X)</f>
        <v>46021</v>
      </c>
      <c r="C48" s="25" t="s">
        <v>196</v>
      </c>
      <c r="D48" s="25" t="s">
        <v>196</v>
      </c>
      <c r="E48" s="27" t="s">
        <v>22</v>
      </c>
      <c r="F48" s="28">
        <f>_xlfn.XLOOKUP(G48,[2]PLANEAMIENTO!$A:$A,[2]PLANEAMIENTO!$AT:$AT)</f>
        <v>0.31842105263157894</v>
      </c>
      <c r="G48" s="4">
        <v>368225</v>
      </c>
      <c r="H48" s="4" t="s">
        <v>139</v>
      </c>
      <c r="I48" s="8">
        <v>24</v>
      </c>
      <c r="J48" s="95" t="s">
        <v>279</v>
      </c>
      <c r="K48" s="36" t="s">
        <v>262</v>
      </c>
      <c r="L48" s="36" t="s">
        <v>262</v>
      </c>
      <c r="M48" s="32" t="s">
        <v>80</v>
      </c>
      <c r="N48" s="33">
        <v>0</v>
      </c>
      <c r="O48" s="13"/>
    </row>
    <row r="49" spans="1:15" ht="25.5" x14ac:dyDescent="0.2">
      <c r="A49" s="25" t="s">
        <v>187</v>
      </c>
      <c r="B49" s="26">
        <f>_xlfn.XLOOKUP(G49,'[1]Base de datos'!$A:$A,'[1]Base de datos'!$X:$X)</f>
        <v>46021</v>
      </c>
      <c r="C49" s="25" t="s">
        <v>196</v>
      </c>
      <c r="D49" s="25" t="s">
        <v>196</v>
      </c>
      <c r="E49" s="27" t="s">
        <v>22</v>
      </c>
      <c r="F49" s="28">
        <f>_xlfn.XLOOKUP(G49,[2]PLANEAMIENTO!$A:$A,[2]PLANEAMIENTO!$AT:$AT)</f>
        <v>0.19285714285714284</v>
      </c>
      <c r="G49" s="4">
        <v>368525</v>
      </c>
      <c r="H49" s="4" t="s">
        <v>44</v>
      </c>
      <c r="I49" s="8" t="s">
        <v>106</v>
      </c>
      <c r="J49" s="95" t="s">
        <v>279</v>
      </c>
      <c r="K49" s="36" t="s">
        <v>262</v>
      </c>
      <c r="L49" s="36" t="s">
        <v>274</v>
      </c>
      <c r="M49" s="32" t="s">
        <v>80</v>
      </c>
      <c r="N49" s="33">
        <v>0</v>
      </c>
      <c r="O49" s="13"/>
    </row>
    <row r="50" spans="1:15" ht="25.5" x14ac:dyDescent="0.2">
      <c r="A50" s="25" t="s">
        <v>188</v>
      </c>
      <c r="B50" s="26">
        <f>_xlfn.XLOOKUP(G50,'[1]Base de datos'!$A:$A,'[1]Base de datos'!$X:$X)</f>
        <v>46029</v>
      </c>
      <c r="C50" s="25" t="s">
        <v>196</v>
      </c>
      <c r="D50" s="25" t="s">
        <v>196</v>
      </c>
      <c r="E50" s="90"/>
      <c r="F50" s="28">
        <f>_xlfn.XLOOKUP(G50,[2]PLANEAMIENTO!$A:$A,[2]PLANEAMIENTO!$AT:$AT)</f>
        <v>0.43214285714285711</v>
      </c>
      <c r="G50" s="4">
        <v>370126</v>
      </c>
      <c r="H50" s="4" t="s">
        <v>42</v>
      </c>
      <c r="I50" s="8" t="s">
        <v>75</v>
      </c>
      <c r="J50" s="95" t="s">
        <v>279</v>
      </c>
      <c r="K50" s="36" t="s">
        <v>274</v>
      </c>
      <c r="L50" s="36" t="s">
        <v>275</v>
      </c>
      <c r="M50" s="32" t="s">
        <v>80</v>
      </c>
      <c r="N50" s="33"/>
      <c r="O50" s="13"/>
    </row>
    <row r="51" spans="1:15" x14ac:dyDescent="0.2">
      <c r="A51" s="14" t="s">
        <v>81</v>
      </c>
      <c r="B51" s="37"/>
      <c r="C51" s="14"/>
      <c r="D51" s="38"/>
      <c r="E51" s="38"/>
      <c r="F51" s="17"/>
      <c r="G51" s="14"/>
      <c r="H51" s="14" t="s">
        <v>82</v>
      </c>
      <c r="I51" s="19"/>
      <c r="J51" s="39"/>
      <c r="K51" s="40">
        <f>$K$6</f>
        <v>46041</v>
      </c>
      <c r="L51" s="40">
        <f>$L$6</f>
        <v>46045</v>
      </c>
      <c r="M51" s="41"/>
      <c r="N51" s="42">
        <f>AVERAGE(N52:N52)</f>
        <v>0</v>
      </c>
      <c r="O51" s="24"/>
    </row>
    <row r="52" spans="1:15" x14ac:dyDescent="0.2">
      <c r="A52" s="25" t="s">
        <v>83</v>
      </c>
      <c r="B52" s="26">
        <f>_xlfn.XLOOKUP(G52,'[1]Base de datos'!$A:$A,'[1]Base de datos'!$X:$X)</f>
        <v>46028</v>
      </c>
      <c r="C52" s="25" t="s">
        <v>196</v>
      </c>
      <c r="D52" s="25" t="s">
        <v>196</v>
      </c>
      <c r="E52" s="27" t="s">
        <v>22</v>
      </c>
      <c r="F52" s="28">
        <f>_xlfn.XLOOKUP(G52,[2]PLANEAMIENTO!$A:$A,[2]PLANEAMIENTO!$AT:$AT)</f>
        <v>0.05</v>
      </c>
      <c r="G52" s="25">
        <v>369126</v>
      </c>
      <c r="H52" s="4" t="s">
        <v>232</v>
      </c>
      <c r="I52" s="43">
        <v>24</v>
      </c>
      <c r="J52" s="29" t="s">
        <v>230</v>
      </c>
      <c r="K52" s="31" t="s">
        <v>145</v>
      </c>
      <c r="L52" s="31" t="s">
        <v>156</v>
      </c>
      <c r="M52" s="32" t="s">
        <v>177</v>
      </c>
      <c r="N52" s="33">
        <v>0</v>
      </c>
      <c r="O52" s="34"/>
    </row>
    <row r="53" spans="1:15" x14ac:dyDescent="0.2">
      <c r="A53" s="25" t="s">
        <v>178</v>
      </c>
      <c r="B53" s="26">
        <f>_xlfn.XLOOKUP(G53,'[1]Base de datos'!$A:$A,'[1]Base de datos'!$X:$X)</f>
        <v>46028</v>
      </c>
      <c r="C53" s="25" t="s">
        <v>196</v>
      </c>
      <c r="D53" s="25" t="s">
        <v>196</v>
      </c>
      <c r="E53" s="27" t="s">
        <v>22</v>
      </c>
      <c r="F53" s="28">
        <f>_xlfn.XLOOKUP(G53,[2]PLANEAMIENTO!$A:$A,[2]PLANEAMIENTO!$AT:$AT)</f>
        <v>0.15</v>
      </c>
      <c r="G53" s="4">
        <v>369826</v>
      </c>
      <c r="H53" s="4" t="s">
        <v>42</v>
      </c>
      <c r="I53" s="8" t="s">
        <v>233</v>
      </c>
      <c r="J53" s="35" t="s">
        <v>231</v>
      </c>
      <c r="K53" s="36" t="s">
        <v>156</v>
      </c>
      <c r="L53" s="36" t="s">
        <v>156</v>
      </c>
      <c r="M53" s="92" t="s">
        <v>177</v>
      </c>
      <c r="N53" s="33">
        <v>0</v>
      </c>
      <c r="O53" s="13"/>
    </row>
    <row r="54" spans="1:15" x14ac:dyDescent="0.2">
      <c r="A54" s="25" t="s">
        <v>179</v>
      </c>
      <c r="B54" s="26">
        <f>_xlfn.XLOOKUP(G54,'[1]Base de datos'!$A:$A,'[1]Base de datos'!$X:$X)</f>
        <v>46029</v>
      </c>
      <c r="C54" s="25" t="s">
        <v>196</v>
      </c>
      <c r="D54" s="25" t="s">
        <v>196</v>
      </c>
      <c r="E54" s="27" t="s">
        <v>22</v>
      </c>
      <c r="F54" s="28">
        <f>_xlfn.XLOOKUP(G54,[2]PLANEAMIENTO!$A:$A,[2]PLANEAMIENTO!$AT:$AT)</f>
        <v>7.1428571428571425E-2</v>
      </c>
      <c r="G54" s="4">
        <v>370426</v>
      </c>
      <c r="H54" s="4" t="s">
        <v>59</v>
      </c>
      <c r="I54" s="8" t="s">
        <v>233</v>
      </c>
      <c r="J54" s="35" t="s">
        <v>231</v>
      </c>
      <c r="K54" s="36" t="s">
        <v>214</v>
      </c>
      <c r="L54" s="36" t="s">
        <v>214</v>
      </c>
      <c r="M54" s="92" t="s">
        <v>177</v>
      </c>
      <c r="N54" s="33">
        <v>0</v>
      </c>
      <c r="O54" s="13"/>
    </row>
    <row r="55" spans="1:15" ht="25.5" x14ac:dyDescent="0.2">
      <c r="A55" s="25" t="s">
        <v>180</v>
      </c>
      <c r="B55" s="26">
        <f>_xlfn.XLOOKUP(G55,'[1]Base de datos'!$A:$A,'[1]Base de datos'!$X:$X)</f>
        <v>46015</v>
      </c>
      <c r="C55" s="25" t="s">
        <v>196</v>
      </c>
      <c r="D55" s="25" t="s">
        <v>196</v>
      </c>
      <c r="E55" s="27" t="s">
        <v>22</v>
      </c>
      <c r="F55" s="28">
        <f>_xlfn.XLOOKUP(G55,[2]PLANEAMIENTO!$A:$A,[2]PLANEAMIENTO!$AT:$AT)</f>
        <v>0.28928571428571426</v>
      </c>
      <c r="G55" s="4">
        <v>366525</v>
      </c>
      <c r="H55" s="4" t="s">
        <v>59</v>
      </c>
      <c r="I55" s="8" t="s">
        <v>75</v>
      </c>
      <c r="J55" s="35" t="s">
        <v>173</v>
      </c>
      <c r="K55" s="36" t="s">
        <v>214</v>
      </c>
      <c r="L55" s="36" t="s">
        <v>215</v>
      </c>
      <c r="M55" s="92" t="s">
        <v>177</v>
      </c>
      <c r="N55" s="33">
        <v>0</v>
      </c>
      <c r="O55" s="13"/>
    </row>
    <row r="56" spans="1:15" ht="25.5" x14ac:dyDescent="0.2">
      <c r="A56" s="25" t="s">
        <v>181</v>
      </c>
      <c r="B56" s="26">
        <f>_xlfn.XLOOKUP(G56,'[1]Base de datos'!$A:$A,'[1]Base de datos'!$X:$X)</f>
        <v>46015</v>
      </c>
      <c r="C56" s="25" t="s">
        <v>196</v>
      </c>
      <c r="D56" s="25" t="s">
        <v>196</v>
      </c>
      <c r="E56" s="27" t="s">
        <v>22</v>
      </c>
      <c r="F56" s="28">
        <f>_xlfn.XLOOKUP(G56,[2]PLANEAMIENTO!$A:$A,[2]PLANEAMIENTO!$AT:$AT)</f>
        <v>0.18214285714285713</v>
      </c>
      <c r="G56" s="4">
        <v>366625</v>
      </c>
      <c r="H56" s="4" t="s">
        <v>59</v>
      </c>
      <c r="I56" s="8" t="s">
        <v>75</v>
      </c>
      <c r="J56" s="35" t="s">
        <v>173</v>
      </c>
      <c r="K56" s="36" t="s">
        <v>215</v>
      </c>
      <c r="L56" s="36" t="s">
        <v>215</v>
      </c>
      <c r="M56" s="92" t="s">
        <v>177</v>
      </c>
      <c r="N56" s="33">
        <v>0</v>
      </c>
      <c r="O56" s="13"/>
    </row>
    <row r="57" spans="1:15" x14ac:dyDescent="0.2">
      <c r="A57" s="25" t="s">
        <v>182</v>
      </c>
      <c r="B57" s="26">
        <f>_xlfn.XLOOKUP(G57,'[1]Base de datos'!$A:$A,'[1]Base de datos'!$X:$X)</f>
        <v>46015</v>
      </c>
      <c r="C57" s="25" t="s">
        <v>196</v>
      </c>
      <c r="D57" s="25" t="s">
        <v>196</v>
      </c>
      <c r="E57" s="27" t="s">
        <v>22</v>
      </c>
      <c r="F57" s="28">
        <f>_xlfn.XLOOKUP(G57,[2]PLANEAMIENTO!$A:$A,[2]PLANEAMIENTO!$AT:$AT)</f>
        <v>0.06</v>
      </c>
      <c r="G57" s="4">
        <v>367725</v>
      </c>
      <c r="H57" s="4" t="s">
        <v>32</v>
      </c>
      <c r="I57" s="8" t="s">
        <v>101</v>
      </c>
      <c r="J57" s="35" t="s">
        <v>231</v>
      </c>
      <c r="K57" s="36" t="s">
        <v>215</v>
      </c>
      <c r="L57" s="36" t="s">
        <v>219</v>
      </c>
      <c r="M57" s="92" t="s">
        <v>177</v>
      </c>
      <c r="N57" s="33">
        <v>0</v>
      </c>
      <c r="O57" s="13"/>
    </row>
    <row r="58" spans="1:15" x14ac:dyDescent="0.2">
      <c r="A58" s="25" t="s">
        <v>183</v>
      </c>
      <c r="B58" s="26">
        <f>_xlfn.XLOOKUP(G58,'[1]Base de datos'!$A:$A,'[1]Base de datos'!$X:$X)</f>
        <v>46015</v>
      </c>
      <c r="C58" s="25" t="s">
        <v>196</v>
      </c>
      <c r="D58" s="25" t="s">
        <v>196</v>
      </c>
      <c r="E58" s="27" t="s">
        <v>22</v>
      </c>
      <c r="F58" s="28">
        <f>_xlfn.XLOOKUP(G58,[2]PLANEAMIENTO!$A:$A,[2]PLANEAMIENTO!$AT:$AT)</f>
        <v>0.06</v>
      </c>
      <c r="G58" s="4">
        <v>367725</v>
      </c>
      <c r="H58" s="4" t="s">
        <v>32</v>
      </c>
      <c r="I58" s="8" t="s">
        <v>101</v>
      </c>
      <c r="J58" s="35" t="s">
        <v>172</v>
      </c>
      <c r="K58" s="36" t="s">
        <v>235</v>
      </c>
      <c r="L58" s="36" t="s">
        <v>235</v>
      </c>
      <c r="M58" s="92" t="s">
        <v>177</v>
      </c>
      <c r="N58" s="33">
        <v>0</v>
      </c>
      <c r="O58" s="13"/>
    </row>
    <row r="59" spans="1:15" x14ac:dyDescent="0.2">
      <c r="A59" s="25" t="s">
        <v>184</v>
      </c>
      <c r="B59" s="26">
        <f>_xlfn.XLOOKUP(G59,'[1]Base de datos'!$A:$A,'[1]Base de datos'!$X:$X)</f>
        <v>46027</v>
      </c>
      <c r="C59" s="25" t="s">
        <v>196</v>
      </c>
      <c r="D59" s="25" t="s">
        <v>196</v>
      </c>
      <c r="E59" s="27"/>
      <c r="F59" s="28">
        <f>_xlfn.XLOOKUP(G59,[2]PLANEAMIENTO!$A:$A,[2]PLANEAMIENTO!$AT:$AT)</f>
        <v>0.255</v>
      </c>
      <c r="G59" s="4">
        <v>368826</v>
      </c>
      <c r="H59" s="4" t="s">
        <v>200</v>
      </c>
      <c r="I59" s="8" t="s">
        <v>201</v>
      </c>
      <c r="J59" s="35" t="s">
        <v>231</v>
      </c>
      <c r="K59" s="36" t="s">
        <v>235</v>
      </c>
      <c r="L59" s="36" t="s">
        <v>235</v>
      </c>
      <c r="M59" s="92" t="s">
        <v>177</v>
      </c>
      <c r="N59" s="33"/>
      <c r="O59" s="13"/>
    </row>
    <row r="60" spans="1:15" x14ac:dyDescent="0.2">
      <c r="A60" s="25" t="s">
        <v>252</v>
      </c>
      <c r="B60" s="26">
        <f>_xlfn.XLOOKUP(G60,'[1]Base de datos'!$A:$A,'[1]Base de datos'!$X:$X)</f>
        <v>0</v>
      </c>
      <c r="C60" s="25" t="s">
        <v>196</v>
      </c>
      <c r="D60" s="25" t="s">
        <v>196</v>
      </c>
      <c r="E60" s="27"/>
      <c r="F60" s="28">
        <f>_xlfn.XLOOKUP(G60,[2]PLANEAMIENTO!$A:$A,[2]PLANEAMIENTO!$AT:$AT)</f>
        <v>0</v>
      </c>
      <c r="G60" s="4"/>
      <c r="H60" s="4"/>
      <c r="I60" s="8"/>
      <c r="J60" s="94" t="s">
        <v>165</v>
      </c>
      <c r="K60" s="36" t="s">
        <v>235</v>
      </c>
      <c r="L60" s="36" t="s">
        <v>276</v>
      </c>
      <c r="M60" s="92" t="s">
        <v>177</v>
      </c>
      <c r="N60" s="33"/>
      <c r="O60" s="13"/>
    </row>
    <row r="61" spans="1:15" x14ac:dyDescent="0.2">
      <c r="A61" s="14" t="s">
        <v>84</v>
      </c>
      <c r="B61" s="37"/>
      <c r="C61" s="14"/>
      <c r="D61" s="38"/>
      <c r="E61" s="38"/>
      <c r="F61" s="17"/>
      <c r="G61" s="14"/>
      <c r="H61" s="14" t="s">
        <v>85</v>
      </c>
      <c r="I61" s="19"/>
      <c r="J61" s="39"/>
      <c r="K61" s="40">
        <f>$K$6</f>
        <v>46041</v>
      </c>
      <c r="L61" s="40">
        <f>$L$6</f>
        <v>46045</v>
      </c>
      <c r="M61" s="41"/>
      <c r="N61" s="42">
        <f>AVERAGE(N62:N65)</f>
        <v>0</v>
      </c>
      <c r="O61" s="24"/>
    </row>
    <row r="62" spans="1:15" x14ac:dyDescent="0.2">
      <c r="A62" s="25" t="s">
        <v>86</v>
      </c>
      <c r="B62" s="26">
        <f>_xlfn.XLOOKUP(G62,'[1]Base de datos'!$A:$A,'[1]Base de datos'!$X:$X)</f>
        <v>46021</v>
      </c>
      <c r="C62" s="25"/>
      <c r="D62" s="25"/>
      <c r="E62" s="27"/>
      <c r="F62" s="28">
        <f>_xlfn.XLOOKUP(G62,[2]PLANEAMIENTO!$A:$A,[2]PLANEAMIENTO!$AT:$AT)</f>
        <v>0.6</v>
      </c>
      <c r="G62" s="25">
        <v>368625</v>
      </c>
      <c r="H62" s="25" t="s">
        <v>59</v>
      </c>
      <c r="I62" s="43" t="s">
        <v>60</v>
      </c>
      <c r="J62" s="94" t="s">
        <v>236</v>
      </c>
      <c r="K62" s="31"/>
      <c r="L62" s="31"/>
      <c r="M62" s="32"/>
      <c r="N62" s="33">
        <v>0</v>
      </c>
      <c r="O62" s="34"/>
    </row>
    <row r="63" spans="1:15" x14ac:dyDescent="0.2">
      <c r="A63" s="25" t="s">
        <v>88</v>
      </c>
      <c r="B63" s="26">
        <f>_xlfn.XLOOKUP(G63,'[1]Base de datos'!$A:$A,'[1]Base de datos'!$X:$X)</f>
        <v>46028</v>
      </c>
      <c r="C63" s="25"/>
      <c r="D63" s="25"/>
      <c r="E63" s="27"/>
      <c r="F63" s="28">
        <f>_xlfn.XLOOKUP(G63,[2]PLANEAMIENTO!$A:$A,[2]PLANEAMIENTO!$AT:$AT)</f>
        <v>0</v>
      </c>
      <c r="G63" s="25">
        <v>369026</v>
      </c>
      <c r="H63" s="25" t="s">
        <v>44</v>
      </c>
      <c r="I63" s="43" t="s">
        <v>45</v>
      </c>
      <c r="J63" s="94" t="s">
        <v>236</v>
      </c>
      <c r="K63" s="31"/>
      <c r="L63" s="31"/>
      <c r="M63" s="32"/>
      <c r="N63" s="33">
        <v>0</v>
      </c>
      <c r="O63" s="34"/>
    </row>
    <row r="64" spans="1:15" x14ac:dyDescent="0.2">
      <c r="A64" s="25" t="s">
        <v>89</v>
      </c>
      <c r="B64" s="26">
        <f>_xlfn.XLOOKUP(G64,'[1]Base de datos'!$A:$A,'[1]Base de datos'!$X:$X)</f>
        <v>46028</v>
      </c>
      <c r="C64" s="25"/>
      <c r="D64" s="25"/>
      <c r="E64" s="27"/>
      <c r="F64" s="28">
        <f>_xlfn.XLOOKUP(G64,[2]PLANEAMIENTO!$A:$A,[2]PLANEAMIENTO!$AT:$AT)</f>
        <v>0.05</v>
      </c>
      <c r="G64" s="25">
        <v>369126</v>
      </c>
      <c r="H64" s="25" t="s">
        <v>232</v>
      </c>
      <c r="I64" s="43">
        <v>24</v>
      </c>
      <c r="J64" s="94" t="s">
        <v>236</v>
      </c>
      <c r="K64" s="31"/>
      <c r="L64" s="31"/>
      <c r="M64" s="32"/>
      <c r="N64" s="33">
        <v>0</v>
      </c>
      <c r="O64" s="34"/>
    </row>
    <row r="65" spans="1:15" x14ac:dyDescent="0.2">
      <c r="A65" s="25" t="s">
        <v>91</v>
      </c>
      <c r="B65" s="26">
        <f>_xlfn.XLOOKUP(G65,'[1]Base de datos'!$A:$A,'[1]Base de datos'!$X:$X)</f>
        <v>46028</v>
      </c>
      <c r="C65" s="25"/>
      <c r="D65" s="25"/>
      <c r="E65" s="27"/>
      <c r="F65" s="28">
        <f>_xlfn.XLOOKUP(G65,[2]PLANEAMIENTO!$A:$A,[2]PLANEAMIENTO!$AT:$AT)</f>
        <v>0.6</v>
      </c>
      <c r="G65" s="25">
        <v>369526</v>
      </c>
      <c r="H65" s="25" t="s">
        <v>59</v>
      </c>
      <c r="I65" s="43" t="s">
        <v>60</v>
      </c>
      <c r="J65" s="94" t="s">
        <v>236</v>
      </c>
      <c r="K65" s="31"/>
      <c r="L65" s="31"/>
      <c r="M65" s="32"/>
      <c r="N65" s="33">
        <v>0</v>
      </c>
      <c r="O65" s="34"/>
    </row>
    <row r="66" spans="1:15" x14ac:dyDescent="0.2">
      <c r="A66" s="14" t="s">
        <v>102</v>
      </c>
      <c r="B66" s="37" t="s">
        <v>103</v>
      </c>
      <c r="C66" s="14"/>
      <c r="D66" s="38"/>
      <c r="E66" s="38"/>
      <c r="F66" s="17" t="s">
        <v>104</v>
      </c>
      <c r="G66" s="14" t="s">
        <v>10</v>
      </c>
      <c r="H66" s="14" t="s">
        <v>105</v>
      </c>
      <c r="I66" s="19"/>
      <c r="J66" s="39"/>
      <c r="K66" s="40">
        <f>$K$6</f>
        <v>46041</v>
      </c>
      <c r="L66" s="40">
        <f>$L$6</f>
        <v>46045</v>
      </c>
      <c r="M66" s="41"/>
      <c r="N66" s="42">
        <f>AVERAGE(N67:N78)</f>
        <v>0</v>
      </c>
      <c r="O66" s="24"/>
    </row>
    <row r="67" spans="1:15" x14ac:dyDescent="0.2">
      <c r="A67" s="43">
        <v>9.1</v>
      </c>
      <c r="B67" s="26">
        <f>_xlfn.XLOOKUP(G67,'[1]Base de datos'!$A:$A,'[1]Base de datos'!$X:$X)</f>
        <v>45933</v>
      </c>
      <c r="C67" s="25" t="s">
        <v>196</v>
      </c>
      <c r="D67" s="25" t="s">
        <v>196</v>
      </c>
      <c r="E67" s="27" t="s">
        <v>22</v>
      </c>
      <c r="F67" s="28">
        <f>_xlfn.XLOOKUP(G67,[2]PLANEAMIENTO!$A:$A,[2]PLANEAMIENTO!$AT:$AT)</f>
        <v>1</v>
      </c>
      <c r="G67" s="25">
        <v>355125</v>
      </c>
      <c r="H67" s="25" t="s">
        <v>200</v>
      </c>
      <c r="I67" s="43" t="s">
        <v>281</v>
      </c>
      <c r="J67" s="29" t="s">
        <v>193</v>
      </c>
      <c r="K67" s="31"/>
      <c r="L67" s="31"/>
      <c r="M67" s="32"/>
      <c r="N67" s="33">
        <v>0</v>
      </c>
      <c r="O67" s="34"/>
    </row>
    <row r="68" spans="1:15" x14ac:dyDescent="0.2">
      <c r="A68" s="43">
        <v>9.1999999999999993</v>
      </c>
      <c r="B68" s="26">
        <f>_xlfn.XLOOKUP(G68,'[1]Base de datos'!$A:$A,'[1]Base de datos'!$X:$X)</f>
        <v>45975</v>
      </c>
      <c r="C68" s="25" t="s">
        <v>196</v>
      </c>
      <c r="D68" s="25" t="s">
        <v>196</v>
      </c>
      <c r="E68" s="27" t="s">
        <v>22</v>
      </c>
      <c r="F68" s="28">
        <f>_xlfn.XLOOKUP(G68,[2]PLANEAMIENTO!$A:$A,[2]PLANEAMIENTO!$AT:$AT)</f>
        <v>0.73333333333333328</v>
      </c>
      <c r="G68" s="25">
        <v>360325</v>
      </c>
      <c r="H68" s="25" t="s">
        <v>38</v>
      </c>
      <c r="I68" s="43" t="s">
        <v>39</v>
      </c>
      <c r="J68" s="29" t="s">
        <v>193</v>
      </c>
      <c r="K68" s="31"/>
      <c r="L68" s="31"/>
      <c r="M68" s="32"/>
      <c r="N68" s="33">
        <v>0</v>
      </c>
      <c r="O68" s="34"/>
    </row>
    <row r="69" spans="1:15" x14ac:dyDescent="0.2">
      <c r="A69" s="43">
        <v>9.3000000000000007</v>
      </c>
      <c r="B69" s="26">
        <f>_xlfn.XLOOKUP(G69,'[1]Base de datos'!$A:$A,'[1]Base de datos'!$X:$X)</f>
        <v>45975</v>
      </c>
      <c r="C69" s="25" t="s">
        <v>196</v>
      </c>
      <c r="D69" s="25" t="s">
        <v>196</v>
      </c>
      <c r="E69" s="27"/>
      <c r="F69" s="28">
        <f>_xlfn.XLOOKUP(G69,[2]PLANEAMIENTO!$A:$A,[2]PLANEAMIENTO!$AT:$AT)</f>
        <v>0.61111111111111116</v>
      </c>
      <c r="G69" s="25">
        <v>360525</v>
      </c>
      <c r="H69" s="25" t="s">
        <v>27</v>
      </c>
      <c r="I69" s="43" t="s">
        <v>28</v>
      </c>
      <c r="J69" s="29" t="s">
        <v>193</v>
      </c>
      <c r="K69" s="31"/>
      <c r="L69" s="31"/>
      <c r="M69" s="32"/>
      <c r="N69" s="33">
        <v>0</v>
      </c>
      <c r="O69" s="34"/>
    </row>
    <row r="70" spans="1:15" x14ac:dyDescent="0.2">
      <c r="A70" s="43">
        <v>9.4</v>
      </c>
      <c r="B70" s="26">
        <f>_xlfn.XLOOKUP(G70,'[1]Base de datos'!$A:$A,'[1]Base de datos'!$X:$X)</f>
        <v>45979</v>
      </c>
      <c r="C70" s="25" t="s">
        <v>196</v>
      </c>
      <c r="D70" s="25" t="s">
        <v>196</v>
      </c>
      <c r="E70" s="27"/>
      <c r="F70" s="28">
        <f>_xlfn.XLOOKUP(G70,[2]PLANEAMIENTO!$A:$A,[2]PLANEAMIENTO!$AT:$AT)</f>
        <v>0.35714285714285715</v>
      </c>
      <c r="G70" s="25">
        <v>361025</v>
      </c>
      <c r="H70" s="25" t="s">
        <v>59</v>
      </c>
      <c r="I70" s="43" t="s">
        <v>75</v>
      </c>
      <c r="J70" s="29" t="s">
        <v>280</v>
      </c>
      <c r="K70" s="31"/>
      <c r="L70" s="31"/>
      <c r="M70" s="32"/>
      <c r="N70" s="33">
        <v>0</v>
      </c>
      <c r="O70" s="34"/>
    </row>
    <row r="71" spans="1:15" x14ac:dyDescent="0.2">
      <c r="A71" s="43">
        <v>9.5</v>
      </c>
      <c r="B71" s="26">
        <f>_xlfn.XLOOKUP(G71,'[1]Base de datos'!$A:$A,'[1]Base de datos'!$X:$X)</f>
        <v>45979</v>
      </c>
      <c r="C71" s="25" t="s">
        <v>196</v>
      </c>
      <c r="D71" s="25" t="s">
        <v>196</v>
      </c>
      <c r="E71" s="27"/>
      <c r="F71" s="28">
        <f>_xlfn.XLOOKUP(G71,[2]PLANEAMIENTO!$A:$A,[2]PLANEAMIENTO!$AT:$AT)</f>
        <v>0.28928571428571426</v>
      </c>
      <c r="G71" s="25">
        <v>361125</v>
      </c>
      <c r="H71" s="25" t="s">
        <v>59</v>
      </c>
      <c r="I71" s="43" t="s">
        <v>75</v>
      </c>
      <c r="J71" s="29" t="s">
        <v>280</v>
      </c>
      <c r="K71" s="31"/>
      <c r="L71" s="31"/>
      <c r="M71" s="32"/>
      <c r="N71" s="33">
        <v>0</v>
      </c>
      <c r="O71" s="34"/>
    </row>
    <row r="72" spans="1:15" x14ac:dyDescent="0.2">
      <c r="A72" s="43">
        <v>9.6</v>
      </c>
      <c r="B72" s="26">
        <f>_xlfn.XLOOKUP(G72,'[1]Base de datos'!$A:$A,'[1]Base de datos'!$X:$X)</f>
        <v>45985</v>
      </c>
      <c r="C72" s="25" t="s">
        <v>196</v>
      </c>
      <c r="D72" s="25" t="s">
        <v>196</v>
      </c>
      <c r="E72" s="27"/>
      <c r="F72" s="28">
        <f>_xlfn.XLOOKUP(G72,[2]PLANEAMIENTO!$A:$A,[2]PLANEAMIENTO!$AT:$AT)</f>
        <v>0</v>
      </c>
      <c r="G72" s="25">
        <v>362525</v>
      </c>
      <c r="H72" s="25" t="s">
        <v>194</v>
      </c>
      <c r="I72" s="43" t="s">
        <v>75</v>
      </c>
      <c r="J72" s="29" t="s">
        <v>193</v>
      </c>
      <c r="K72" s="31"/>
      <c r="L72" s="31"/>
      <c r="M72" s="32"/>
      <c r="N72" s="33">
        <v>0</v>
      </c>
      <c r="O72" s="34"/>
    </row>
    <row r="73" spans="1:15" x14ac:dyDescent="0.2">
      <c r="A73" s="43">
        <v>9.6999999999999993</v>
      </c>
      <c r="B73" s="26">
        <f>_xlfn.XLOOKUP(G73,'[1]Base de datos'!$A:$A,'[1]Base de datos'!$X:$X)</f>
        <v>45985</v>
      </c>
      <c r="C73" s="25" t="s">
        <v>196</v>
      </c>
      <c r="D73" s="25" t="s">
        <v>196</v>
      </c>
      <c r="E73" s="27"/>
      <c r="F73" s="28">
        <f>_xlfn.XLOOKUP(G73,[2]PLANEAMIENTO!$A:$A,[2]PLANEAMIENTO!$AT:$AT)</f>
        <v>0.8125</v>
      </c>
      <c r="G73" s="25">
        <v>363125</v>
      </c>
      <c r="H73" s="25" t="s">
        <v>56</v>
      </c>
      <c r="I73" s="43" t="s">
        <v>57</v>
      </c>
      <c r="J73" s="29" t="s">
        <v>193</v>
      </c>
      <c r="K73" s="31"/>
      <c r="L73" s="31"/>
      <c r="M73" s="32"/>
      <c r="N73" s="33">
        <v>0</v>
      </c>
      <c r="O73" s="34"/>
    </row>
    <row r="74" spans="1:15" x14ac:dyDescent="0.2">
      <c r="A74" s="43">
        <v>9.8000000000000007</v>
      </c>
      <c r="B74" s="26">
        <f>_xlfn.XLOOKUP(G74,'[1]Base de datos'!$A:$A,'[1]Base de datos'!$X:$X)</f>
        <v>45987</v>
      </c>
      <c r="C74" s="25" t="s">
        <v>196</v>
      </c>
      <c r="D74" s="25" t="s">
        <v>196</v>
      </c>
      <c r="E74" s="27"/>
      <c r="F74" s="28">
        <f>_xlfn.XLOOKUP(G74,[2]PLANEAMIENTO!$A:$A,[2]PLANEAMIENTO!$AT:$AT)</f>
        <v>0.505</v>
      </c>
      <c r="G74" s="25">
        <v>363625</v>
      </c>
      <c r="H74" s="25" t="s">
        <v>42</v>
      </c>
      <c r="I74" s="43" t="s">
        <v>60</v>
      </c>
      <c r="J74" s="29" t="s">
        <v>280</v>
      </c>
      <c r="K74" s="31"/>
      <c r="L74" s="31"/>
      <c r="M74" s="32"/>
      <c r="N74" s="33">
        <v>0</v>
      </c>
      <c r="O74" s="34"/>
    </row>
    <row r="75" spans="1:15" x14ac:dyDescent="0.2">
      <c r="A75" s="43">
        <v>9.9</v>
      </c>
      <c r="B75" s="26">
        <f>_xlfn.XLOOKUP(G75,'[1]Base de datos'!$A:$A,'[1]Base de datos'!$X:$X)</f>
        <v>45987</v>
      </c>
      <c r="C75" s="25" t="s">
        <v>196</v>
      </c>
      <c r="D75" s="25" t="s">
        <v>196</v>
      </c>
      <c r="E75" s="27"/>
      <c r="F75" s="28">
        <f>_xlfn.XLOOKUP(G75,[2]PLANEAMIENTO!$A:$A,[2]PLANEAMIENTO!$AT:$AT)</f>
        <v>0.43214285714285711</v>
      </c>
      <c r="G75" s="25">
        <v>363325</v>
      </c>
      <c r="H75" s="25" t="s">
        <v>59</v>
      </c>
      <c r="I75" s="43" t="s">
        <v>60</v>
      </c>
      <c r="J75" s="29" t="s">
        <v>280</v>
      </c>
      <c r="K75" s="31"/>
      <c r="L75" s="31"/>
      <c r="M75" s="32"/>
      <c r="N75" s="33">
        <v>0</v>
      </c>
      <c r="O75" s="34"/>
    </row>
    <row r="76" spans="1:15" x14ac:dyDescent="0.2">
      <c r="A76" s="43">
        <v>10</v>
      </c>
      <c r="B76" s="26">
        <f>_xlfn.XLOOKUP(G76,'[1]Base de datos'!$A:$A,'[1]Base de datos'!$X:$X)</f>
        <v>46002</v>
      </c>
      <c r="C76" s="25" t="s">
        <v>196</v>
      </c>
      <c r="D76" s="25" t="s">
        <v>196</v>
      </c>
      <c r="E76" s="27"/>
      <c r="F76" s="28">
        <f>_xlfn.XLOOKUP(G76,[2]PLANEAMIENTO!$A:$A,[2]PLANEAMIENTO!$AT:$AT)</f>
        <v>0</v>
      </c>
      <c r="G76" s="25">
        <v>364225</v>
      </c>
      <c r="H76" s="25" t="s">
        <v>282</v>
      </c>
      <c r="I76" s="43" t="s">
        <v>233</v>
      </c>
      <c r="J76" s="29" t="s">
        <v>193</v>
      </c>
      <c r="K76" s="31"/>
      <c r="L76" s="31"/>
      <c r="M76" s="32"/>
      <c r="N76" s="33">
        <v>0</v>
      </c>
      <c r="O76" s="34"/>
    </row>
    <row r="77" spans="1:15" x14ac:dyDescent="0.2">
      <c r="A77" s="43"/>
      <c r="B77" s="26"/>
      <c r="C77" s="25"/>
      <c r="D77" s="25"/>
      <c r="E77" s="27"/>
      <c r="F77" s="28"/>
      <c r="G77" s="25"/>
      <c r="H77" s="25"/>
      <c r="I77" s="43"/>
      <c r="J77" s="29"/>
      <c r="K77" s="31"/>
      <c r="L77" s="31"/>
      <c r="M77" s="32"/>
      <c r="N77" s="33"/>
      <c r="O77" s="34"/>
    </row>
    <row r="78" spans="1:15" x14ac:dyDescent="0.2">
      <c r="A78" s="43"/>
      <c r="B78" s="26"/>
      <c r="C78" s="25"/>
      <c r="D78" s="25"/>
      <c r="E78" s="27"/>
      <c r="F78" s="28"/>
      <c r="G78" s="25"/>
      <c r="H78" s="25"/>
      <c r="I78" s="43"/>
      <c r="J78" s="29"/>
      <c r="K78" s="31"/>
      <c r="L78" s="31"/>
      <c r="M78" s="32"/>
      <c r="N78" s="33"/>
      <c r="O78" s="34"/>
    </row>
    <row r="79" spans="1:15" x14ac:dyDescent="0.2">
      <c r="A79" s="43"/>
      <c r="B79" s="26"/>
      <c r="C79" s="25"/>
      <c r="D79" s="25"/>
      <c r="E79" s="27"/>
      <c r="F79" s="28"/>
      <c r="G79" s="25"/>
      <c r="H79" s="25"/>
      <c r="I79" s="43"/>
      <c r="J79" s="29"/>
      <c r="K79" s="31"/>
      <c r="L79" s="31"/>
      <c r="M79" s="32"/>
      <c r="N79" s="33"/>
      <c r="O79" s="34"/>
    </row>
    <row r="80" spans="1:15" ht="13.5" thickBot="1" x14ac:dyDescent="0.25"/>
    <row r="81" spans="2:15" ht="39" thickBot="1" x14ac:dyDescent="0.25">
      <c r="B81" s="50" t="s">
        <v>109</v>
      </c>
      <c r="C81" s="51" t="s">
        <v>11</v>
      </c>
      <c r="D81" s="51" t="s">
        <v>110</v>
      </c>
      <c r="E81" s="51" t="s">
        <v>111</v>
      </c>
      <c r="F81" s="52" t="s">
        <v>112</v>
      </c>
      <c r="G81" s="53" t="s">
        <v>113</v>
      </c>
      <c r="H81" s="54" t="s">
        <v>114</v>
      </c>
      <c r="J81" s="55" t="s">
        <v>11</v>
      </c>
      <c r="K81" s="56" t="s">
        <v>205</v>
      </c>
      <c r="L81" s="56" t="s">
        <v>206</v>
      </c>
      <c r="M81" s="56" t="s">
        <v>207</v>
      </c>
      <c r="N81" s="56" t="s">
        <v>208</v>
      </c>
      <c r="O81" s="56" t="s">
        <v>115</v>
      </c>
    </row>
    <row r="82" spans="2:15" x14ac:dyDescent="0.2">
      <c r="B82" s="57">
        <v>1</v>
      </c>
      <c r="C82" s="58" t="s">
        <v>20</v>
      </c>
      <c r="D82" s="59">
        <v>48</v>
      </c>
      <c r="E82" s="59"/>
      <c r="F82" s="59"/>
      <c r="G82" s="60">
        <f>F82/D82</f>
        <v>0</v>
      </c>
      <c r="H82" s="61"/>
      <c r="J82" s="62" t="s">
        <v>110</v>
      </c>
      <c r="K82" s="59"/>
      <c r="L82" s="59"/>
      <c r="M82" s="63"/>
      <c r="N82" s="63"/>
      <c r="O82" s="64"/>
    </row>
    <row r="83" spans="2:15" x14ac:dyDescent="0.2">
      <c r="B83" s="65">
        <v>1</v>
      </c>
      <c r="C83" s="66" t="s">
        <v>36</v>
      </c>
      <c r="D83" s="67">
        <v>48</v>
      </c>
      <c r="E83" s="67"/>
      <c r="F83" s="67"/>
      <c r="G83" s="60">
        <f t="shared" ref="G83:G91" si="0">F83/D83</f>
        <v>0</v>
      </c>
      <c r="H83" s="68"/>
      <c r="J83" s="69" t="s">
        <v>116</v>
      </c>
      <c r="K83" s="70"/>
      <c r="L83" s="70"/>
      <c r="M83" s="71"/>
      <c r="N83" s="71"/>
      <c r="O83" s="72"/>
    </row>
    <row r="84" spans="2:15" x14ac:dyDescent="0.2">
      <c r="B84" s="65">
        <v>1</v>
      </c>
      <c r="C84" s="66" t="s">
        <v>49</v>
      </c>
      <c r="D84" s="67">
        <v>48</v>
      </c>
      <c r="E84" s="67"/>
      <c r="F84" s="67"/>
      <c r="G84" s="60">
        <f t="shared" si="0"/>
        <v>0</v>
      </c>
      <c r="H84" s="68"/>
      <c r="J84" s="69" t="s">
        <v>117</v>
      </c>
      <c r="K84" s="67"/>
      <c r="L84" s="67"/>
      <c r="M84" s="73"/>
      <c r="N84" s="73"/>
      <c r="O84" s="72"/>
    </row>
    <row r="85" spans="2:15" x14ac:dyDescent="0.2">
      <c r="B85" s="65">
        <v>1</v>
      </c>
      <c r="C85" s="66" t="s">
        <v>62</v>
      </c>
      <c r="D85" s="67">
        <v>48</v>
      </c>
      <c r="E85" s="67"/>
      <c r="F85" s="67"/>
      <c r="G85" s="60">
        <f t="shared" si="0"/>
        <v>0</v>
      </c>
      <c r="H85" s="68"/>
      <c r="J85" s="74" t="s">
        <v>118</v>
      </c>
      <c r="K85" s="67"/>
      <c r="L85" s="67"/>
      <c r="M85" s="73"/>
      <c r="N85" s="73"/>
      <c r="O85" s="72"/>
    </row>
    <row r="86" spans="2:15" x14ac:dyDescent="0.2">
      <c r="B86" s="65">
        <v>1</v>
      </c>
      <c r="C86" s="66" t="s">
        <v>73</v>
      </c>
      <c r="D86" s="67">
        <v>48</v>
      </c>
      <c r="E86" s="67"/>
      <c r="F86" s="67"/>
      <c r="G86" s="60">
        <f t="shared" si="0"/>
        <v>0</v>
      </c>
      <c r="H86" s="68"/>
      <c r="J86" s="74" t="s">
        <v>119</v>
      </c>
      <c r="K86" s="67"/>
      <c r="L86" s="67"/>
      <c r="M86" s="73"/>
      <c r="N86" s="73"/>
      <c r="O86" s="72"/>
    </row>
    <row r="87" spans="2:15" x14ac:dyDescent="0.2">
      <c r="B87" s="65">
        <v>1</v>
      </c>
      <c r="C87" s="66" t="s">
        <v>78</v>
      </c>
      <c r="D87" s="67">
        <v>48</v>
      </c>
      <c r="E87" s="67"/>
      <c r="F87" s="67"/>
      <c r="G87" s="60">
        <f t="shared" si="0"/>
        <v>0</v>
      </c>
      <c r="H87" s="68"/>
      <c r="J87" s="74" t="s">
        <v>120</v>
      </c>
      <c r="K87" s="67"/>
      <c r="L87" s="67"/>
      <c r="M87" s="73"/>
      <c r="N87" s="73"/>
      <c r="O87" s="72"/>
    </row>
    <row r="88" spans="2:15" ht="13.5" thickBot="1" x14ac:dyDescent="0.25">
      <c r="B88" s="65">
        <v>1</v>
      </c>
      <c r="C88" s="66" t="s">
        <v>82</v>
      </c>
      <c r="D88" s="67">
        <v>48</v>
      </c>
      <c r="E88" s="67"/>
      <c r="F88" s="67"/>
      <c r="G88" s="60">
        <f t="shared" si="0"/>
        <v>0</v>
      </c>
      <c r="H88" s="68"/>
      <c r="J88" s="75" t="s">
        <v>121</v>
      </c>
      <c r="K88" s="76"/>
      <c r="L88" s="76"/>
      <c r="M88" s="77"/>
      <c r="N88" s="77"/>
      <c r="O88" s="78"/>
    </row>
    <row r="89" spans="2:15" x14ac:dyDescent="0.2">
      <c r="B89" s="65">
        <v>1</v>
      </c>
      <c r="C89" s="66" t="s">
        <v>122</v>
      </c>
      <c r="D89" s="67">
        <v>48</v>
      </c>
      <c r="E89" s="67"/>
      <c r="F89" s="67"/>
      <c r="G89" s="60">
        <f t="shared" si="0"/>
        <v>0</v>
      </c>
      <c r="H89" s="68"/>
    </row>
    <row r="90" spans="2:15" ht="25.5" x14ac:dyDescent="0.2">
      <c r="B90" s="65">
        <v>3</v>
      </c>
      <c r="C90" s="79" t="s">
        <v>123</v>
      </c>
      <c r="D90" s="67">
        <v>144</v>
      </c>
      <c r="E90" s="67"/>
      <c r="F90" s="67"/>
      <c r="G90" s="60">
        <f t="shared" si="0"/>
        <v>0</v>
      </c>
      <c r="H90" s="80"/>
    </row>
    <row r="91" spans="2:15" ht="13.5" thickBot="1" x14ac:dyDescent="0.25">
      <c r="B91" s="81">
        <v>1</v>
      </c>
      <c r="C91" s="82" t="s">
        <v>124</v>
      </c>
      <c r="D91" s="83">
        <v>48</v>
      </c>
      <c r="E91" s="83"/>
      <c r="F91" s="83"/>
      <c r="G91" s="84">
        <f t="shared" si="0"/>
        <v>0</v>
      </c>
      <c r="H91" s="85"/>
    </row>
    <row r="92" spans="2:15" ht="13.5" thickBot="1" x14ac:dyDescent="0.25">
      <c r="B92"/>
      <c r="C92" s="1"/>
      <c r="D92" s="86">
        <f>SUM(D82:D91)</f>
        <v>576</v>
      </c>
      <c r="G92" s="87">
        <f>AVERAGE(G82:G91)</f>
        <v>0</v>
      </c>
    </row>
    <row r="95" spans="2:15" x14ac:dyDescent="0.2">
      <c r="B95" s="88"/>
    </row>
    <row r="96" spans="2:15" x14ac:dyDescent="0.2">
      <c r="B96" s="89"/>
    </row>
  </sheetData>
  <mergeCells count="23">
    <mergeCell ref="M3:M4"/>
    <mergeCell ref="N3:N4"/>
    <mergeCell ref="O3:O4"/>
    <mergeCell ref="M1:M2"/>
    <mergeCell ref="N1:N2"/>
    <mergeCell ref="O1:O2"/>
    <mergeCell ref="G3:G4"/>
    <mergeCell ref="H3:H4"/>
    <mergeCell ref="A1:A4"/>
    <mergeCell ref="B1:B2"/>
    <mergeCell ref="C1:C2"/>
    <mergeCell ref="G1:J2"/>
    <mergeCell ref="B3:B4"/>
    <mergeCell ref="C3:C4"/>
    <mergeCell ref="D3:D4"/>
    <mergeCell ref="E3:E4"/>
    <mergeCell ref="F3:F4"/>
    <mergeCell ref="K1:K2"/>
    <mergeCell ref="L1:L2"/>
    <mergeCell ref="I3:I4"/>
    <mergeCell ref="J3:J4"/>
    <mergeCell ref="K3:K4"/>
    <mergeCell ref="L3:L4"/>
  </mergeCells>
  <phoneticPr fontId="12" type="noConversion"/>
  <conditionalFormatting sqref="A24:F31 A32:O79">
    <cfRule type="expression" dxfId="6" priority="2" stopIfTrue="1">
      <formula>$R24="x"</formula>
    </cfRule>
  </conditionalFormatting>
  <conditionalFormatting sqref="A5:O23">
    <cfRule type="expression" dxfId="5" priority="3" stopIfTrue="1">
      <formula>$R5="x"</formula>
    </cfRule>
  </conditionalFormatting>
  <conditionalFormatting sqref="B81 H81:H91">
    <cfRule type="expression" dxfId="4" priority="7" stopIfTrue="1">
      <formula>$R81="x"</formula>
    </cfRule>
  </conditionalFormatting>
  <conditionalFormatting sqref="G15:L22 G24:L31">
    <cfRule type="expression" dxfId="3" priority="8" stopIfTrue="1">
      <formula>#REF!="x"</formula>
    </cfRule>
  </conditionalFormatting>
  <conditionalFormatting sqref="L1">
    <cfRule type="expression" dxfId="2" priority="5" stopIfTrue="1">
      <formula>$R1="x"</formula>
    </cfRule>
  </conditionalFormatting>
  <conditionalFormatting sqref="M24:O31">
    <cfRule type="expression" dxfId="1" priority="4" stopIfTrue="1">
      <formula>$R24="x"</formula>
    </cfRule>
  </conditionalFormatting>
  <conditionalFormatting sqref="N1">
    <cfRule type="expression" dxfId="0" priority="6" stopIfTrue="1">
      <formula>$R1="x"</formula>
    </cfRule>
  </conditionalFormatting>
  <dataValidations disablePrompts="1" count="2">
    <dataValidation type="custom" allowBlank="1" showDropDown="1" sqref="K5:L14 K23:L79" xr:uid="{E49EAB3D-DC43-424B-8A3A-97E462286CBA}">
      <formula1>OR(NOT(ISERROR(DATEVALUE(K5))), AND(ISNUMBER(K5), LEFT(CELL("format", K5))="D"))</formula1>
    </dataValidation>
    <dataValidation type="list" allowBlank="1" sqref="O6 O61 O23 O32 O14 O51 O45 O41" xr:uid="{4B003811-7EE1-48E4-BBE7-196E30EE0332}">
      <formula1>"Activate PRO features"</formula1>
    </dataValidation>
  </dataValidations>
  <printOptions horizontalCentered="1"/>
  <pageMargins left="0.23622047244094491" right="0.23622047244094491" top="0.51181102362204722" bottom="0.51181102362204722" header="0.31496062992125984" footer="0.31496062992125984"/>
  <pageSetup paperSize="9" scale="56" fitToHeight="0" orientation="landscape" horizontalDpi="360" verticalDpi="36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" displayEmptyCellsAs="gap" markers="1" first="1" last="1" negative="1" displayXAxis="1" xr2:uid="{AFF14B23-2BF0-48BD-9CE6-397EECC4CA28}">
          <x14:colorSeries theme="7"/>
          <x14:colorNegative theme="5" tint="-0.499984740745262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'SEMANA 4'!K82:M82</xm:f>
              <xm:sqref>O82</xm:sqref>
            </x14:sparkline>
          </x14:sparklines>
        </x14:sparklineGroup>
        <x14:sparklineGroup manualMax="0" manualMin="0" lineWeight="1" displayEmptyCellsAs="gap" markers="1" first="1" last="1" negative="1" displayXAxis="1" xr2:uid="{AB93A1F8-1617-4E7F-859C-3BDF0932DCDA}">
          <x14:colorSeries theme="7"/>
          <x14:colorNegative theme="5" tint="-0.499984740745262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'SEMANA 4'!K83:M83</xm:f>
              <xm:sqref>O83</xm:sqref>
            </x14:sparkline>
            <x14:sparkline>
              <xm:f>'SEMANA 4'!K84:M84</xm:f>
              <xm:sqref>O84</xm:sqref>
            </x14:sparkline>
            <x14:sparkline>
              <xm:f>'SEMANA 4'!K85:M85</xm:f>
              <xm:sqref>O85</xm:sqref>
            </x14:sparkline>
            <x14:sparkline>
              <xm:f>'SEMANA 4'!K86:M86</xm:f>
              <xm:sqref>O86</xm:sqref>
            </x14:sparkline>
            <x14:sparkline>
              <xm:f>'SEMANA 4'!K87:M87</xm:f>
              <xm:sqref>O87</xm:sqref>
            </x14:sparkline>
            <x14:sparkline>
              <xm:f>'SEMANA 4'!K88:M88</xm:f>
              <xm:sqref>O88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1</vt:lpstr>
      <vt:lpstr>SEMANA 3</vt:lpstr>
      <vt:lpstr>SEMANA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Vera Canales</dc:creator>
  <cp:lastModifiedBy>Juan Fernando Vera Canales</cp:lastModifiedBy>
  <cp:lastPrinted>2026-01-15T14:56:51Z</cp:lastPrinted>
  <dcterms:created xsi:type="dcterms:W3CDTF">2026-01-05T19:35:15Z</dcterms:created>
  <dcterms:modified xsi:type="dcterms:W3CDTF">2026-01-21T21:22:45Z</dcterms:modified>
</cp:coreProperties>
</file>