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LOGISTICA 2026\"/>
    </mc:Choice>
  </mc:AlternateContent>
  <xr:revisionPtr revIDLastSave="0" documentId="13_ncr:1_{5A1E8DED-7774-43D5-843F-DFFFC957D4BC}" xr6:coauthVersionLast="47" xr6:coauthVersionMax="47" xr10:uidLastSave="{00000000-0000-0000-0000-000000000000}"/>
  <bookViews>
    <workbookView xWindow="-108" yWindow="-108" windowWidth="23256" windowHeight="12456" xr2:uid="{5EC252EA-D3D5-48B9-81EE-4BBBDB5D04E8}"/>
  </bookViews>
  <sheets>
    <sheet name="FERREYROS" sheetId="1" r:id="rId1"/>
  </sheets>
  <definedNames>
    <definedName name="_xlnm.Print_Area" localSheetId="0">FERREYROS!$A$1:$M$80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L22" i="1"/>
  <c r="L23" i="1"/>
  <c r="L24" i="1"/>
  <c r="L25" i="1"/>
  <c r="L26" i="1"/>
  <c r="L27" i="1"/>
  <c r="L52" i="1" s="1"/>
  <c r="L28" i="1"/>
  <c r="M51" i="1"/>
  <c r="L54" i="1" l="1"/>
  <c r="L56" i="1"/>
</calcChain>
</file>

<file path=xl/sharedStrings.xml><?xml version="1.0" encoding="utf-8"?>
<sst xmlns="http://schemas.openxmlformats.org/spreadsheetml/2006/main" count="93" uniqueCount="80">
  <si>
    <t>6). Asimismo, el Proveedor declara haber leído y aceptar lo señalado en el presente documento.</t>
  </si>
  <si>
    <t>5)- La recepción de esta Orden de Compra implica la aceptación y conformidad de los términos y condiciones particulares del servicio, compra y suministros.</t>
  </si>
  <si>
    <t xml:space="preserve">4). Es obligatorio escribir en la Factura el número de Orden de Compra y el número de Guía de Remisión. </t>
  </si>
  <si>
    <t xml:space="preserve">3). La FACTURA ORIGINAL se entregará con copia SUNAT y NEGOCIABLE, 01 fotocopia de GUIA DE REMISION, 01 fotocopia de la ORDEN DE COMPRA y 01 fotocopia de la COTIZACIÓN.  </t>
  </si>
  <si>
    <t>2). Al momento de entregar el servicio y/o bien, adjuntar GUÍA DE REMISIÓN ORIGINAL, 01 fotocopia de la ORDEN DE COMPRA, 01 fotocopia de certificados o informes  según corresponda.</t>
  </si>
  <si>
    <t>1). Esta ORDEN DE COMPRA tiene validez hasta la fecha indicada como "Fecha Entrega Proveedor". De no cumplir con la fecha acordada, esta ORDEN DE COMPRA quedará ANULADO.</t>
  </si>
  <si>
    <t xml:space="preserve">Notas Importantes: </t>
  </si>
  <si>
    <t>Parque Industrial Rio Seco  Mz C LOTE 17 Cerro Colorado Arequipa</t>
  </si>
  <si>
    <t>Entregar en:</t>
  </si>
  <si>
    <t>Parque Industrial Rio Seco Mz C lote 17 Cerro Colorado-Arequipa- Perú</t>
  </si>
  <si>
    <t>HP&amp;K INVERSIONES S.R.L.</t>
  </si>
  <si>
    <t xml:space="preserve">Factura a: </t>
  </si>
  <si>
    <t>HPK-L-F-03 Version:01  Fecha 01-03-19</t>
  </si>
  <si>
    <t>PROVEEDOR</t>
  </si>
  <si>
    <t>DIEGO MUÑOZ</t>
  </si>
  <si>
    <t>DIEGO JAIME</t>
  </si>
  <si>
    <t>ACEPTADO POR:</t>
  </si>
  <si>
    <t>APROBADO POR:</t>
  </si>
  <si>
    <t>ELABORADO POR:</t>
  </si>
  <si>
    <t>Consignar en la factura, el número de cuenta interbancaria impresa o con un sello. Incluir número de cuenta de detracción de ser el caso.</t>
  </si>
  <si>
    <t>USD</t>
  </si>
  <si>
    <t>Total</t>
  </si>
  <si>
    <t>%</t>
  </si>
  <si>
    <t>Otros %</t>
  </si>
  <si>
    <t xml:space="preserve">IGV </t>
  </si>
  <si>
    <t>Dscto.</t>
  </si>
  <si>
    <t>Subtotal</t>
  </si>
  <si>
    <t>UN</t>
  </si>
  <si>
    <t>3S-1349: Arandela dura de 31 mm de diámetro interior</t>
  </si>
  <si>
    <t>5M-0544: Perno de cabeza hexagonal de 1 1/8 pulg-7 x 4 1/2 pulg</t>
  </si>
  <si>
    <t>122-9351: Émbolo</t>
  </si>
  <si>
    <t>109-4670: Casquillo de émbolo de derivación</t>
  </si>
  <si>
    <t>1J-8569: Casquillo de pistón de 26,97 mm de largo</t>
  </si>
  <si>
    <t>8T-9044: Anillo de retención interno</t>
  </si>
  <si>
    <t>1U-2182: Cojinete de manguito de 83,032 mm de diámetro exterior</t>
  </si>
  <si>
    <t>V. TOTAL</t>
  </si>
  <si>
    <t>V.UNITARIO</t>
  </si>
  <si>
    <t>F. ENTREGA</t>
  </si>
  <si>
    <t>DESCRIPCION</t>
  </si>
  <si>
    <t>Nro. PARTE/COD</t>
  </si>
  <si>
    <t>CANT.</t>
  </si>
  <si>
    <t>ITEM</t>
  </si>
  <si>
    <t>BN</t>
  </si>
  <si>
    <t>Cta. Detraccion:</t>
  </si>
  <si>
    <t>Lugar entrega:</t>
  </si>
  <si>
    <t>BCP</t>
  </si>
  <si>
    <t>Cta Cte. Nº</t>
  </si>
  <si>
    <t>edwin.torres@ferreyros.com.pe</t>
  </si>
  <si>
    <t>E-mail:</t>
  </si>
  <si>
    <t>CREDITO</t>
  </si>
  <si>
    <t>Forma de pago:</t>
  </si>
  <si>
    <t>EDWIN TORRES</t>
  </si>
  <si>
    <t>Atención:</t>
  </si>
  <si>
    <t xml:space="preserve"> </t>
  </si>
  <si>
    <t>DOLARES</t>
  </si>
  <si>
    <t>Moneda:</t>
  </si>
  <si>
    <t>+51 949 624 559</t>
  </si>
  <si>
    <t>Teléfono:</t>
  </si>
  <si>
    <t>4900027706</t>
  </si>
  <si>
    <t>Ref. Pedido:</t>
  </si>
  <si>
    <t>Fecha Emisión:</t>
  </si>
  <si>
    <t>JR. CRISTOBAL DE PERALTA NORT NRO 820 URB SAN IDELFONSO</t>
  </si>
  <si>
    <t>Dirección:</t>
  </si>
  <si>
    <t>Ruc:</t>
  </si>
  <si>
    <t>FERREYROS</t>
  </si>
  <si>
    <t>Señor (es):</t>
  </si>
  <si>
    <t>ORDEN DE COMPRA</t>
  </si>
  <si>
    <t>www.hpkinv.com</t>
  </si>
  <si>
    <t>ventas@hpkinv.com</t>
  </si>
  <si>
    <t>Telf. 51-054-617431</t>
  </si>
  <si>
    <t>OPERACIONES</t>
  </si>
  <si>
    <t>REQ</t>
  </si>
  <si>
    <t>MZA. D LOTE. 8 URB. VILLA DEL MAR MOQUEGUA - ILO - ILO</t>
  </si>
  <si>
    <t>OT:</t>
  </si>
  <si>
    <t>RUC: 20532384088</t>
  </si>
  <si>
    <t>C.Costo:</t>
  </si>
  <si>
    <t>AREQUIPA</t>
  </si>
  <si>
    <t>Proyecto:</t>
  </si>
  <si>
    <t>D260026</t>
  </si>
  <si>
    <t>ORDEN DE COMPRA Nº: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</si>
</sst>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b/>
      <sz val="8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565656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sz val="11"/>
      <color rgb="FF444444"/>
      <name val="Arial"/>
      <family val="2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6A2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3">
    <xf numFmtId="0" fontId="0" fillId="0" borderId="0"/>
    <xf numFmtId="0" fontId="3" fillId="0" borderId="0"/>
    <xf numFmtId="0" fontId="13" fillId="0" borderId="0" applyNumberFormat="0" applyFill="0" applyBorder="0" applyAlignment="0" applyProtection="0"/>
  </cellStyleXfs>
  <cellXfs count="104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center"/>
    </xf>
    <xf numFmtId="0" fontId="6" fillId="0" borderId="0" xfId="1" applyFont="1"/>
    <xf numFmtId="0" fontId="0" fillId="2" borderId="1" xfId="0" applyFill="1" applyBorder="1"/>
    <xf numFmtId="0" fontId="0" fillId="2" borderId="2" xfId="0" applyFill="1" applyBorder="1"/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/>
    <xf numFmtId="0" fontId="4" fillId="2" borderId="3" xfId="1" applyFont="1" applyFill="1" applyBorder="1"/>
    <xf numFmtId="0" fontId="0" fillId="2" borderId="4" xfId="0" applyFill="1" applyBorder="1"/>
    <xf numFmtId="0" fontId="0" fillId="2" borderId="0" xfId="0" applyFill="1"/>
    <xf numFmtId="0" fontId="4" fillId="2" borderId="0" xfId="1" applyFont="1" applyFill="1"/>
    <xf numFmtId="0" fontId="4" fillId="2" borderId="5" xfId="1" applyFont="1" applyFill="1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7" fillId="2" borderId="8" xfId="0" applyFont="1" applyFill="1" applyBorder="1"/>
    <xf numFmtId="0" fontId="7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/>
    <xf numFmtId="4" fontId="0" fillId="0" borderId="0" xfId="0" applyNumberFormat="1"/>
    <xf numFmtId="0" fontId="9" fillId="0" borderId="0" xfId="0" applyFont="1"/>
    <xf numFmtId="4" fontId="1" fillId="0" borderId="1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" fontId="1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0" fontId="0" fillId="0" borderId="4" xfId="0" applyBorder="1" applyAlignment="1">
      <alignment horizontal="center"/>
    </xf>
    <xf numFmtId="9" fontId="0" fillId="0" borderId="0" xfId="0" applyNumberFormat="1"/>
    <xf numFmtId="0" fontId="0" fillId="0" borderId="5" xfId="0" applyBorder="1"/>
    <xf numFmtId="164" fontId="1" fillId="0" borderId="4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0" fillId="0" borderId="0" xfId="0" applyNumberFormat="1"/>
    <xf numFmtId="4" fontId="1" fillId="0" borderId="6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43" fontId="0" fillId="0" borderId="0" xfId="0" applyNumberFormat="1"/>
    <xf numFmtId="4" fontId="2" fillId="3" borderId="0" xfId="0" applyNumberFormat="1" applyFont="1" applyFill="1"/>
    <xf numFmtId="4" fontId="10" fillId="0" borderId="0" xfId="0" applyNumberFormat="1" applyFont="1"/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11" fillId="4" borderId="11" xfId="0" applyNumberFormat="1" applyFont="1" applyFill="1" applyBorder="1" applyAlignment="1">
      <alignment horizontal="left" vertical="center"/>
    </xf>
    <xf numFmtId="1" fontId="11" fillId="4" borderId="11" xfId="0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" fontId="11" fillId="4" borderId="11" xfId="0" applyNumberFormat="1" applyFont="1" applyFill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wrapText="1"/>
    </xf>
    <xf numFmtId="4" fontId="0" fillId="0" borderId="12" xfId="0" applyNumberFormat="1" applyBorder="1" applyAlignment="1">
      <alignment horizontal="center" wrapText="1"/>
    </xf>
    <xf numFmtId="4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0" borderId="0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4" fillId="0" borderId="0" xfId="0" applyFon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15" fillId="0" borderId="0" xfId="0" applyFont="1"/>
    <xf numFmtId="0" fontId="16" fillId="6" borderId="14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3" fillId="0" borderId="0" xfId="2"/>
    <xf numFmtId="0" fontId="1" fillId="0" borderId="0" xfId="0" applyFont="1"/>
    <xf numFmtId="49" fontId="17" fillId="7" borderId="17" xfId="0" applyNumberFormat="1" applyFont="1" applyFill="1" applyBorder="1" applyAlignment="1">
      <alignment horizontal="center"/>
    </xf>
    <xf numFmtId="49" fontId="17" fillId="7" borderId="18" xfId="0" applyNumberFormat="1" applyFont="1" applyFill="1" applyBorder="1" applyAlignment="1">
      <alignment horizontal="center"/>
    </xf>
    <xf numFmtId="49" fontId="17" fillId="7" borderId="19" xfId="0" applyNumberFormat="1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699D571F-3BA4-4018-B429-A115E050F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257176</xdr:colOff>
      <xdr:row>0</xdr:row>
      <xdr:rowOff>163046</xdr:rowOff>
    </xdr:from>
    <xdr:ext cx="1791521" cy="472326"/>
    <xdr:pic>
      <xdr:nvPicPr>
        <xdr:cNvPr id="2" name="1 Imagen" descr="http://hpkinv.com/images/logo%20sin%20brillofw.png">
          <a:extLst>
            <a:ext uri="{FF2B5EF4-FFF2-40B4-BE49-F238E27FC236}">
              <a16:creationId xmlns:a16="http://schemas.microsoft.com/office/drawing/2014/main" id="{45DB9B70-0931-4E7E-8346-B3D7F2E11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18" t="11594" r="7392" b="30476"/>
        <a:stretch/>
      </xdr:blipFill>
      <xdr:spPr bwMode="auto">
        <a:xfrm>
          <a:off x="257176" y="163046"/>
          <a:ext cx="1791521" cy="472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167640</xdr:colOff>
      <xdr:row>55</xdr:row>
      <xdr:rowOff>175260</xdr:rowOff>
    </xdr:from>
    <xdr:ext cx="2562321" cy="1592357"/>
    <xdr:pic>
      <xdr:nvPicPr>
        <xdr:cNvPr id="3" name="Imagen 2">
          <a:extLst>
            <a:ext uri="{FF2B5EF4-FFF2-40B4-BE49-F238E27FC236}">
              <a16:creationId xmlns:a16="http://schemas.microsoft.com/office/drawing/2014/main" id="{D257CB87-A102-4407-9E33-1C5EE59A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0233660"/>
          <a:ext cx="2562321" cy="1592357"/>
        </a:xfrm>
        <a:prstGeom prst="rect">
          <a:avLst/>
        </a:prstGeom>
      </xdr:spPr>
    </xdr:pic>
    <xdr:clientData/>
  </xdr:oneCellAnchor>
  <xdr:oneCellAnchor>
    <xdr:from>
      <xdr:col>5</xdr:col>
      <xdr:colOff>1554480</xdr:colOff>
      <xdr:row>56</xdr:row>
      <xdr:rowOff>46123</xdr:rowOff>
    </xdr:from>
    <xdr:ext cx="2948940" cy="1403582"/>
    <xdr:pic>
      <xdr:nvPicPr>
        <xdr:cNvPr id="4" name="Imagen 3">
          <a:extLst>
            <a:ext uri="{FF2B5EF4-FFF2-40B4-BE49-F238E27FC236}">
              <a16:creationId xmlns:a16="http://schemas.microsoft.com/office/drawing/2014/main" id="{7311CE60-550F-4C4D-9C10-CB0B7E76B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880" y="10287403"/>
          <a:ext cx="2948940" cy="14035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win.torres@ferreyros.com.pe" TargetMode="External"/><Relationship Id="rId2" Type="http://schemas.openxmlformats.org/officeDocument/2006/relationships/hyperlink" Target="mailto:ventas@hpkinv.com" TargetMode="External"/><Relationship Id="rId1" Type="http://schemas.openxmlformats.org/officeDocument/2006/relationships/hyperlink" Target="http://www.hpkinv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48F5-E76A-444D-9B5F-CCDE163B72B2}">
  <sheetPr codeName="Hoja1"/>
  <dimension ref="B1:S82"/>
  <sheetViews>
    <sheetView tabSelected="1" view="pageBreakPreview" zoomScaleSheetLayoutView="100" zoomScalePageLayoutView="70" workbookViewId="0">
      <selection activeCell="K15" sqref="K15:M15"/>
    </sheetView>
  </sheetViews>
  <sheetFormatPr baseColWidth="10" defaultRowHeight="14.4" x14ac:dyDescent="0.3"/>
  <cols>
    <col min="1" max="1" width="3.88671875" customWidth="1"/>
    <col min="2" max="2" width="2.88671875" customWidth="1"/>
    <col min="3" max="3" width="3" customWidth="1"/>
    <col min="4" max="4" width="5.5546875" customWidth="1"/>
    <col min="5" max="5" width="20.88671875" customWidth="1"/>
    <col min="6" max="6" width="64.88671875" customWidth="1"/>
    <col min="7" max="7" width="6" customWidth="1"/>
    <col min="8" max="8" width="10.6640625" customWidth="1"/>
    <col min="9" max="9" width="5.44140625" customWidth="1"/>
    <col min="10" max="10" width="5.33203125" customWidth="1"/>
    <col min="11" max="11" width="4.6640625" customWidth="1"/>
    <col min="12" max="12" width="2.109375" bestFit="1" customWidth="1"/>
    <col min="13" max="13" width="14.109375" customWidth="1"/>
  </cols>
  <sheetData>
    <row r="1" spans="2:15" ht="15" thickBot="1" x14ac:dyDescent="0.35"/>
    <row r="2" spans="2:15" ht="21" x14ac:dyDescent="0.4">
      <c r="H2" t="s">
        <v>79</v>
      </c>
      <c r="K2" s="103" t="s">
        <v>78</v>
      </c>
      <c r="L2" s="102"/>
      <c r="M2" s="101"/>
    </row>
    <row r="3" spans="2:15" x14ac:dyDescent="0.3">
      <c r="H3" t="s">
        <v>77</v>
      </c>
      <c r="I3" s="30" t="s">
        <v>76</v>
      </c>
      <c r="J3" s="30"/>
      <c r="K3" s="30"/>
      <c r="L3" s="30"/>
      <c r="M3" s="30"/>
    </row>
    <row r="4" spans="2:15" x14ac:dyDescent="0.3">
      <c r="B4" s="100" t="s">
        <v>10</v>
      </c>
      <c r="H4" t="s">
        <v>75</v>
      </c>
      <c r="I4" s="30"/>
      <c r="J4" s="30"/>
      <c r="K4" s="30"/>
      <c r="L4" s="30"/>
      <c r="M4" s="30"/>
    </row>
    <row r="5" spans="2:15" x14ac:dyDescent="0.3">
      <c r="B5" t="s">
        <v>74</v>
      </c>
      <c r="H5" t="s">
        <v>73</v>
      </c>
      <c r="I5" s="30">
        <v>368425</v>
      </c>
      <c r="J5" s="30"/>
      <c r="K5" s="30"/>
      <c r="L5" s="30"/>
      <c r="M5" s="30"/>
    </row>
    <row r="6" spans="2:15" x14ac:dyDescent="0.3">
      <c r="B6" t="s">
        <v>72</v>
      </c>
      <c r="H6" t="s">
        <v>71</v>
      </c>
      <c r="I6" s="30" t="s">
        <v>70</v>
      </c>
      <c r="J6" s="30"/>
      <c r="K6" s="30"/>
      <c r="L6" s="30"/>
      <c r="M6" s="30"/>
    </row>
    <row r="7" spans="2:15" x14ac:dyDescent="0.3">
      <c r="B7" t="s">
        <v>69</v>
      </c>
    </row>
    <row r="8" spans="2:15" x14ac:dyDescent="0.3">
      <c r="B8" s="99" t="s">
        <v>68</v>
      </c>
      <c r="F8" s="95"/>
    </row>
    <row r="9" spans="2:15" x14ac:dyDescent="0.3">
      <c r="B9" s="99" t="s">
        <v>67</v>
      </c>
    </row>
    <row r="10" spans="2:15" ht="7.5" customHeight="1" thickBot="1" x14ac:dyDescent="0.35"/>
    <row r="11" spans="2:15" ht="33.75" customHeight="1" thickBot="1" x14ac:dyDescent="0.35">
      <c r="B11" s="98" t="s">
        <v>66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6"/>
    </row>
    <row r="12" spans="2:15" x14ac:dyDescent="0.3">
      <c r="O12" s="95"/>
    </row>
    <row r="13" spans="2:15" x14ac:dyDescent="0.3">
      <c r="B13" t="s">
        <v>65</v>
      </c>
      <c r="E13" s="89" t="s">
        <v>64</v>
      </c>
      <c r="F13" s="89"/>
      <c r="G13" s="88"/>
      <c r="H13" t="s">
        <v>63</v>
      </c>
      <c r="K13" s="30">
        <v>20100028698</v>
      </c>
      <c r="L13" s="30"/>
      <c r="M13" s="30"/>
    </row>
    <row r="14" spans="2:15" x14ac:dyDescent="0.3">
      <c r="B14" t="s">
        <v>62</v>
      </c>
      <c r="E14" s="94" t="s">
        <v>61</v>
      </c>
      <c r="F14" s="89"/>
      <c r="G14" s="88"/>
      <c r="H14" t="s">
        <v>60</v>
      </c>
      <c r="K14" s="93">
        <f ca="1">TODAY()</f>
        <v>46042</v>
      </c>
      <c r="L14" s="30"/>
      <c r="M14" s="30"/>
    </row>
    <row r="15" spans="2:15" x14ac:dyDescent="0.3">
      <c r="B15" s="89"/>
      <c r="C15" s="89"/>
      <c r="D15" s="89"/>
      <c r="E15" s="89"/>
      <c r="F15" s="89"/>
      <c r="G15" s="88"/>
      <c r="H15" t="s">
        <v>59</v>
      </c>
      <c r="K15" s="92" t="s">
        <v>58</v>
      </c>
      <c r="L15" s="92"/>
      <c r="M15" s="92"/>
      <c r="O15" s="91"/>
    </row>
    <row r="16" spans="2:15" x14ac:dyDescent="0.3">
      <c r="B16" t="s">
        <v>57</v>
      </c>
      <c r="E16" s="90" t="s">
        <v>56</v>
      </c>
      <c r="F16" s="89"/>
      <c r="G16" s="88"/>
      <c r="H16" t="s">
        <v>55</v>
      </c>
      <c r="K16" s="30" t="s">
        <v>54</v>
      </c>
      <c r="L16" s="30"/>
      <c r="M16" s="30"/>
      <c r="N16" t="s">
        <v>53</v>
      </c>
    </row>
    <row r="17" spans="2:19" x14ac:dyDescent="0.3">
      <c r="B17" t="s">
        <v>52</v>
      </c>
      <c r="E17" s="89" t="s">
        <v>51</v>
      </c>
      <c r="F17" s="89"/>
      <c r="G17" s="88"/>
      <c r="H17" t="s">
        <v>50</v>
      </c>
      <c r="K17" s="30" t="s">
        <v>49</v>
      </c>
      <c r="L17" s="30"/>
      <c r="M17" s="30"/>
      <c r="S17">
        <v>1</v>
      </c>
    </row>
    <row r="18" spans="2:19" x14ac:dyDescent="0.3">
      <c r="B18" t="s">
        <v>48</v>
      </c>
      <c r="E18" s="87" t="s">
        <v>47</v>
      </c>
      <c r="F18" s="87"/>
      <c r="H18" t="s">
        <v>46</v>
      </c>
      <c r="I18" t="s">
        <v>45</v>
      </c>
    </row>
    <row r="19" spans="2:19" ht="15" customHeight="1" x14ac:dyDescent="0.3">
      <c r="B19" t="s">
        <v>44</v>
      </c>
      <c r="F19" s="86" t="s">
        <v>9</v>
      </c>
      <c r="H19" t="s">
        <v>43</v>
      </c>
      <c r="J19" t="s">
        <v>42</v>
      </c>
      <c r="K19" s="30"/>
      <c r="L19" s="30"/>
      <c r="M19" s="30"/>
    </row>
    <row r="21" spans="2:19" s="78" customFormat="1" ht="32.25" customHeight="1" x14ac:dyDescent="0.3">
      <c r="B21" s="80" t="s">
        <v>41</v>
      </c>
      <c r="C21" s="79"/>
      <c r="D21" s="83" t="s">
        <v>40</v>
      </c>
      <c r="E21" s="85" t="s">
        <v>39</v>
      </c>
      <c r="F21" s="84" t="s">
        <v>38</v>
      </c>
      <c r="G21" s="83" t="s">
        <v>27</v>
      </c>
      <c r="H21" s="82" t="s">
        <v>37</v>
      </c>
      <c r="I21" s="80" t="s">
        <v>36</v>
      </c>
      <c r="J21" s="81"/>
      <c r="K21" s="79"/>
      <c r="L21" s="80" t="s">
        <v>35</v>
      </c>
      <c r="M21" s="79"/>
    </row>
    <row r="22" spans="2:19" x14ac:dyDescent="0.3">
      <c r="B22" s="71">
        <v>1</v>
      </c>
      <c r="C22" s="71"/>
      <c r="D22" s="74">
        <v>2</v>
      </c>
      <c r="E22" s="72">
        <v>368425</v>
      </c>
      <c r="F22" s="68" t="s">
        <v>34</v>
      </c>
      <c r="G22" s="67" t="s">
        <v>27</v>
      </c>
      <c r="H22" s="66">
        <v>46041</v>
      </c>
      <c r="I22" s="77">
        <v>108.62</v>
      </c>
      <c r="J22" s="76">
        <v>69.44</v>
      </c>
      <c r="K22" s="75">
        <v>69.44</v>
      </c>
      <c r="L22" s="64">
        <f>D22*I22</f>
        <v>217.24</v>
      </c>
      <c r="M22" s="63"/>
    </row>
    <row r="23" spans="2:19" x14ac:dyDescent="0.3">
      <c r="B23" s="71">
        <v>2</v>
      </c>
      <c r="C23" s="71"/>
      <c r="D23" s="74">
        <v>1</v>
      </c>
      <c r="E23" s="72">
        <v>368425</v>
      </c>
      <c r="F23" s="68" t="s">
        <v>33</v>
      </c>
      <c r="G23" s="67" t="s">
        <v>27</v>
      </c>
      <c r="H23" s="66">
        <v>46041</v>
      </c>
      <c r="I23" s="65">
        <v>70.48</v>
      </c>
      <c r="J23" s="65"/>
      <c r="K23" s="65"/>
      <c r="L23" s="64">
        <f>D23*I23</f>
        <v>70.48</v>
      </c>
      <c r="M23" s="63"/>
    </row>
    <row r="24" spans="2:19" x14ac:dyDescent="0.3">
      <c r="B24" s="71">
        <v>3</v>
      </c>
      <c r="C24" s="71"/>
      <c r="D24" s="74">
        <v>2</v>
      </c>
      <c r="E24" s="72">
        <v>368425</v>
      </c>
      <c r="F24" s="68" t="s">
        <v>32</v>
      </c>
      <c r="G24" s="67" t="s">
        <v>27</v>
      </c>
      <c r="H24" s="66">
        <v>46041</v>
      </c>
      <c r="I24" s="64">
        <v>51.88</v>
      </c>
      <c r="J24" s="73"/>
      <c r="K24" s="63"/>
      <c r="L24" s="64">
        <f>D24*I24</f>
        <v>103.76</v>
      </c>
      <c r="M24" s="63"/>
    </row>
    <row r="25" spans="2:19" x14ac:dyDescent="0.3">
      <c r="B25" s="71">
        <v>4</v>
      </c>
      <c r="C25" s="71"/>
      <c r="D25" s="74">
        <v>2</v>
      </c>
      <c r="E25" s="72">
        <v>368425</v>
      </c>
      <c r="F25" s="68" t="s">
        <v>31</v>
      </c>
      <c r="G25" s="67" t="s">
        <v>27</v>
      </c>
      <c r="H25" s="66">
        <v>46041</v>
      </c>
      <c r="I25" s="64">
        <v>231.57</v>
      </c>
      <c r="J25" s="73"/>
      <c r="K25" s="63"/>
      <c r="L25" s="64">
        <f>D25*I25</f>
        <v>463.14</v>
      </c>
      <c r="M25" s="63"/>
    </row>
    <row r="26" spans="2:19" x14ac:dyDescent="0.3">
      <c r="B26" s="71">
        <v>5</v>
      </c>
      <c r="C26" s="71"/>
      <c r="D26" s="74">
        <v>2</v>
      </c>
      <c r="E26" s="72">
        <v>368425</v>
      </c>
      <c r="F26" s="68" t="s">
        <v>30</v>
      </c>
      <c r="G26" s="67" t="s">
        <v>27</v>
      </c>
      <c r="H26" s="66">
        <v>46041</v>
      </c>
      <c r="I26" s="64">
        <v>203.83</v>
      </c>
      <c r="J26" s="73"/>
      <c r="K26" s="63"/>
      <c r="L26" s="64">
        <f>D26*I26</f>
        <v>407.66</v>
      </c>
      <c r="M26" s="63"/>
    </row>
    <row r="27" spans="2:19" x14ac:dyDescent="0.3">
      <c r="B27" s="71">
        <v>6</v>
      </c>
      <c r="C27" s="71"/>
      <c r="D27" s="74">
        <v>4</v>
      </c>
      <c r="E27" s="72">
        <v>368425</v>
      </c>
      <c r="F27" s="68" t="s">
        <v>29</v>
      </c>
      <c r="G27" s="67" t="s">
        <v>27</v>
      </c>
      <c r="H27" s="66">
        <v>46041</v>
      </c>
      <c r="I27" s="64">
        <v>30.59</v>
      </c>
      <c r="J27" s="73"/>
      <c r="K27" s="63"/>
      <c r="L27" s="64">
        <f>D27*I27</f>
        <v>122.36</v>
      </c>
      <c r="M27" s="63"/>
    </row>
    <row r="28" spans="2:19" x14ac:dyDescent="0.3">
      <c r="B28" s="71">
        <v>7</v>
      </c>
      <c r="C28" s="71"/>
      <c r="D28" s="74">
        <v>4</v>
      </c>
      <c r="E28" s="72">
        <v>368425</v>
      </c>
      <c r="F28" s="68" t="s">
        <v>28</v>
      </c>
      <c r="G28" s="67" t="s">
        <v>27</v>
      </c>
      <c r="H28" s="66">
        <v>46041</v>
      </c>
      <c r="I28" s="64">
        <v>7.64</v>
      </c>
      <c r="J28" s="73"/>
      <c r="K28" s="63"/>
      <c r="L28" s="64">
        <f>D28*I28</f>
        <v>30.56</v>
      </c>
      <c r="M28" s="63"/>
    </row>
    <row r="29" spans="2:19" x14ac:dyDescent="0.3">
      <c r="B29" s="71">
        <v>8</v>
      </c>
      <c r="C29" s="71"/>
      <c r="D29" s="74"/>
      <c r="E29" s="72"/>
      <c r="F29" s="68"/>
      <c r="G29" s="67"/>
      <c r="H29" s="66"/>
      <c r="I29" s="64"/>
      <c r="J29" s="73"/>
      <c r="K29" s="63"/>
      <c r="L29" s="64"/>
      <c r="M29" s="63"/>
    </row>
    <row r="30" spans="2:19" x14ac:dyDescent="0.3">
      <c r="B30" s="71">
        <v>9</v>
      </c>
      <c r="C30" s="71"/>
      <c r="D30" s="70"/>
      <c r="E30" s="72"/>
      <c r="F30" s="68"/>
      <c r="G30" s="67"/>
      <c r="H30" s="66"/>
      <c r="I30" s="64"/>
      <c r="J30" s="73"/>
      <c r="K30" s="63"/>
      <c r="L30" s="64"/>
      <c r="M30" s="63"/>
    </row>
    <row r="31" spans="2:19" x14ac:dyDescent="0.3">
      <c r="B31" s="71">
        <v>10</v>
      </c>
      <c r="C31" s="71"/>
      <c r="D31" s="70"/>
      <c r="E31" s="72"/>
      <c r="F31" s="68"/>
      <c r="G31" s="67"/>
      <c r="H31" s="66"/>
      <c r="I31" s="64"/>
      <c r="J31" s="73"/>
      <c r="K31" s="63"/>
      <c r="L31" s="64"/>
      <c r="M31" s="63"/>
    </row>
    <row r="32" spans="2:19" x14ac:dyDescent="0.3">
      <c r="B32" s="71">
        <v>11</v>
      </c>
      <c r="C32" s="71"/>
      <c r="D32" s="70"/>
      <c r="E32" s="72"/>
      <c r="F32" s="68"/>
      <c r="G32" s="67"/>
      <c r="H32" s="66"/>
      <c r="I32" s="64"/>
      <c r="J32" s="73"/>
      <c r="K32" s="63"/>
      <c r="L32" s="64"/>
      <c r="M32" s="63"/>
    </row>
    <row r="33" spans="2:13" x14ac:dyDescent="0.3">
      <c r="B33" s="71">
        <v>12</v>
      </c>
      <c r="C33" s="71"/>
      <c r="D33" s="70"/>
      <c r="E33" s="72"/>
      <c r="F33" s="68"/>
      <c r="G33" s="67"/>
      <c r="H33" s="66"/>
      <c r="I33" s="64"/>
      <c r="J33" s="73"/>
      <c r="K33" s="63"/>
      <c r="L33" s="64"/>
      <c r="M33" s="63"/>
    </row>
    <row r="34" spans="2:13" x14ac:dyDescent="0.3">
      <c r="B34" s="71">
        <v>13</v>
      </c>
      <c r="C34" s="71"/>
      <c r="D34" s="70"/>
      <c r="E34" s="72"/>
      <c r="F34" s="68"/>
      <c r="G34" s="67"/>
      <c r="H34" s="66"/>
      <c r="I34" s="64"/>
      <c r="J34" s="73"/>
      <c r="K34" s="63"/>
      <c r="L34" s="64"/>
      <c r="M34" s="63"/>
    </row>
    <row r="35" spans="2:13" x14ac:dyDescent="0.3">
      <c r="B35" s="71">
        <v>14</v>
      </c>
      <c r="C35" s="71"/>
      <c r="D35" s="70"/>
      <c r="E35" s="72"/>
      <c r="F35" s="68"/>
      <c r="G35" s="67"/>
      <c r="H35" s="66"/>
      <c r="I35" s="64"/>
      <c r="J35" s="73"/>
      <c r="K35" s="63"/>
      <c r="L35" s="64"/>
      <c r="M35" s="63"/>
    </row>
    <row r="36" spans="2:13" x14ac:dyDescent="0.3">
      <c r="B36" s="71">
        <v>15</v>
      </c>
      <c r="C36" s="71"/>
      <c r="D36" s="70"/>
      <c r="E36" s="72"/>
      <c r="F36" s="68"/>
      <c r="G36" s="67"/>
      <c r="H36" s="66"/>
      <c r="I36" s="64"/>
      <c r="J36" s="73"/>
      <c r="K36" s="63"/>
      <c r="L36" s="64"/>
      <c r="M36" s="63"/>
    </row>
    <row r="37" spans="2:13" x14ac:dyDescent="0.3">
      <c r="B37" s="71">
        <v>16</v>
      </c>
      <c r="C37" s="71"/>
      <c r="D37" s="70"/>
      <c r="E37" s="72"/>
      <c r="F37" s="68"/>
      <c r="G37" s="67"/>
      <c r="H37" s="66"/>
      <c r="I37" s="64"/>
      <c r="J37" s="73"/>
      <c r="K37" s="63"/>
      <c r="L37" s="64"/>
      <c r="M37" s="63"/>
    </row>
    <row r="38" spans="2:13" x14ac:dyDescent="0.3">
      <c r="B38" s="71">
        <v>17</v>
      </c>
      <c r="C38" s="71"/>
      <c r="D38" s="70"/>
      <c r="E38" s="72"/>
      <c r="F38" s="68"/>
      <c r="G38" s="67"/>
      <c r="H38" s="66"/>
      <c r="I38" s="64"/>
      <c r="J38" s="73"/>
      <c r="K38" s="63"/>
      <c r="L38" s="64"/>
      <c r="M38" s="63"/>
    </row>
    <row r="39" spans="2:13" x14ac:dyDescent="0.3">
      <c r="B39" s="71">
        <v>18</v>
      </c>
      <c r="C39" s="71"/>
      <c r="D39" s="70"/>
      <c r="E39" s="72"/>
      <c r="F39" s="68"/>
      <c r="G39" s="67"/>
      <c r="H39" s="66"/>
      <c r="I39" s="64"/>
      <c r="J39" s="73"/>
      <c r="K39" s="63"/>
      <c r="L39" s="64"/>
      <c r="M39" s="63"/>
    </row>
    <row r="40" spans="2:13" x14ac:dyDescent="0.3">
      <c r="B40" s="71">
        <v>19</v>
      </c>
      <c r="C40" s="71"/>
      <c r="D40" s="70"/>
      <c r="E40" s="72"/>
      <c r="F40" s="68"/>
      <c r="G40" s="67"/>
      <c r="H40" s="66"/>
      <c r="I40" s="64"/>
      <c r="J40" s="73"/>
      <c r="K40" s="63"/>
      <c r="L40" s="64"/>
      <c r="M40" s="63"/>
    </row>
    <row r="41" spans="2:13" x14ac:dyDescent="0.3">
      <c r="B41" s="71">
        <v>20</v>
      </c>
      <c r="C41" s="71"/>
      <c r="D41" s="70"/>
      <c r="E41" s="72"/>
      <c r="F41" s="68"/>
      <c r="G41" s="67"/>
      <c r="H41" s="66"/>
      <c r="I41" s="64"/>
      <c r="J41" s="73"/>
      <c r="K41" s="63"/>
      <c r="L41" s="64"/>
      <c r="M41" s="63"/>
    </row>
    <row r="42" spans="2:13" x14ac:dyDescent="0.3">
      <c r="B42" s="71">
        <v>21</v>
      </c>
      <c r="C42" s="71"/>
      <c r="D42" s="70"/>
      <c r="E42" s="72"/>
      <c r="F42" s="68"/>
      <c r="G42" s="67"/>
      <c r="H42" s="66"/>
      <c r="I42" s="65"/>
      <c r="J42" s="65"/>
      <c r="K42" s="65"/>
      <c r="L42" s="64"/>
      <c r="M42" s="63"/>
    </row>
    <row r="43" spans="2:13" x14ac:dyDescent="0.3">
      <c r="B43" s="71">
        <v>22</v>
      </c>
      <c r="C43" s="71"/>
      <c r="D43" s="70"/>
      <c r="E43" s="72"/>
      <c r="F43" s="68"/>
      <c r="G43" s="67"/>
      <c r="H43" s="66"/>
      <c r="I43" s="65"/>
      <c r="J43" s="65"/>
      <c r="K43" s="65"/>
      <c r="L43" s="64"/>
      <c r="M43" s="63"/>
    </row>
    <row r="44" spans="2:13" x14ac:dyDescent="0.3">
      <c r="B44" s="71">
        <v>23</v>
      </c>
      <c r="C44" s="71"/>
      <c r="D44" s="70"/>
      <c r="E44" s="72"/>
      <c r="F44" s="68"/>
      <c r="G44" s="67"/>
      <c r="H44" s="66"/>
      <c r="I44" s="65"/>
      <c r="J44" s="65"/>
      <c r="K44" s="65"/>
      <c r="L44" s="64"/>
      <c r="M44" s="63"/>
    </row>
    <row r="45" spans="2:13" x14ac:dyDescent="0.3">
      <c r="B45" s="71">
        <v>24</v>
      </c>
      <c r="C45" s="71"/>
      <c r="D45" s="70"/>
      <c r="E45" s="72"/>
      <c r="F45" s="68"/>
      <c r="G45" s="67"/>
      <c r="H45" s="66"/>
      <c r="I45" s="65"/>
      <c r="J45" s="65"/>
      <c r="K45" s="65"/>
      <c r="L45" s="64"/>
      <c r="M45" s="63"/>
    </row>
    <row r="46" spans="2:13" x14ac:dyDescent="0.3">
      <c r="B46" s="71">
        <v>25</v>
      </c>
      <c r="C46" s="71"/>
      <c r="D46" s="70"/>
      <c r="E46" s="72"/>
      <c r="F46" s="68"/>
      <c r="G46" s="67"/>
      <c r="H46" s="66"/>
      <c r="I46" s="65"/>
      <c r="J46" s="65"/>
      <c r="K46" s="65"/>
      <c r="L46" s="64"/>
      <c r="M46" s="63"/>
    </row>
    <row r="47" spans="2:13" x14ac:dyDescent="0.3">
      <c r="B47" s="71">
        <v>26</v>
      </c>
      <c r="C47" s="71"/>
      <c r="D47" s="70"/>
      <c r="E47" s="72"/>
      <c r="F47" s="68"/>
      <c r="G47" s="67"/>
      <c r="H47" s="66"/>
      <c r="I47" s="65"/>
      <c r="J47" s="65"/>
      <c r="K47" s="65"/>
      <c r="L47" s="64"/>
      <c r="M47" s="63"/>
    </row>
    <row r="48" spans="2:13" x14ac:dyDescent="0.3">
      <c r="B48" s="71">
        <v>27</v>
      </c>
      <c r="C48" s="71"/>
      <c r="D48" s="70"/>
      <c r="E48" s="72"/>
      <c r="F48" s="68"/>
      <c r="G48" s="67"/>
      <c r="H48" s="66"/>
      <c r="I48" s="65"/>
      <c r="J48" s="65"/>
      <c r="K48" s="65"/>
      <c r="L48" s="64"/>
      <c r="M48" s="63"/>
    </row>
    <row r="49" spans="2:13" x14ac:dyDescent="0.3">
      <c r="B49" s="71">
        <v>28</v>
      </c>
      <c r="C49" s="71"/>
      <c r="D49" s="70"/>
      <c r="E49" s="69"/>
      <c r="F49" s="68"/>
      <c r="G49" s="67"/>
      <c r="H49" s="66"/>
      <c r="I49" s="65"/>
      <c r="J49" s="65"/>
      <c r="K49" s="65"/>
      <c r="L49" s="64"/>
      <c r="M49" s="63"/>
    </row>
    <row r="50" spans="2:13" x14ac:dyDescent="0.3">
      <c r="B50" s="71">
        <v>29</v>
      </c>
      <c r="C50" s="71"/>
      <c r="D50" s="70"/>
      <c r="E50" s="69"/>
      <c r="F50" s="68"/>
      <c r="G50" s="67"/>
      <c r="H50" s="66"/>
      <c r="I50" s="65"/>
      <c r="J50" s="65"/>
      <c r="K50" s="65"/>
      <c r="L50" s="64"/>
      <c r="M50" s="63"/>
    </row>
    <row r="51" spans="2:13" x14ac:dyDescent="0.3">
      <c r="F51" s="62"/>
      <c r="J51" s="54"/>
      <c r="M51" s="61" t="e">
        <f>#REF!-L53</f>
        <v>#REF!</v>
      </c>
    </row>
    <row r="52" spans="2:13" x14ac:dyDescent="0.3">
      <c r="F52" s="60"/>
      <c r="H52" s="46"/>
      <c r="I52" s="59" t="s">
        <v>26</v>
      </c>
      <c r="J52" s="58"/>
      <c r="K52" s="57" t="s">
        <v>20</v>
      </c>
      <c r="L52" s="56">
        <f>SUM(L22:M50)-L53</f>
        <v>1188.7599999999998</v>
      </c>
      <c r="M52" s="55"/>
    </row>
    <row r="53" spans="2:13" x14ac:dyDescent="0.3">
      <c r="F53" s="54"/>
      <c r="H53" s="46"/>
      <c r="I53" s="51" t="s">
        <v>25</v>
      </c>
      <c r="J53" s="50"/>
      <c r="K53" s="49" t="s">
        <v>20</v>
      </c>
      <c r="L53" s="53">
        <v>226.44</v>
      </c>
      <c r="M53" s="52"/>
    </row>
    <row r="54" spans="2:13" x14ac:dyDescent="0.3">
      <c r="F54" s="39"/>
      <c r="H54" s="46"/>
      <c r="I54" s="51" t="s">
        <v>24</v>
      </c>
      <c r="J54" s="50">
        <v>0.18</v>
      </c>
      <c r="K54" s="49" t="s">
        <v>20</v>
      </c>
      <c r="L54" s="48">
        <f>+L52*J54</f>
        <v>213.97679999999994</v>
      </c>
      <c r="M54" s="47"/>
    </row>
    <row r="55" spans="2:13" x14ac:dyDescent="0.3">
      <c r="H55" s="46"/>
      <c r="I55" s="51" t="s">
        <v>23</v>
      </c>
      <c r="J55" s="50" t="s">
        <v>22</v>
      </c>
      <c r="K55" s="49" t="s">
        <v>20</v>
      </c>
      <c r="L55" s="48"/>
      <c r="M55" s="47"/>
    </row>
    <row r="56" spans="2:13" x14ac:dyDescent="0.3">
      <c r="F56" s="39"/>
      <c r="H56" s="46"/>
      <c r="I56" s="45" t="s">
        <v>21</v>
      </c>
      <c r="J56" s="44"/>
      <c r="K56" s="43" t="s">
        <v>20</v>
      </c>
      <c r="L56" s="42">
        <f>+L52+L54+L55</f>
        <v>1402.7367999999997</v>
      </c>
      <c r="M56" s="41"/>
    </row>
    <row r="57" spans="2:13" x14ac:dyDescent="0.3">
      <c r="M57" s="39"/>
    </row>
    <row r="58" spans="2:13" ht="15.6" x14ac:dyDescent="0.3">
      <c r="B58" s="40" t="s">
        <v>19</v>
      </c>
      <c r="M58" s="39"/>
    </row>
    <row r="59" spans="2:13" x14ac:dyDescent="0.3">
      <c r="B59" s="38"/>
    </row>
    <row r="60" spans="2:13" x14ac:dyDescent="0.3">
      <c r="B60" s="36"/>
      <c r="C60" s="37"/>
      <c r="D60" s="37"/>
      <c r="E60" s="37"/>
      <c r="F60" s="36"/>
      <c r="G60" s="35"/>
      <c r="H60" s="25"/>
      <c r="I60" s="24"/>
      <c r="J60" s="24"/>
      <c r="K60" s="24"/>
      <c r="L60" s="24"/>
      <c r="M60" s="23"/>
    </row>
    <row r="61" spans="2:13" x14ac:dyDescent="0.3">
      <c r="B61" s="33"/>
      <c r="C61" s="34"/>
      <c r="D61" s="34"/>
      <c r="E61" s="34"/>
      <c r="F61" s="33"/>
      <c r="G61" s="32"/>
      <c r="H61" s="31"/>
      <c r="I61" s="30"/>
      <c r="J61" s="30"/>
      <c r="K61" s="30"/>
      <c r="L61" s="30"/>
      <c r="M61" s="29"/>
    </row>
    <row r="62" spans="2:13" x14ac:dyDescent="0.3">
      <c r="B62" s="27"/>
      <c r="C62" s="28"/>
      <c r="D62" s="28"/>
      <c r="E62" s="28"/>
      <c r="F62" s="27"/>
      <c r="G62" s="26"/>
      <c r="H62" s="22"/>
      <c r="I62" s="21"/>
      <c r="J62" s="21"/>
      <c r="K62" s="21"/>
      <c r="L62" s="21"/>
      <c r="M62" s="20"/>
    </row>
    <row r="63" spans="2:13" x14ac:dyDescent="0.3">
      <c r="B63" s="25" t="s">
        <v>18</v>
      </c>
      <c r="C63" s="24"/>
      <c r="D63" s="24"/>
      <c r="E63" s="24"/>
      <c r="F63" s="25" t="s">
        <v>17</v>
      </c>
      <c r="G63" s="23"/>
      <c r="H63" s="25" t="s">
        <v>16</v>
      </c>
      <c r="I63" s="24"/>
      <c r="J63" s="24"/>
      <c r="K63" s="24"/>
      <c r="L63" s="24"/>
      <c r="M63" s="23"/>
    </row>
    <row r="64" spans="2:13" x14ac:dyDescent="0.3">
      <c r="B64" s="22" t="s">
        <v>15</v>
      </c>
      <c r="C64" s="21"/>
      <c r="D64" s="21"/>
      <c r="E64" s="21"/>
      <c r="F64" s="22" t="s">
        <v>14</v>
      </c>
      <c r="G64" s="20"/>
      <c r="H64" s="22" t="s">
        <v>13</v>
      </c>
      <c r="I64" s="21"/>
      <c r="J64" s="21"/>
      <c r="K64" s="21"/>
      <c r="L64" s="21"/>
      <c r="M64" s="20"/>
    </row>
    <row r="66" spans="2:13" x14ac:dyDescent="0.3">
      <c r="B66" s="19"/>
    </row>
    <row r="67" spans="2:13" ht="3.75" customHeight="1" x14ac:dyDescent="0.3">
      <c r="B67" s="18" t="s">
        <v>12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6"/>
    </row>
    <row r="68" spans="2:13" x14ac:dyDescent="0.3">
      <c r="B68" s="13"/>
      <c r="C68" s="12"/>
      <c r="D68" s="12"/>
      <c r="E68" s="11" t="s">
        <v>11</v>
      </c>
      <c r="F68" s="11" t="s">
        <v>10</v>
      </c>
      <c r="G68" s="11"/>
      <c r="H68" s="11"/>
      <c r="I68" s="11"/>
      <c r="J68" s="11"/>
      <c r="K68" s="11"/>
      <c r="L68" s="11"/>
      <c r="M68" s="10"/>
    </row>
    <row r="69" spans="2:13" x14ac:dyDescent="0.3">
      <c r="B69" s="13"/>
      <c r="C69" s="12"/>
      <c r="D69" s="12"/>
      <c r="E69" s="11"/>
      <c r="F69" s="15">
        <v>20532384088</v>
      </c>
      <c r="G69" s="14"/>
      <c r="H69" s="14"/>
      <c r="I69" s="11"/>
      <c r="J69" s="11"/>
      <c r="K69" s="11"/>
      <c r="L69" s="11"/>
      <c r="M69" s="10"/>
    </row>
    <row r="70" spans="2:13" x14ac:dyDescent="0.3">
      <c r="B70" s="13"/>
      <c r="C70" s="12"/>
      <c r="D70" s="12"/>
      <c r="E70" s="11"/>
      <c r="F70" s="11" t="s">
        <v>9</v>
      </c>
      <c r="G70" s="11"/>
      <c r="H70" s="11"/>
      <c r="I70" s="11"/>
      <c r="J70" s="11"/>
      <c r="K70" s="11"/>
      <c r="L70" s="11"/>
      <c r="M70" s="10"/>
    </row>
    <row r="71" spans="2:13" x14ac:dyDescent="0.3">
      <c r="B71" s="13"/>
      <c r="C71" s="12"/>
      <c r="D71" s="12"/>
      <c r="E71" s="11" t="s">
        <v>8</v>
      </c>
      <c r="F71" s="11" t="s">
        <v>7</v>
      </c>
      <c r="G71" s="11"/>
      <c r="H71" s="11"/>
      <c r="I71" s="11"/>
      <c r="J71" s="11"/>
      <c r="K71" s="11"/>
      <c r="L71" s="11"/>
      <c r="M71" s="10"/>
    </row>
    <row r="72" spans="2:13" ht="5.25" customHeight="1" x14ac:dyDescent="0.3">
      <c r="B72" s="9"/>
      <c r="C72" s="8"/>
      <c r="D72" s="8"/>
      <c r="E72" s="7"/>
      <c r="F72" s="6"/>
      <c r="G72" s="6"/>
      <c r="H72" s="6"/>
      <c r="I72" s="6"/>
      <c r="J72" s="6"/>
      <c r="K72" s="6"/>
      <c r="L72" s="6"/>
      <c r="M72" s="5"/>
    </row>
    <row r="73" spans="2:13" x14ac:dyDescent="0.3">
      <c r="D73" s="4"/>
      <c r="E73" s="3"/>
    </row>
    <row r="74" spans="2:13" x14ac:dyDescent="0.3">
      <c r="B74" s="1" t="s">
        <v>6</v>
      </c>
      <c r="C74" s="1"/>
      <c r="D74" s="4"/>
      <c r="E74" s="3"/>
    </row>
    <row r="75" spans="2:13" x14ac:dyDescent="0.3">
      <c r="B75" s="2" t="s">
        <v>5</v>
      </c>
      <c r="C75" s="1"/>
      <c r="D75" s="4"/>
      <c r="E75" s="3"/>
    </row>
    <row r="76" spans="2:13" x14ac:dyDescent="0.3">
      <c r="B76" s="2" t="s">
        <v>4</v>
      </c>
      <c r="C76" s="1"/>
      <c r="D76" s="4"/>
      <c r="E76" s="3"/>
    </row>
    <row r="77" spans="2:13" x14ac:dyDescent="0.3">
      <c r="B77" s="2" t="s">
        <v>3</v>
      </c>
      <c r="C77" s="1"/>
    </row>
    <row r="78" spans="2:13" x14ac:dyDescent="0.3">
      <c r="B78" s="2" t="s">
        <v>2</v>
      </c>
      <c r="C78" s="1"/>
    </row>
    <row r="79" spans="2:13" x14ac:dyDescent="0.3">
      <c r="B79" s="2" t="s">
        <v>1</v>
      </c>
      <c r="C79" s="1"/>
    </row>
    <row r="80" spans="2:13" x14ac:dyDescent="0.3">
      <c r="B80" s="2" t="s">
        <v>0</v>
      </c>
      <c r="C80" s="1"/>
    </row>
    <row r="81" customFormat="1" ht="9.75" customHeight="1" x14ac:dyDescent="0.3"/>
    <row r="82" customFormat="1" ht="14.25" customHeight="1" x14ac:dyDescent="0.3"/>
  </sheetData>
  <mergeCells count="123">
    <mergeCell ref="K2:M2"/>
    <mergeCell ref="I3:M3"/>
    <mergeCell ref="I4:M4"/>
    <mergeCell ref="I5:M5"/>
    <mergeCell ref="I6:M6"/>
    <mergeCell ref="B11:M11"/>
    <mergeCell ref="E13:F13"/>
    <mergeCell ref="K13:M13"/>
    <mergeCell ref="E14:F14"/>
    <mergeCell ref="K14:M14"/>
    <mergeCell ref="B15:F15"/>
    <mergeCell ref="K15:M15"/>
    <mergeCell ref="E16:F16"/>
    <mergeCell ref="K16:M16"/>
    <mergeCell ref="E17:F17"/>
    <mergeCell ref="K17:M17"/>
    <mergeCell ref="E18:F18"/>
    <mergeCell ref="K19:M19"/>
    <mergeCell ref="B21:C21"/>
    <mergeCell ref="I21:K21"/>
    <mergeCell ref="L21:M21"/>
    <mergeCell ref="B22:C22"/>
    <mergeCell ref="I22:K22"/>
    <mergeCell ref="L22:M22"/>
    <mergeCell ref="B23:C23"/>
    <mergeCell ref="I23:K23"/>
    <mergeCell ref="L23:M23"/>
    <mergeCell ref="B24:C24"/>
    <mergeCell ref="I24:K24"/>
    <mergeCell ref="L24:M24"/>
    <mergeCell ref="B25:C25"/>
    <mergeCell ref="I25:K25"/>
    <mergeCell ref="L25:M25"/>
    <mergeCell ref="B26:C26"/>
    <mergeCell ref="I26:K26"/>
    <mergeCell ref="L26:M26"/>
    <mergeCell ref="B27:C27"/>
    <mergeCell ref="I27:K27"/>
    <mergeCell ref="L27:M27"/>
    <mergeCell ref="B28:C28"/>
    <mergeCell ref="I28:K28"/>
    <mergeCell ref="L28:M28"/>
    <mergeCell ref="B29:C29"/>
    <mergeCell ref="I29:K29"/>
    <mergeCell ref="L29:M29"/>
    <mergeCell ref="B30:C30"/>
    <mergeCell ref="I30:K30"/>
    <mergeCell ref="L30:M30"/>
    <mergeCell ref="B31:C31"/>
    <mergeCell ref="I31:K31"/>
    <mergeCell ref="L31:M31"/>
    <mergeCell ref="B32:C32"/>
    <mergeCell ref="I32:K32"/>
    <mergeCell ref="L32:M32"/>
    <mergeCell ref="B33:C33"/>
    <mergeCell ref="I33:K33"/>
    <mergeCell ref="L33:M33"/>
    <mergeCell ref="B34:C34"/>
    <mergeCell ref="I34:K34"/>
    <mergeCell ref="L34:M34"/>
    <mergeCell ref="B35:C35"/>
    <mergeCell ref="I35:K35"/>
    <mergeCell ref="L35:M35"/>
    <mergeCell ref="B36:C36"/>
    <mergeCell ref="I36:K36"/>
    <mergeCell ref="L36:M36"/>
    <mergeCell ref="B37:C37"/>
    <mergeCell ref="I37:K37"/>
    <mergeCell ref="L37:M37"/>
    <mergeCell ref="B38:C38"/>
    <mergeCell ref="I38:K38"/>
    <mergeCell ref="L38:M38"/>
    <mergeCell ref="B39:C39"/>
    <mergeCell ref="I39:K39"/>
    <mergeCell ref="L39:M39"/>
    <mergeCell ref="B40:C40"/>
    <mergeCell ref="I40:K40"/>
    <mergeCell ref="L40:M40"/>
    <mergeCell ref="B41:C41"/>
    <mergeCell ref="I41:K41"/>
    <mergeCell ref="L41:M41"/>
    <mergeCell ref="B42:C42"/>
    <mergeCell ref="I42:K42"/>
    <mergeCell ref="L42:M42"/>
    <mergeCell ref="B43:C43"/>
    <mergeCell ref="I43:K43"/>
    <mergeCell ref="L43:M43"/>
    <mergeCell ref="B44:C44"/>
    <mergeCell ref="I44:K44"/>
    <mergeCell ref="L44:M44"/>
    <mergeCell ref="B45:C45"/>
    <mergeCell ref="I45:K45"/>
    <mergeCell ref="L45:M45"/>
    <mergeCell ref="B46:C46"/>
    <mergeCell ref="I46:K46"/>
    <mergeCell ref="L46:M46"/>
    <mergeCell ref="B47:C47"/>
    <mergeCell ref="I47:K47"/>
    <mergeCell ref="L47:M47"/>
    <mergeCell ref="B48:C48"/>
    <mergeCell ref="I48:K48"/>
    <mergeCell ref="L48:M48"/>
    <mergeCell ref="B49:C49"/>
    <mergeCell ref="I49:K49"/>
    <mergeCell ref="L49:M49"/>
    <mergeCell ref="B50:C50"/>
    <mergeCell ref="I50:K50"/>
    <mergeCell ref="L50:M50"/>
    <mergeCell ref="L52:M52"/>
    <mergeCell ref="L53:M53"/>
    <mergeCell ref="L54:M54"/>
    <mergeCell ref="L55:M55"/>
    <mergeCell ref="L56:M56"/>
    <mergeCell ref="B60:E62"/>
    <mergeCell ref="F60:G62"/>
    <mergeCell ref="H60:M62"/>
    <mergeCell ref="G69:H69"/>
    <mergeCell ref="B63:E63"/>
    <mergeCell ref="F63:G63"/>
    <mergeCell ref="H63:M63"/>
    <mergeCell ref="B64:E64"/>
    <mergeCell ref="F64:G64"/>
    <mergeCell ref="H64:M64"/>
  </mergeCells>
  <hyperlinks>
    <hyperlink ref="B9" r:id="rId1" xr:uid="{F20EEE33-4C70-4425-8553-A138D97B3D18}"/>
    <hyperlink ref="B8" r:id="rId2" xr:uid="{A486C274-30E4-4CC5-87E4-A6C7C5627865}"/>
    <hyperlink ref="E18" r:id="rId3" xr:uid="{D6980BAD-F677-4152-8895-16C472884BA5}"/>
  </hyperlinks>
  <pageMargins left="0.62906249999999997" right="0.48291666666666666" top="0.67777777777777781" bottom="0.77662037037037035" header="0.3" footer="0.64247685185185188"/>
  <pageSetup paperSize="9" scale="61" orientation="portrait" horizontalDpi="4294967293" verticalDpi="300" r:id="rId4"/>
  <headerFooter>
    <oddFooter xml:space="preserve">&amp;L           contabilidad@hpkinv.com&amp;RPágina 1 of 1   </oddFooter>
  </headerFooter>
  <rowBreaks count="1" manualBreakCount="1">
    <brk id="81" max="13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FERREYROS</vt:lpstr>
      <vt:lpstr>FERREYROS!Área_de_impresión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 INVERSIONES</dc:creator>
  <cp:lastModifiedBy>HPK INVERSIONES</cp:lastModifiedBy>
  <dcterms:created xsi:type="dcterms:W3CDTF">2026-01-20T19:19:46Z</dcterms:created>
  <dcterms:modified xsi:type="dcterms:W3CDTF">2026-01-20T19:21:43Z</dcterms:modified>
</cp:coreProperties>
</file>