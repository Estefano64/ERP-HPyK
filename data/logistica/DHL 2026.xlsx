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CER\Desktop\LOGISTICA 2026\"/>
    </mc:Choice>
  </mc:AlternateContent>
  <xr:revisionPtr revIDLastSave="0" documentId="8_{8AA4632E-F0FF-43DB-A0C7-F847DC868D5A}" xr6:coauthVersionLast="47" xr6:coauthVersionMax="47" xr10:uidLastSave="{00000000-0000-0000-0000-000000000000}"/>
  <bookViews>
    <workbookView xWindow="-108" yWindow="-108" windowWidth="23256" windowHeight="12456" xr2:uid="{60CD4AFD-CE52-494E-BA04-F5386F276D7D}"/>
  </bookViews>
  <sheets>
    <sheet name="DHL" sheetId="1" r:id="rId1"/>
  </sheets>
  <definedNames>
    <definedName name="_xlnm._FilterDatabase" localSheetId="0" hidden="1">DHL!$C$1:$AC$309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0" i="1" l="1"/>
  <c r="AA498" i="1"/>
  <c r="Z498" i="1"/>
  <c r="AB497" i="1"/>
  <c r="AC497" i="1" s="1"/>
  <c r="AA497" i="1"/>
  <c r="Z497" i="1"/>
  <c r="AA496" i="1"/>
  <c r="Z496" i="1"/>
  <c r="AB495" i="1"/>
  <c r="AC495" i="1" s="1"/>
  <c r="AA495" i="1"/>
  <c r="Z495" i="1"/>
  <c r="AA494" i="1"/>
  <c r="Z494" i="1"/>
  <c r="AB493" i="1"/>
  <c r="AC493" i="1" s="1"/>
  <c r="AA493" i="1"/>
  <c r="Z493" i="1"/>
  <c r="AA492" i="1"/>
  <c r="Z492" i="1"/>
  <c r="AB491" i="1"/>
  <c r="AC491" i="1" s="1"/>
  <c r="AA491" i="1"/>
  <c r="Z491" i="1"/>
  <c r="AA490" i="1"/>
  <c r="Z490" i="1"/>
  <c r="AB489" i="1"/>
  <c r="AC489" i="1" s="1"/>
  <c r="AA489" i="1"/>
  <c r="Z489" i="1"/>
  <c r="AA488" i="1"/>
  <c r="Z488" i="1"/>
  <c r="AB487" i="1"/>
  <c r="AC487" i="1" s="1"/>
  <c r="AA487" i="1"/>
  <c r="Z487" i="1"/>
  <c r="AA486" i="1"/>
  <c r="Z486" i="1"/>
  <c r="AB485" i="1"/>
  <c r="AC485" i="1" s="1"/>
  <c r="AA485" i="1"/>
  <c r="Z485" i="1"/>
  <c r="AA484" i="1"/>
  <c r="Z484" i="1"/>
  <c r="AB483" i="1"/>
  <c r="AC483" i="1" s="1"/>
  <c r="AA483" i="1"/>
  <c r="Z483" i="1"/>
  <c r="AA482" i="1"/>
  <c r="Z482" i="1"/>
  <c r="AB481" i="1"/>
  <c r="AC481" i="1" s="1"/>
  <c r="AA481" i="1"/>
  <c r="Z481" i="1"/>
  <c r="AA480" i="1"/>
  <c r="Z480" i="1"/>
  <c r="AB479" i="1"/>
  <c r="AC479" i="1" s="1"/>
  <c r="AA479" i="1"/>
  <c r="Z479" i="1"/>
  <c r="AA478" i="1"/>
  <c r="Z478" i="1"/>
  <c r="AB477" i="1"/>
  <c r="AC477" i="1" s="1"/>
  <c r="AA477" i="1"/>
  <c r="Z477" i="1"/>
  <c r="AA476" i="1"/>
  <c r="Z476" i="1"/>
  <c r="AB475" i="1"/>
  <c r="AC475" i="1" s="1"/>
  <c r="AA475" i="1"/>
  <c r="Z475" i="1"/>
  <c r="AA474" i="1"/>
  <c r="Z474" i="1"/>
  <c r="AB473" i="1"/>
  <c r="AC473" i="1" s="1"/>
  <c r="AA473" i="1"/>
  <c r="Z473" i="1"/>
  <c r="AA472" i="1"/>
  <c r="Z472" i="1"/>
  <c r="AB471" i="1"/>
  <c r="AC471" i="1" s="1"/>
  <c r="AA471" i="1"/>
  <c r="Z471" i="1"/>
  <c r="AA470" i="1"/>
  <c r="Z470" i="1"/>
  <c r="AB469" i="1"/>
  <c r="AC469" i="1" s="1"/>
  <c r="AA469" i="1"/>
  <c r="Z469" i="1"/>
  <c r="AA468" i="1"/>
  <c r="Z468" i="1"/>
  <c r="AB467" i="1"/>
  <c r="AC467" i="1" s="1"/>
  <c r="AA467" i="1"/>
  <c r="Z467" i="1"/>
  <c r="AA466" i="1"/>
  <c r="Z466" i="1"/>
  <c r="AB465" i="1"/>
  <c r="AC465" i="1" s="1"/>
  <c r="AA465" i="1"/>
  <c r="Z465" i="1"/>
  <c r="AA464" i="1"/>
  <c r="Z464" i="1"/>
  <c r="AB463" i="1"/>
  <c r="AC463" i="1" s="1"/>
  <c r="AA463" i="1"/>
  <c r="Z463" i="1"/>
  <c r="AA462" i="1"/>
  <c r="Z462" i="1"/>
  <c r="AB461" i="1"/>
  <c r="AC461" i="1" s="1"/>
  <c r="AA461" i="1"/>
  <c r="Z461" i="1"/>
  <c r="AA460" i="1"/>
  <c r="Z460" i="1"/>
  <c r="AB459" i="1"/>
  <c r="AC459" i="1" s="1"/>
  <c r="AA459" i="1"/>
  <c r="Z459" i="1"/>
  <c r="AA458" i="1"/>
  <c r="Z458" i="1"/>
  <c r="AB457" i="1"/>
  <c r="AC457" i="1" s="1"/>
  <c r="AA457" i="1"/>
  <c r="Z457" i="1"/>
  <c r="AA456" i="1"/>
  <c r="Z456" i="1"/>
  <c r="AB455" i="1"/>
  <c r="AC455" i="1" s="1"/>
  <c r="AA455" i="1"/>
  <c r="Z455" i="1"/>
  <c r="AA454" i="1"/>
  <c r="Z454" i="1"/>
  <c r="AB453" i="1"/>
  <c r="AC453" i="1" s="1"/>
  <c r="AA453" i="1"/>
  <c r="Z453" i="1"/>
  <c r="AA452" i="1"/>
  <c r="Z452" i="1"/>
  <c r="AB451" i="1"/>
  <c r="AC451" i="1" s="1"/>
  <c r="AA451" i="1"/>
  <c r="Z451" i="1"/>
  <c r="AA450" i="1"/>
  <c r="Z450" i="1"/>
  <c r="AB449" i="1"/>
  <c r="AC449" i="1" s="1"/>
  <c r="AA449" i="1"/>
  <c r="Z449" i="1"/>
  <c r="AA448" i="1"/>
  <c r="Z448" i="1"/>
  <c r="AB447" i="1"/>
  <c r="AC447" i="1" s="1"/>
  <c r="AA447" i="1"/>
  <c r="Z447" i="1"/>
  <c r="AA446" i="1"/>
  <c r="Z446" i="1"/>
  <c r="AB445" i="1"/>
  <c r="AC445" i="1" s="1"/>
  <c r="AA445" i="1"/>
  <c r="Z445" i="1"/>
  <c r="AA444" i="1"/>
  <c r="Z444" i="1"/>
  <c r="X444" i="1"/>
  <c r="AB498" i="1" s="1"/>
  <c r="AC498" i="1" s="1"/>
  <c r="N444" i="1"/>
  <c r="K444" i="1"/>
  <c r="J444" i="1"/>
  <c r="AC442" i="1"/>
  <c r="AB442" i="1"/>
  <c r="AA442" i="1"/>
  <c r="Z442" i="1"/>
  <c r="AB441" i="1"/>
  <c r="AC441" i="1" s="1"/>
  <c r="AA441" i="1"/>
  <c r="Z441" i="1"/>
  <c r="AC440" i="1"/>
  <c r="AB440" i="1"/>
  <c r="AA440" i="1"/>
  <c r="Z440" i="1"/>
  <c r="AB439" i="1"/>
  <c r="AC439" i="1" s="1"/>
  <c r="AA439" i="1"/>
  <c r="Z439" i="1"/>
  <c r="AC438" i="1"/>
  <c r="AB438" i="1"/>
  <c r="AA438" i="1"/>
  <c r="Z438" i="1"/>
  <c r="AB437" i="1"/>
  <c r="AC437" i="1" s="1"/>
  <c r="AA437" i="1"/>
  <c r="Z437" i="1"/>
  <c r="AC436" i="1"/>
  <c r="AB436" i="1"/>
  <c r="AA436" i="1"/>
  <c r="Z436" i="1"/>
  <c r="AB435" i="1"/>
  <c r="AC435" i="1" s="1"/>
  <c r="AA435" i="1"/>
  <c r="Z435" i="1"/>
  <c r="AC434" i="1"/>
  <c r="AB434" i="1"/>
  <c r="AA434" i="1"/>
  <c r="Z434" i="1"/>
  <c r="AB433" i="1"/>
  <c r="AC433" i="1" s="1"/>
  <c r="AA433" i="1"/>
  <c r="Z433" i="1"/>
  <c r="AC432" i="1"/>
  <c r="AB432" i="1"/>
  <c r="AA432" i="1"/>
  <c r="Z432" i="1"/>
  <c r="AB431" i="1"/>
  <c r="AC431" i="1" s="1"/>
  <c r="AA431" i="1"/>
  <c r="Z431" i="1"/>
  <c r="AC430" i="1"/>
  <c r="AB430" i="1"/>
  <c r="AA430" i="1"/>
  <c r="Z430" i="1"/>
  <c r="K430" i="1"/>
  <c r="AC428" i="1"/>
  <c r="AB428" i="1"/>
  <c r="AA428" i="1"/>
  <c r="Z428" i="1"/>
  <c r="AB427" i="1"/>
  <c r="AC427" i="1" s="1"/>
  <c r="AA427" i="1"/>
  <c r="Z427" i="1"/>
  <c r="AC426" i="1"/>
  <c r="AB426" i="1"/>
  <c r="AA426" i="1"/>
  <c r="Z426" i="1"/>
  <c r="AB425" i="1"/>
  <c r="AC425" i="1" s="1"/>
  <c r="AA425" i="1"/>
  <c r="Z425" i="1"/>
  <c r="AC424" i="1"/>
  <c r="AB424" i="1"/>
  <c r="AA424" i="1"/>
  <c r="Z424" i="1"/>
  <c r="AB423" i="1"/>
  <c r="AC423" i="1" s="1"/>
  <c r="AA423" i="1"/>
  <c r="Z423" i="1"/>
  <c r="AC422" i="1"/>
  <c r="AB422" i="1"/>
  <c r="AA422" i="1"/>
  <c r="Z422" i="1"/>
  <c r="AB421" i="1"/>
  <c r="AC421" i="1" s="1"/>
  <c r="AA421" i="1"/>
  <c r="Z421" i="1"/>
  <c r="AC420" i="1"/>
  <c r="AB420" i="1"/>
  <c r="AA420" i="1"/>
  <c r="Z420" i="1"/>
  <c r="AB419" i="1"/>
  <c r="AC419" i="1" s="1"/>
  <c r="AA419" i="1"/>
  <c r="Z419" i="1"/>
  <c r="AC418" i="1"/>
  <c r="AB418" i="1"/>
  <c r="AA418" i="1"/>
  <c r="Z418" i="1"/>
  <c r="AB417" i="1"/>
  <c r="AC417" i="1" s="1"/>
  <c r="AA417" i="1"/>
  <c r="Z417" i="1"/>
  <c r="AC416" i="1"/>
  <c r="AB416" i="1"/>
  <c r="AA416" i="1"/>
  <c r="Z416" i="1"/>
  <c r="AB415" i="1"/>
  <c r="AC415" i="1" s="1"/>
  <c r="AA415" i="1"/>
  <c r="Z415" i="1"/>
  <c r="AC414" i="1"/>
  <c r="AB414" i="1"/>
  <c r="AA414" i="1"/>
  <c r="Z414" i="1"/>
  <c r="P414" i="1"/>
  <c r="K414" i="1"/>
  <c r="AB412" i="1"/>
  <c r="AC412" i="1" s="1"/>
  <c r="AA412" i="1"/>
  <c r="Z412" i="1"/>
  <c r="AB411" i="1"/>
  <c r="AC411" i="1" s="1"/>
  <c r="AA411" i="1"/>
  <c r="Z411" i="1"/>
  <c r="AB410" i="1"/>
  <c r="AC410" i="1" s="1"/>
  <c r="AA410" i="1"/>
  <c r="Z410" i="1"/>
  <c r="P410" i="1"/>
  <c r="K410" i="1"/>
  <c r="J410" i="1"/>
  <c r="AA408" i="1"/>
  <c r="Z408" i="1"/>
  <c r="H408" i="1"/>
  <c r="AB408" i="1" s="1"/>
  <c r="AC408" i="1" s="1"/>
  <c r="AB407" i="1"/>
  <c r="AC407" i="1" s="1"/>
  <c r="AA407" i="1"/>
  <c r="Z407" i="1"/>
  <c r="H407" i="1"/>
  <c r="AB406" i="1"/>
  <c r="AC406" i="1" s="1"/>
  <c r="AA406" i="1"/>
  <c r="Z406" i="1"/>
  <c r="P406" i="1"/>
  <c r="K406" i="1"/>
  <c r="H406" i="1"/>
  <c r="AB404" i="1"/>
  <c r="AC404" i="1" s="1"/>
  <c r="AA404" i="1"/>
  <c r="Z404" i="1"/>
  <c r="AB403" i="1"/>
  <c r="AC403" i="1" s="1"/>
  <c r="AA403" i="1"/>
  <c r="Z403" i="1"/>
  <c r="P403" i="1"/>
  <c r="K403" i="1"/>
  <c r="J403" i="1"/>
  <c r="AC401" i="1"/>
  <c r="AB401" i="1"/>
  <c r="AA401" i="1"/>
  <c r="Z401" i="1"/>
  <c r="AC400" i="1"/>
  <c r="AB400" i="1"/>
  <c r="AA400" i="1"/>
  <c r="Z400" i="1"/>
  <c r="AC399" i="1"/>
  <c r="AB399" i="1"/>
  <c r="AA399" i="1"/>
  <c r="Z399" i="1"/>
  <c r="AC398" i="1"/>
  <c r="AB398" i="1"/>
  <c r="AA398" i="1"/>
  <c r="Z398" i="1"/>
  <c r="AC397" i="1"/>
  <c r="AB397" i="1"/>
  <c r="AA397" i="1"/>
  <c r="Z397" i="1"/>
  <c r="AC396" i="1"/>
  <c r="AB396" i="1"/>
  <c r="AA396" i="1"/>
  <c r="Z396" i="1"/>
  <c r="AC395" i="1"/>
  <c r="AB395" i="1"/>
  <c r="AA395" i="1"/>
  <c r="Z395" i="1"/>
  <c r="AC394" i="1"/>
  <c r="AB394" i="1"/>
  <c r="AA394" i="1"/>
  <c r="Z394" i="1"/>
  <c r="AC393" i="1"/>
  <c r="AB393" i="1"/>
  <c r="AA393" i="1"/>
  <c r="Z393" i="1"/>
  <c r="P393" i="1"/>
  <c r="K393" i="1"/>
  <c r="AB391" i="1"/>
  <c r="AC391" i="1" s="1"/>
  <c r="AA391" i="1"/>
  <c r="Z391" i="1"/>
  <c r="H391" i="1"/>
  <c r="AA390" i="1"/>
  <c r="Z390" i="1"/>
  <c r="P390" i="1"/>
  <c r="O390" i="1"/>
  <c r="K390" i="1"/>
  <c r="H390" i="1"/>
  <c r="AB390" i="1" s="1"/>
  <c r="AC390" i="1" s="1"/>
  <c r="AB388" i="1"/>
  <c r="AC388" i="1" s="1"/>
  <c r="AA388" i="1"/>
  <c r="Z388" i="1"/>
  <c r="AC387" i="1"/>
  <c r="AB387" i="1"/>
  <c r="AA387" i="1"/>
  <c r="Z387" i="1"/>
  <c r="AB386" i="1"/>
  <c r="AC386" i="1" s="1"/>
  <c r="AA386" i="1"/>
  <c r="Z386" i="1"/>
  <c r="AC385" i="1"/>
  <c r="AB385" i="1"/>
  <c r="AA385" i="1"/>
  <c r="Z385" i="1"/>
  <c r="AB384" i="1"/>
  <c r="AC384" i="1" s="1"/>
  <c r="AA384" i="1"/>
  <c r="Z384" i="1"/>
  <c r="AC383" i="1"/>
  <c r="AB383" i="1"/>
  <c r="AA383" i="1"/>
  <c r="Z383" i="1"/>
  <c r="AB382" i="1"/>
  <c r="AC382" i="1" s="1"/>
  <c r="AA382" i="1"/>
  <c r="Z382" i="1"/>
  <c r="AC381" i="1"/>
  <c r="AB381" i="1"/>
  <c r="AA381" i="1"/>
  <c r="Z381" i="1"/>
  <c r="AB380" i="1"/>
  <c r="AC380" i="1" s="1"/>
  <c r="AA380" i="1"/>
  <c r="Z380" i="1"/>
  <c r="AC379" i="1"/>
  <c r="AB379" i="1"/>
  <c r="AA379" i="1"/>
  <c r="Z379" i="1"/>
  <c r="AB378" i="1"/>
  <c r="AC378" i="1" s="1"/>
  <c r="AA378" i="1"/>
  <c r="Z378" i="1"/>
  <c r="AC377" i="1"/>
  <c r="AB377" i="1"/>
  <c r="AA377" i="1"/>
  <c r="Z377" i="1"/>
  <c r="AB376" i="1"/>
  <c r="AC376" i="1" s="1"/>
  <c r="AA376" i="1"/>
  <c r="Z376" i="1"/>
  <c r="AC375" i="1"/>
  <c r="AB375" i="1"/>
  <c r="AA375" i="1"/>
  <c r="Z375" i="1"/>
  <c r="AB374" i="1"/>
  <c r="AC374" i="1" s="1"/>
  <c r="AA374" i="1"/>
  <c r="Z374" i="1"/>
  <c r="AC373" i="1"/>
  <c r="AB373" i="1"/>
  <c r="AA373" i="1"/>
  <c r="Z373" i="1"/>
  <c r="AB372" i="1"/>
  <c r="AC372" i="1" s="1"/>
  <c r="AA372" i="1"/>
  <c r="Z372" i="1"/>
  <c r="AC371" i="1"/>
  <c r="AB371" i="1"/>
  <c r="AA371" i="1"/>
  <c r="Z371" i="1"/>
  <c r="AB370" i="1"/>
  <c r="AC370" i="1" s="1"/>
  <c r="AA370" i="1"/>
  <c r="Z370" i="1"/>
  <c r="AC369" i="1"/>
  <c r="AB369" i="1"/>
  <c r="AA369" i="1"/>
  <c r="Z369" i="1"/>
  <c r="AB368" i="1"/>
  <c r="AC368" i="1" s="1"/>
  <c r="AA368" i="1"/>
  <c r="Z368" i="1"/>
  <c r="AC367" i="1"/>
  <c r="AB367" i="1"/>
  <c r="AA367" i="1"/>
  <c r="Z367" i="1"/>
  <c r="AB366" i="1"/>
  <c r="AC366" i="1" s="1"/>
  <c r="AA366" i="1"/>
  <c r="Z366" i="1"/>
  <c r="AC365" i="1"/>
  <c r="AB365" i="1"/>
  <c r="AA365" i="1"/>
  <c r="Z365" i="1"/>
  <c r="AB364" i="1"/>
  <c r="AC364" i="1" s="1"/>
  <c r="AA364" i="1"/>
  <c r="Z364" i="1"/>
  <c r="P364" i="1"/>
  <c r="O364" i="1"/>
  <c r="K364" i="1"/>
  <c r="J364" i="1"/>
  <c r="AB362" i="1"/>
  <c r="AC362" i="1" s="1"/>
  <c r="AA362" i="1"/>
  <c r="Z362" i="1"/>
  <c r="AC361" i="1"/>
  <c r="AB361" i="1"/>
  <c r="AA361" i="1"/>
  <c r="Z361" i="1"/>
  <c r="AB360" i="1"/>
  <c r="AC360" i="1" s="1"/>
  <c r="AA360" i="1"/>
  <c r="Z360" i="1"/>
  <c r="AC359" i="1"/>
  <c r="AB359" i="1"/>
  <c r="AA359" i="1"/>
  <c r="Z359" i="1"/>
  <c r="P359" i="1"/>
  <c r="K359" i="1"/>
  <c r="AB357" i="1"/>
  <c r="AC357" i="1" s="1"/>
  <c r="AA357" i="1"/>
  <c r="Z357" i="1"/>
  <c r="AB356" i="1"/>
  <c r="AC356" i="1" s="1"/>
  <c r="AA356" i="1"/>
  <c r="Z356" i="1"/>
  <c r="AB355" i="1"/>
  <c r="AC355" i="1" s="1"/>
  <c r="AA355" i="1"/>
  <c r="Z355" i="1"/>
  <c r="AB354" i="1"/>
  <c r="AC354" i="1" s="1"/>
  <c r="AA354" i="1"/>
  <c r="Z354" i="1"/>
  <c r="AB353" i="1"/>
  <c r="AC353" i="1" s="1"/>
  <c r="AA353" i="1"/>
  <c r="Z353" i="1"/>
  <c r="AB352" i="1"/>
  <c r="AC352" i="1" s="1"/>
  <c r="AA352" i="1"/>
  <c r="Z352" i="1"/>
  <c r="AB351" i="1"/>
  <c r="AC351" i="1" s="1"/>
  <c r="AA351" i="1"/>
  <c r="Z351" i="1"/>
  <c r="AB350" i="1"/>
  <c r="AC350" i="1" s="1"/>
  <c r="AA350" i="1"/>
  <c r="Z350" i="1"/>
  <c r="AB349" i="1"/>
  <c r="AC349" i="1" s="1"/>
  <c r="AA349" i="1"/>
  <c r="Z349" i="1"/>
  <c r="U349" i="1"/>
  <c r="P349" i="1"/>
  <c r="N349" i="1"/>
  <c r="K349" i="1"/>
  <c r="AB347" i="1"/>
  <c r="AC347" i="1" s="1"/>
  <c r="AA347" i="1"/>
  <c r="Z347" i="1"/>
  <c r="AB346" i="1"/>
  <c r="AC346" i="1" s="1"/>
  <c r="AA346" i="1"/>
  <c r="Z346" i="1"/>
  <c r="AB345" i="1"/>
  <c r="AC345" i="1" s="1"/>
  <c r="AA345" i="1"/>
  <c r="Z345" i="1"/>
  <c r="AB344" i="1"/>
  <c r="AC344" i="1" s="1"/>
  <c r="AA344" i="1"/>
  <c r="Z344" i="1"/>
  <c r="AB343" i="1"/>
  <c r="AC343" i="1" s="1"/>
  <c r="AA343" i="1"/>
  <c r="Z343" i="1"/>
  <c r="AB342" i="1"/>
  <c r="AC342" i="1" s="1"/>
  <c r="AA342" i="1"/>
  <c r="Z342" i="1"/>
  <c r="AB341" i="1"/>
  <c r="AC341" i="1" s="1"/>
  <c r="AA341" i="1"/>
  <c r="Z341" i="1"/>
  <c r="AB340" i="1"/>
  <c r="AC340" i="1" s="1"/>
  <c r="AA340" i="1"/>
  <c r="Z340" i="1"/>
  <c r="AB339" i="1"/>
  <c r="AC339" i="1" s="1"/>
  <c r="AA339" i="1"/>
  <c r="Z339" i="1"/>
  <c r="AB338" i="1"/>
  <c r="AC338" i="1" s="1"/>
  <c r="AA338" i="1"/>
  <c r="Z338" i="1"/>
  <c r="AB337" i="1"/>
  <c r="AC337" i="1" s="1"/>
  <c r="AA337" i="1"/>
  <c r="Z337" i="1"/>
  <c r="AB336" i="1"/>
  <c r="AC336" i="1" s="1"/>
  <c r="AA336" i="1"/>
  <c r="Z336" i="1"/>
  <c r="AB335" i="1"/>
  <c r="AC335" i="1" s="1"/>
  <c r="AA335" i="1"/>
  <c r="Z335" i="1"/>
  <c r="AB334" i="1"/>
  <c r="AC334" i="1" s="1"/>
  <c r="AA334" i="1"/>
  <c r="Z334" i="1"/>
  <c r="AB333" i="1"/>
  <c r="AC333" i="1" s="1"/>
  <c r="AA333" i="1"/>
  <c r="Z333" i="1"/>
  <c r="P333" i="1"/>
  <c r="K333" i="1"/>
  <c r="AB331" i="1"/>
  <c r="AC331" i="1" s="1"/>
  <c r="AA331" i="1"/>
  <c r="Z331" i="1"/>
  <c r="AC330" i="1"/>
  <c r="AB330" i="1"/>
  <c r="AA330" i="1"/>
  <c r="Z330" i="1"/>
  <c r="AB329" i="1"/>
  <c r="AC329" i="1" s="1"/>
  <c r="AA329" i="1"/>
  <c r="Z329" i="1"/>
  <c r="AC328" i="1"/>
  <c r="AB328" i="1"/>
  <c r="AA328" i="1"/>
  <c r="Z328" i="1"/>
  <c r="AB327" i="1"/>
  <c r="AC327" i="1" s="1"/>
  <c r="AA327" i="1"/>
  <c r="Z327" i="1"/>
  <c r="AC326" i="1"/>
  <c r="AB326" i="1"/>
  <c r="AA326" i="1"/>
  <c r="Z326" i="1"/>
  <c r="AB325" i="1"/>
  <c r="AC325" i="1" s="1"/>
  <c r="AA325" i="1"/>
  <c r="Z325" i="1"/>
  <c r="AC324" i="1"/>
  <c r="AB324" i="1"/>
  <c r="AA324" i="1"/>
  <c r="Z324" i="1"/>
  <c r="AB323" i="1"/>
  <c r="AC323" i="1" s="1"/>
  <c r="AA323" i="1"/>
  <c r="Z323" i="1"/>
  <c r="AC322" i="1"/>
  <c r="AB322" i="1"/>
  <c r="AA322" i="1"/>
  <c r="Z322" i="1"/>
  <c r="AB321" i="1"/>
  <c r="AC321" i="1" s="1"/>
  <c r="AA321" i="1"/>
  <c r="Z321" i="1"/>
  <c r="AC320" i="1"/>
  <c r="AB320" i="1"/>
  <c r="AA320" i="1"/>
  <c r="Z320" i="1"/>
  <c r="AB319" i="1"/>
  <c r="AC319" i="1" s="1"/>
  <c r="AA319" i="1"/>
  <c r="Z319" i="1"/>
  <c r="AC318" i="1"/>
  <c r="AB318" i="1"/>
  <c r="AA318" i="1"/>
  <c r="Z318" i="1"/>
  <c r="AB317" i="1"/>
  <c r="AC317" i="1" s="1"/>
  <c r="AA317" i="1"/>
  <c r="Z317" i="1"/>
  <c r="P317" i="1"/>
  <c r="K317" i="1"/>
  <c r="AB315" i="1"/>
  <c r="AC315" i="1" s="1"/>
  <c r="AA315" i="1"/>
  <c r="Z315" i="1"/>
  <c r="AA314" i="1"/>
  <c r="Z314" i="1"/>
  <c r="H314" i="1"/>
  <c r="AA313" i="1"/>
  <c r="Z313" i="1"/>
  <c r="H313" i="1"/>
  <c r="AA312" i="1"/>
  <c r="Z312" i="1"/>
  <c r="H312" i="1"/>
  <c r="AA311" i="1"/>
  <c r="Z311" i="1"/>
  <c r="P311" i="1"/>
  <c r="K311" i="1"/>
  <c r="J311" i="1"/>
  <c r="AB309" i="1"/>
  <c r="AC309" i="1" s="1"/>
  <c r="AA309" i="1"/>
  <c r="Z309" i="1"/>
  <c r="AC308" i="1"/>
  <c r="AB308" i="1"/>
  <c r="AA308" i="1"/>
  <c r="Z308" i="1"/>
  <c r="AB307" i="1"/>
  <c r="AC307" i="1" s="1"/>
  <c r="AA307" i="1"/>
  <c r="Z307" i="1"/>
  <c r="AC306" i="1"/>
  <c r="AB306" i="1"/>
  <c r="AA306" i="1"/>
  <c r="Z306" i="1"/>
  <c r="AB305" i="1"/>
  <c r="AC305" i="1" s="1"/>
  <c r="AA305" i="1"/>
  <c r="Z305" i="1"/>
  <c r="AC304" i="1"/>
  <c r="AB304" i="1"/>
  <c r="AA304" i="1"/>
  <c r="Z304" i="1"/>
  <c r="AB303" i="1"/>
  <c r="AC303" i="1" s="1"/>
  <c r="AA303" i="1"/>
  <c r="Z303" i="1"/>
  <c r="AC302" i="1"/>
  <c r="AB302" i="1"/>
  <c r="AA302" i="1"/>
  <c r="Z302" i="1"/>
  <c r="X302" i="1"/>
  <c r="P302" i="1"/>
  <c r="O302" i="1"/>
  <c r="K302" i="1"/>
  <c r="AC300" i="1"/>
  <c r="AB300" i="1"/>
  <c r="AA300" i="1"/>
  <c r="Z300" i="1"/>
  <c r="AB299" i="1"/>
  <c r="AC299" i="1" s="1"/>
  <c r="AA299" i="1"/>
  <c r="Z299" i="1"/>
  <c r="AC298" i="1"/>
  <c r="AB298" i="1"/>
  <c r="AA298" i="1"/>
  <c r="Z298" i="1"/>
  <c r="O298" i="1"/>
  <c r="P298" i="1" s="1"/>
  <c r="K298" i="1"/>
  <c r="AC296" i="1"/>
  <c r="AB296" i="1"/>
  <c r="AA296" i="1"/>
  <c r="Z296" i="1"/>
  <c r="AC295" i="1"/>
  <c r="AB295" i="1"/>
  <c r="AA295" i="1"/>
  <c r="Z295" i="1"/>
  <c r="AC294" i="1"/>
  <c r="AB294" i="1"/>
  <c r="AA294" i="1"/>
  <c r="Z294" i="1"/>
  <c r="AC293" i="1"/>
  <c r="AB293" i="1"/>
  <c r="AA293" i="1"/>
  <c r="Z293" i="1"/>
  <c r="AC292" i="1"/>
  <c r="AB292" i="1"/>
  <c r="AA292" i="1"/>
  <c r="Z292" i="1"/>
  <c r="AC291" i="1"/>
  <c r="AB291" i="1"/>
  <c r="AA291" i="1"/>
  <c r="Z291" i="1"/>
  <c r="AC290" i="1"/>
  <c r="AB290" i="1"/>
  <c r="AA290" i="1"/>
  <c r="Z290" i="1"/>
  <c r="AC289" i="1"/>
  <c r="AB289" i="1"/>
  <c r="AA289" i="1"/>
  <c r="Z289" i="1"/>
  <c r="AC288" i="1"/>
  <c r="AB288" i="1"/>
  <c r="AA288" i="1"/>
  <c r="Z288" i="1"/>
  <c r="P288" i="1"/>
  <c r="O288" i="1"/>
  <c r="K288" i="1"/>
  <c r="AB286" i="1"/>
  <c r="AC286" i="1" s="1"/>
  <c r="AA286" i="1"/>
  <c r="Z286" i="1"/>
  <c r="AB285" i="1"/>
  <c r="AC285" i="1" s="1"/>
  <c r="AA285" i="1"/>
  <c r="Z285" i="1"/>
  <c r="AB284" i="1"/>
  <c r="AC284" i="1" s="1"/>
  <c r="AA284" i="1"/>
  <c r="Z284" i="1"/>
  <c r="AB283" i="1"/>
  <c r="AC283" i="1" s="1"/>
  <c r="AA283" i="1"/>
  <c r="Z283" i="1"/>
  <c r="AB282" i="1"/>
  <c r="AC282" i="1" s="1"/>
  <c r="AA282" i="1"/>
  <c r="Z282" i="1"/>
  <c r="AB281" i="1"/>
  <c r="AC281" i="1" s="1"/>
  <c r="AA281" i="1"/>
  <c r="Z281" i="1"/>
  <c r="AB280" i="1"/>
  <c r="AC280" i="1" s="1"/>
  <c r="AA280" i="1"/>
  <c r="Z280" i="1"/>
  <c r="AB279" i="1"/>
  <c r="AC279" i="1" s="1"/>
  <c r="AA279" i="1"/>
  <c r="Z279" i="1"/>
  <c r="AB278" i="1"/>
  <c r="AC278" i="1" s="1"/>
  <c r="AA278" i="1"/>
  <c r="Z278" i="1"/>
  <c r="AB277" i="1"/>
  <c r="AC277" i="1" s="1"/>
  <c r="AA277" i="1"/>
  <c r="Z277" i="1"/>
  <c r="AB276" i="1"/>
  <c r="AC276" i="1" s="1"/>
  <c r="AA276" i="1"/>
  <c r="Z276" i="1"/>
  <c r="AB275" i="1"/>
  <c r="AC275" i="1" s="1"/>
  <c r="AA275" i="1"/>
  <c r="Z275" i="1"/>
  <c r="AB274" i="1"/>
  <c r="AC274" i="1" s="1"/>
  <c r="AA274" i="1"/>
  <c r="Z274" i="1"/>
  <c r="AB273" i="1"/>
  <c r="AC273" i="1" s="1"/>
  <c r="AA273" i="1"/>
  <c r="Z273" i="1"/>
  <c r="AB272" i="1"/>
  <c r="AC272" i="1" s="1"/>
  <c r="AA272" i="1"/>
  <c r="Z272" i="1"/>
  <c r="U272" i="1"/>
  <c r="P272" i="1"/>
  <c r="K272" i="1"/>
  <c r="J272" i="1"/>
  <c r="AB270" i="1"/>
  <c r="AC270" i="1" s="1"/>
  <c r="AA270" i="1"/>
  <c r="Z270" i="1"/>
  <c r="H270" i="1"/>
  <c r="AA269" i="1"/>
  <c r="Z269" i="1"/>
  <c r="H269" i="1"/>
  <c r="AB269" i="1" s="1"/>
  <c r="AC269" i="1" s="1"/>
  <c r="AA268" i="1"/>
  <c r="Z268" i="1"/>
  <c r="H268" i="1"/>
  <c r="AA267" i="1"/>
  <c r="Z267" i="1"/>
  <c r="H267" i="1"/>
  <c r="AB266" i="1"/>
  <c r="AC266" i="1" s="1"/>
  <c r="AA266" i="1"/>
  <c r="Z266" i="1"/>
  <c r="H266" i="1"/>
  <c r="AA265" i="1"/>
  <c r="Z265" i="1"/>
  <c r="H265" i="1"/>
  <c r="AB265" i="1" s="1"/>
  <c r="AC265" i="1" s="1"/>
  <c r="AA264" i="1"/>
  <c r="Z264" i="1"/>
  <c r="P264" i="1"/>
  <c r="K264" i="1"/>
  <c r="J264" i="1"/>
  <c r="H264" i="1"/>
  <c r="AB262" i="1"/>
  <c r="AC262" i="1" s="1"/>
  <c r="AA262" i="1"/>
  <c r="Z262" i="1"/>
  <c r="AC261" i="1"/>
  <c r="AB261" i="1"/>
  <c r="AA261" i="1"/>
  <c r="Z261" i="1"/>
  <c r="AB260" i="1"/>
  <c r="AC260" i="1" s="1"/>
  <c r="AA260" i="1"/>
  <c r="Z260" i="1"/>
  <c r="AC259" i="1"/>
  <c r="AB259" i="1"/>
  <c r="AA259" i="1"/>
  <c r="Z259" i="1"/>
  <c r="AB258" i="1"/>
  <c r="AC258" i="1" s="1"/>
  <c r="AA258" i="1"/>
  <c r="Z258" i="1"/>
  <c r="AC257" i="1"/>
  <c r="AB257" i="1"/>
  <c r="AA257" i="1"/>
  <c r="Z257" i="1"/>
  <c r="AB256" i="1"/>
  <c r="AC256" i="1" s="1"/>
  <c r="AA256" i="1"/>
  <c r="Z256" i="1"/>
  <c r="AC255" i="1"/>
  <c r="AB255" i="1"/>
  <c r="AA255" i="1"/>
  <c r="Z255" i="1"/>
  <c r="AB254" i="1"/>
  <c r="AC254" i="1" s="1"/>
  <c r="AA254" i="1"/>
  <c r="Z254" i="1"/>
  <c r="AC253" i="1"/>
  <c r="AB253" i="1"/>
  <c r="AA253" i="1"/>
  <c r="Z253" i="1"/>
  <c r="P253" i="1"/>
  <c r="K253" i="1"/>
  <c r="AB251" i="1"/>
  <c r="AC251" i="1" s="1"/>
  <c r="AA251" i="1"/>
  <c r="Z251" i="1"/>
  <c r="AB250" i="1"/>
  <c r="AC250" i="1" s="1"/>
  <c r="AA250" i="1"/>
  <c r="Z250" i="1"/>
  <c r="AB249" i="1"/>
  <c r="AC249" i="1" s="1"/>
  <c r="AA249" i="1"/>
  <c r="Z249" i="1"/>
  <c r="Y249" i="1"/>
  <c r="AC248" i="1"/>
  <c r="AB248" i="1"/>
  <c r="AA248" i="1"/>
  <c r="Z248" i="1"/>
  <c r="AC247" i="1"/>
  <c r="AB247" i="1"/>
  <c r="AA247" i="1"/>
  <c r="Z247" i="1"/>
  <c r="AC246" i="1"/>
  <c r="AB246" i="1"/>
  <c r="AA246" i="1"/>
  <c r="Z246" i="1"/>
  <c r="AC245" i="1"/>
  <c r="AB245" i="1"/>
  <c r="AA245" i="1"/>
  <c r="Z245" i="1"/>
  <c r="AC244" i="1"/>
  <c r="AB244" i="1"/>
  <c r="AA244" i="1"/>
  <c r="Z244" i="1"/>
  <c r="AC243" i="1"/>
  <c r="AB243" i="1"/>
  <c r="AA243" i="1"/>
  <c r="Z243" i="1"/>
  <c r="AC242" i="1"/>
  <c r="AB242" i="1"/>
  <c r="AA242" i="1"/>
  <c r="Z242" i="1"/>
  <c r="AC241" i="1"/>
  <c r="AB241" i="1"/>
  <c r="AA241" i="1"/>
  <c r="Z241" i="1"/>
  <c r="AC240" i="1"/>
  <c r="AB240" i="1"/>
  <c r="AA240" i="1"/>
  <c r="Z240" i="1"/>
  <c r="AC239" i="1"/>
  <c r="AB239" i="1"/>
  <c r="AA239" i="1"/>
  <c r="Z239" i="1"/>
  <c r="AC238" i="1"/>
  <c r="AB238" i="1"/>
  <c r="AA238" i="1"/>
  <c r="Z238" i="1"/>
  <c r="AC237" i="1"/>
  <c r="AB237" i="1"/>
  <c r="AA237" i="1"/>
  <c r="Z237" i="1"/>
  <c r="AC236" i="1"/>
  <c r="AB236" i="1"/>
  <c r="AA236" i="1"/>
  <c r="Z236" i="1"/>
  <c r="AC235" i="1"/>
  <c r="AB235" i="1"/>
  <c r="AA235" i="1"/>
  <c r="Z235" i="1"/>
  <c r="AC234" i="1"/>
  <c r="AB234" i="1"/>
  <c r="AA234" i="1"/>
  <c r="Z234" i="1"/>
  <c r="AC233" i="1"/>
  <c r="AB233" i="1"/>
  <c r="AA233" i="1"/>
  <c r="Z233" i="1"/>
  <c r="P233" i="1"/>
  <c r="K233" i="1"/>
  <c r="J233" i="1"/>
  <c r="AB231" i="1"/>
  <c r="AC231" i="1" s="1"/>
  <c r="AA231" i="1"/>
  <c r="Z231" i="1"/>
  <c r="AB230" i="1"/>
  <c r="AC230" i="1" s="1"/>
  <c r="AA230" i="1"/>
  <c r="Z230" i="1"/>
  <c r="AB229" i="1"/>
  <c r="AC229" i="1" s="1"/>
  <c r="AA229" i="1"/>
  <c r="Z229" i="1"/>
  <c r="AB228" i="1"/>
  <c r="AC228" i="1" s="1"/>
  <c r="AA228" i="1"/>
  <c r="Z228" i="1"/>
  <c r="AB227" i="1"/>
  <c r="AC227" i="1" s="1"/>
  <c r="AA227" i="1"/>
  <c r="Z227" i="1"/>
  <c r="AB226" i="1"/>
  <c r="AC226" i="1" s="1"/>
  <c r="AA226" i="1"/>
  <c r="Z226" i="1"/>
  <c r="AB225" i="1"/>
  <c r="AC225" i="1" s="1"/>
  <c r="AA225" i="1"/>
  <c r="Z225" i="1"/>
  <c r="AB224" i="1"/>
  <c r="AC224" i="1" s="1"/>
  <c r="AA224" i="1"/>
  <c r="Z224" i="1"/>
  <c r="AB223" i="1"/>
  <c r="AC223" i="1" s="1"/>
  <c r="AA223" i="1"/>
  <c r="Z223" i="1"/>
  <c r="AB222" i="1"/>
  <c r="AC222" i="1" s="1"/>
  <c r="AA222" i="1"/>
  <c r="Z222" i="1"/>
  <c r="AB221" i="1"/>
  <c r="AC221" i="1" s="1"/>
  <c r="AA221" i="1"/>
  <c r="Z221" i="1"/>
  <c r="AB220" i="1"/>
  <c r="AC220" i="1" s="1"/>
  <c r="AA220" i="1"/>
  <c r="Z220" i="1"/>
  <c r="AB219" i="1"/>
  <c r="AC219" i="1" s="1"/>
  <c r="AA219" i="1"/>
  <c r="Z219" i="1"/>
  <c r="AB218" i="1"/>
  <c r="AC218" i="1" s="1"/>
  <c r="AA218" i="1"/>
  <c r="Z218" i="1"/>
  <c r="AB217" i="1"/>
  <c r="AC217" i="1" s="1"/>
  <c r="AA217" i="1"/>
  <c r="Z217" i="1"/>
  <c r="AB216" i="1"/>
  <c r="AC216" i="1" s="1"/>
  <c r="AA216" i="1"/>
  <c r="Z216" i="1"/>
  <c r="AB215" i="1"/>
  <c r="AC215" i="1" s="1"/>
  <c r="AA215" i="1"/>
  <c r="Z215" i="1"/>
  <c r="P215" i="1"/>
  <c r="K215" i="1"/>
  <c r="AB213" i="1"/>
  <c r="AC213" i="1" s="1"/>
  <c r="AA213" i="1"/>
  <c r="Z213" i="1"/>
  <c r="AC212" i="1"/>
  <c r="AB212" i="1"/>
  <c r="AA212" i="1"/>
  <c r="Z212" i="1"/>
  <c r="AB211" i="1"/>
  <c r="AC211" i="1" s="1"/>
  <c r="AA211" i="1"/>
  <c r="Z211" i="1"/>
  <c r="AB210" i="1"/>
  <c r="AC210" i="1" s="1"/>
  <c r="AA210" i="1"/>
  <c r="Z210" i="1"/>
  <c r="AB209" i="1"/>
  <c r="AC209" i="1" s="1"/>
  <c r="AA209" i="1"/>
  <c r="Z209" i="1"/>
  <c r="AB208" i="1"/>
  <c r="AC208" i="1" s="1"/>
  <c r="AA208" i="1"/>
  <c r="Z208" i="1"/>
  <c r="AB207" i="1"/>
  <c r="AC207" i="1" s="1"/>
  <c r="AA207" i="1"/>
  <c r="Z207" i="1"/>
  <c r="AC206" i="1"/>
  <c r="AB206" i="1"/>
  <c r="AA206" i="1"/>
  <c r="Z206" i="1"/>
  <c r="AB205" i="1"/>
  <c r="AC205" i="1" s="1"/>
  <c r="AA205" i="1"/>
  <c r="Z205" i="1"/>
  <c r="AB204" i="1"/>
  <c r="AC204" i="1" s="1"/>
  <c r="AA204" i="1"/>
  <c r="Z204" i="1"/>
  <c r="AB203" i="1"/>
  <c r="AC203" i="1" s="1"/>
  <c r="AA203" i="1"/>
  <c r="Z203" i="1"/>
  <c r="AB202" i="1"/>
  <c r="AC202" i="1" s="1"/>
  <c r="AA202" i="1"/>
  <c r="Z202" i="1"/>
  <c r="AB201" i="1"/>
  <c r="AC201" i="1" s="1"/>
  <c r="AA201" i="1"/>
  <c r="Z201" i="1"/>
  <c r="AC200" i="1"/>
  <c r="AB200" i="1"/>
  <c r="AA200" i="1"/>
  <c r="Z200" i="1"/>
  <c r="AB199" i="1"/>
  <c r="AC199" i="1" s="1"/>
  <c r="AA199" i="1"/>
  <c r="Z199" i="1"/>
  <c r="AC198" i="1"/>
  <c r="AB198" i="1"/>
  <c r="AA198" i="1"/>
  <c r="Z198" i="1"/>
  <c r="P198" i="1"/>
  <c r="K198" i="1"/>
  <c r="AA196" i="1"/>
  <c r="Z196" i="1"/>
  <c r="H196" i="1"/>
  <c r="AA195" i="1"/>
  <c r="Z195" i="1"/>
  <c r="H195" i="1"/>
  <c r="AB194" i="1"/>
  <c r="AC194" i="1" s="1"/>
  <c r="AA194" i="1"/>
  <c r="Z194" i="1"/>
  <c r="H194" i="1"/>
  <c r="AA193" i="1"/>
  <c r="Z193" i="1"/>
  <c r="H193" i="1"/>
  <c r="AB193" i="1" s="1"/>
  <c r="AC193" i="1" s="1"/>
  <c r="AB192" i="1"/>
  <c r="AC192" i="1" s="1"/>
  <c r="AA192" i="1"/>
  <c r="Z192" i="1"/>
  <c r="P192" i="1"/>
  <c r="K192" i="1"/>
  <c r="H192" i="1"/>
  <c r="AC190" i="1"/>
  <c r="AB190" i="1"/>
  <c r="AA190" i="1"/>
  <c r="Z190" i="1"/>
  <c r="AC189" i="1"/>
  <c r="AB189" i="1"/>
  <c r="AA189" i="1"/>
  <c r="Z189" i="1"/>
  <c r="AC188" i="1"/>
  <c r="AB188" i="1"/>
  <c r="AA188" i="1"/>
  <c r="Z188" i="1"/>
  <c r="AC187" i="1"/>
  <c r="AB187" i="1"/>
  <c r="AA187" i="1"/>
  <c r="Z187" i="1"/>
  <c r="AC186" i="1"/>
  <c r="AB186" i="1"/>
  <c r="AA186" i="1"/>
  <c r="Z186" i="1"/>
  <c r="AC185" i="1"/>
  <c r="AB185" i="1"/>
  <c r="AA185" i="1"/>
  <c r="Z185" i="1"/>
  <c r="AC184" i="1"/>
  <c r="AB184" i="1"/>
  <c r="AA184" i="1"/>
  <c r="Z184" i="1"/>
  <c r="AC183" i="1"/>
  <c r="AB183" i="1"/>
  <c r="AA183" i="1"/>
  <c r="Z183" i="1"/>
  <c r="AC182" i="1"/>
  <c r="AB182" i="1"/>
  <c r="AA182" i="1"/>
  <c r="Z182" i="1"/>
  <c r="AC181" i="1"/>
  <c r="AB181" i="1"/>
  <c r="AA181" i="1"/>
  <c r="Z181" i="1"/>
  <c r="P181" i="1"/>
  <c r="K181" i="1"/>
  <c r="AA179" i="1"/>
  <c r="Z179" i="1"/>
  <c r="AA178" i="1"/>
  <c r="Z178" i="1"/>
  <c r="H178" i="1"/>
  <c r="AB178" i="1" s="1"/>
  <c r="AC178" i="1" s="1"/>
  <c r="AB177" i="1"/>
  <c r="AC177" i="1" s="1"/>
  <c r="AA177" i="1"/>
  <c r="Z177" i="1"/>
  <c r="H177" i="1"/>
  <c r="AA176" i="1"/>
  <c r="Z176" i="1"/>
  <c r="H176" i="1"/>
  <c r="AB176" i="1" s="1"/>
  <c r="AC176" i="1" s="1"/>
  <c r="AB175" i="1"/>
  <c r="AC175" i="1" s="1"/>
  <c r="AA175" i="1"/>
  <c r="Z175" i="1"/>
  <c r="P175" i="1"/>
  <c r="K175" i="1"/>
  <c r="J175" i="1"/>
  <c r="H175" i="1"/>
  <c r="AB173" i="1"/>
  <c r="AC173" i="1" s="1"/>
  <c r="AA173" i="1"/>
  <c r="Z173" i="1"/>
  <c r="AB172" i="1"/>
  <c r="AC172" i="1" s="1"/>
  <c r="AA172" i="1"/>
  <c r="Z172" i="1"/>
  <c r="AB171" i="1"/>
  <c r="AC171" i="1" s="1"/>
  <c r="AA171" i="1"/>
  <c r="Z171" i="1"/>
  <c r="AB170" i="1"/>
  <c r="AC170" i="1" s="1"/>
  <c r="AA170" i="1"/>
  <c r="Z170" i="1"/>
  <c r="AB169" i="1"/>
  <c r="AC169" i="1" s="1"/>
  <c r="AA169" i="1"/>
  <c r="Z169" i="1"/>
  <c r="AB168" i="1"/>
  <c r="AC168" i="1" s="1"/>
  <c r="AA168" i="1"/>
  <c r="Z168" i="1"/>
  <c r="AB167" i="1"/>
  <c r="AC167" i="1" s="1"/>
  <c r="AA167" i="1"/>
  <c r="Z167" i="1"/>
  <c r="AB166" i="1"/>
  <c r="AC166" i="1" s="1"/>
  <c r="AA166" i="1"/>
  <c r="Z166" i="1"/>
  <c r="AB165" i="1"/>
  <c r="AC165" i="1" s="1"/>
  <c r="AA165" i="1"/>
  <c r="Z165" i="1"/>
  <c r="AB164" i="1"/>
  <c r="AC164" i="1" s="1"/>
  <c r="AA164" i="1"/>
  <c r="Z164" i="1"/>
  <c r="AB163" i="1"/>
  <c r="AC163" i="1" s="1"/>
  <c r="AA163" i="1"/>
  <c r="Z163" i="1"/>
  <c r="AB162" i="1"/>
  <c r="AC162" i="1" s="1"/>
  <c r="AA162" i="1"/>
  <c r="Z162" i="1"/>
  <c r="P162" i="1"/>
  <c r="K162" i="1"/>
  <c r="J162" i="1"/>
  <c r="AC160" i="1"/>
  <c r="AB160" i="1"/>
  <c r="AA160" i="1"/>
  <c r="Z160" i="1"/>
  <c r="AC159" i="1"/>
  <c r="AB159" i="1"/>
  <c r="AA159" i="1"/>
  <c r="Z159" i="1"/>
  <c r="AC158" i="1"/>
  <c r="AB158" i="1"/>
  <c r="AA158" i="1"/>
  <c r="Z158" i="1"/>
  <c r="AC157" i="1"/>
  <c r="AB157" i="1"/>
  <c r="AA157" i="1"/>
  <c r="Z157" i="1"/>
  <c r="AC156" i="1"/>
  <c r="AB156" i="1"/>
  <c r="AA156" i="1"/>
  <c r="Z156" i="1"/>
  <c r="AC155" i="1"/>
  <c r="AB155" i="1"/>
  <c r="AA155" i="1"/>
  <c r="Z155" i="1"/>
  <c r="AC154" i="1"/>
  <c r="AB154" i="1"/>
  <c r="AA154" i="1"/>
  <c r="Z154" i="1"/>
  <c r="AC153" i="1"/>
  <c r="AB153" i="1"/>
  <c r="AA153" i="1"/>
  <c r="Z153" i="1"/>
  <c r="AC152" i="1"/>
  <c r="AB152" i="1"/>
  <c r="AA152" i="1"/>
  <c r="Z152" i="1"/>
  <c r="AC151" i="1"/>
  <c r="AB151" i="1"/>
  <c r="AA151" i="1"/>
  <c r="Z151" i="1"/>
  <c r="AC150" i="1"/>
  <c r="AB150" i="1"/>
  <c r="AA150" i="1"/>
  <c r="Z150" i="1"/>
  <c r="AC149" i="1"/>
  <c r="AB149" i="1"/>
  <c r="AA149" i="1"/>
  <c r="Z149" i="1"/>
  <c r="AC148" i="1"/>
  <c r="AB148" i="1"/>
  <c r="AA148" i="1"/>
  <c r="Z148" i="1"/>
  <c r="P148" i="1"/>
  <c r="K148" i="1"/>
  <c r="AB146" i="1"/>
  <c r="AC146" i="1" s="1"/>
  <c r="AA146" i="1"/>
  <c r="Z146" i="1"/>
  <c r="P146" i="1"/>
  <c r="K146" i="1"/>
  <c r="AA144" i="1"/>
  <c r="Z144" i="1"/>
  <c r="H144" i="1"/>
  <c r="AB144" i="1" s="1"/>
  <c r="AC144" i="1" s="1"/>
  <c r="AA143" i="1"/>
  <c r="Z143" i="1"/>
  <c r="H143" i="1"/>
  <c r="AA142" i="1"/>
  <c r="Z142" i="1"/>
  <c r="H142" i="1"/>
  <c r="AB142" i="1" s="1"/>
  <c r="AC142" i="1" s="1"/>
  <c r="AA141" i="1"/>
  <c r="Z141" i="1"/>
  <c r="H141" i="1"/>
  <c r="AA140" i="1"/>
  <c r="Z140" i="1"/>
  <c r="H140" i="1"/>
  <c r="AB140" i="1" s="1"/>
  <c r="AC140" i="1" s="1"/>
  <c r="AA139" i="1"/>
  <c r="Z139" i="1"/>
  <c r="P139" i="1"/>
  <c r="K139" i="1"/>
  <c r="H139" i="1"/>
  <c r="AB139" i="1" s="1"/>
  <c r="AC139" i="1" s="1"/>
  <c r="AA137" i="1"/>
  <c r="Z137" i="1"/>
  <c r="H137" i="1"/>
  <c r="AB137" i="1" s="1"/>
  <c r="AC137" i="1" s="1"/>
  <c r="AB136" i="1"/>
  <c r="AC136" i="1" s="1"/>
  <c r="AA136" i="1"/>
  <c r="Z136" i="1"/>
  <c r="P136" i="1"/>
  <c r="K136" i="1"/>
  <c r="H136" i="1"/>
  <c r="AC134" i="1"/>
  <c r="AB134" i="1"/>
  <c r="AA134" i="1"/>
  <c r="Z134" i="1"/>
  <c r="AC133" i="1"/>
  <c r="AB133" i="1"/>
  <c r="AA133" i="1"/>
  <c r="Z133" i="1"/>
  <c r="AC132" i="1"/>
  <c r="AB132" i="1"/>
  <c r="AA132" i="1"/>
  <c r="Z132" i="1"/>
  <c r="AC131" i="1"/>
  <c r="AB131" i="1"/>
  <c r="AA131" i="1"/>
  <c r="Z131" i="1"/>
  <c r="AC130" i="1"/>
  <c r="AB130" i="1"/>
  <c r="AA130" i="1"/>
  <c r="Z130" i="1"/>
  <c r="AC129" i="1"/>
  <c r="AB129" i="1"/>
  <c r="AA129" i="1"/>
  <c r="Z129" i="1"/>
  <c r="AC128" i="1"/>
  <c r="AB128" i="1"/>
  <c r="AA128" i="1"/>
  <c r="Z128" i="1"/>
  <c r="AC127" i="1"/>
  <c r="AB127" i="1"/>
  <c r="AA127" i="1"/>
  <c r="Z127" i="1"/>
  <c r="P127" i="1"/>
  <c r="K127" i="1"/>
  <c r="AB125" i="1"/>
  <c r="AC125" i="1" s="1"/>
  <c r="AA125" i="1"/>
  <c r="Z125" i="1"/>
  <c r="AB124" i="1"/>
  <c r="AC124" i="1" s="1"/>
  <c r="AA124" i="1"/>
  <c r="Z124" i="1"/>
  <c r="AB123" i="1"/>
  <c r="AC123" i="1" s="1"/>
  <c r="AA123" i="1"/>
  <c r="Z123" i="1"/>
  <c r="AB122" i="1"/>
  <c r="AC122" i="1" s="1"/>
  <c r="AA122" i="1"/>
  <c r="Z122" i="1"/>
  <c r="AB121" i="1"/>
  <c r="AC121" i="1" s="1"/>
  <c r="AA121" i="1"/>
  <c r="Z121" i="1"/>
  <c r="AB120" i="1"/>
  <c r="AC120" i="1" s="1"/>
  <c r="AA120" i="1"/>
  <c r="Z120" i="1"/>
  <c r="AB119" i="1"/>
  <c r="AC119" i="1" s="1"/>
  <c r="AA119" i="1"/>
  <c r="Z119" i="1"/>
  <c r="AB118" i="1"/>
  <c r="AC118" i="1" s="1"/>
  <c r="AA118" i="1"/>
  <c r="Z118" i="1"/>
  <c r="AB117" i="1"/>
  <c r="AC117" i="1" s="1"/>
  <c r="AA117" i="1"/>
  <c r="Z117" i="1"/>
  <c r="AB116" i="1"/>
  <c r="AC116" i="1" s="1"/>
  <c r="AA116" i="1"/>
  <c r="Z116" i="1"/>
  <c r="AB115" i="1"/>
  <c r="AC115" i="1" s="1"/>
  <c r="AA115" i="1"/>
  <c r="Z115" i="1"/>
  <c r="AB114" i="1"/>
  <c r="AC114" i="1" s="1"/>
  <c r="AA114" i="1"/>
  <c r="Z114" i="1"/>
  <c r="AB113" i="1"/>
  <c r="AC113" i="1" s="1"/>
  <c r="AA113" i="1"/>
  <c r="Z113" i="1"/>
  <c r="P113" i="1"/>
  <c r="K113" i="1"/>
  <c r="J113" i="1"/>
  <c r="AB111" i="1"/>
  <c r="AC111" i="1" s="1"/>
  <c r="AA111" i="1"/>
  <c r="Z111" i="1"/>
  <c r="P111" i="1"/>
  <c r="K111" i="1"/>
  <c r="AB109" i="1"/>
  <c r="AC109" i="1" s="1"/>
  <c r="AA109" i="1"/>
  <c r="Z109" i="1"/>
  <c r="AC108" i="1"/>
  <c r="AB108" i="1"/>
  <c r="AA108" i="1"/>
  <c r="Z108" i="1"/>
  <c r="AB107" i="1"/>
  <c r="AC107" i="1" s="1"/>
  <c r="AA107" i="1"/>
  <c r="Z107" i="1"/>
  <c r="AC106" i="1"/>
  <c r="AB106" i="1"/>
  <c r="AA106" i="1"/>
  <c r="Z106" i="1"/>
  <c r="AB105" i="1"/>
  <c r="AC105" i="1" s="1"/>
  <c r="AA105" i="1"/>
  <c r="Z105" i="1"/>
  <c r="AC104" i="1"/>
  <c r="AB104" i="1"/>
  <c r="AA104" i="1"/>
  <c r="Z104" i="1"/>
  <c r="AB103" i="1"/>
  <c r="AC103" i="1" s="1"/>
  <c r="AA103" i="1"/>
  <c r="Z103" i="1"/>
  <c r="AC102" i="1"/>
  <c r="AB102" i="1"/>
  <c r="AA102" i="1"/>
  <c r="Z102" i="1"/>
  <c r="AB101" i="1"/>
  <c r="AC101" i="1" s="1"/>
  <c r="AA101" i="1"/>
  <c r="Z101" i="1"/>
  <c r="P101" i="1"/>
  <c r="K101" i="1"/>
  <c r="AA99" i="1"/>
  <c r="Z99" i="1"/>
  <c r="H99" i="1"/>
  <c r="AB99" i="1" s="1"/>
  <c r="AC99" i="1" s="1"/>
  <c r="AB98" i="1"/>
  <c r="AC98" i="1" s="1"/>
  <c r="AA98" i="1"/>
  <c r="Z98" i="1"/>
  <c r="H98" i="1"/>
  <c r="AA97" i="1"/>
  <c r="Z97" i="1"/>
  <c r="H97" i="1"/>
  <c r="AB95" i="1" s="1"/>
  <c r="AC95" i="1" s="1"/>
  <c r="AA96" i="1"/>
  <c r="Z96" i="1"/>
  <c r="H96" i="1"/>
  <c r="AB96" i="1" s="1"/>
  <c r="AC96" i="1" s="1"/>
  <c r="AA95" i="1"/>
  <c r="Z95" i="1"/>
  <c r="P95" i="1"/>
  <c r="K95" i="1"/>
  <c r="H95" i="1"/>
  <c r="AC93" i="1"/>
  <c r="AB93" i="1"/>
  <c r="AA93" i="1"/>
  <c r="Z93" i="1"/>
  <c r="AC92" i="1"/>
  <c r="AB92" i="1"/>
  <c r="AA92" i="1"/>
  <c r="Z92" i="1"/>
  <c r="AC91" i="1"/>
  <c r="AB91" i="1"/>
  <c r="AA91" i="1"/>
  <c r="Z91" i="1"/>
  <c r="AC90" i="1"/>
  <c r="AB90" i="1"/>
  <c r="AA90" i="1"/>
  <c r="Z90" i="1"/>
  <c r="AB89" i="1"/>
  <c r="AC89" i="1" s="1"/>
  <c r="AA89" i="1"/>
  <c r="Z89" i="1"/>
  <c r="AC88" i="1"/>
  <c r="AB88" i="1"/>
  <c r="AA88" i="1"/>
  <c r="Z88" i="1"/>
  <c r="AB87" i="1"/>
  <c r="AC87" i="1" s="1"/>
  <c r="AA87" i="1"/>
  <c r="Z87" i="1"/>
  <c r="AC86" i="1"/>
  <c r="AB86" i="1"/>
  <c r="AA86" i="1"/>
  <c r="Z86" i="1"/>
  <c r="AB85" i="1"/>
  <c r="AC85" i="1" s="1"/>
  <c r="AA85" i="1"/>
  <c r="Z85" i="1"/>
  <c r="AC84" i="1"/>
  <c r="AB84" i="1"/>
  <c r="AA84" i="1"/>
  <c r="Z84" i="1"/>
  <c r="AB83" i="1"/>
  <c r="AC83" i="1" s="1"/>
  <c r="AA83" i="1"/>
  <c r="Z83" i="1"/>
  <c r="AC82" i="1"/>
  <c r="AB82" i="1"/>
  <c r="AA82" i="1"/>
  <c r="Z82" i="1"/>
  <c r="P82" i="1"/>
  <c r="K82" i="1"/>
  <c r="J82" i="1"/>
  <c r="AC80" i="1"/>
  <c r="AB80" i="1"/>
  <c r="AA80" i="1"/>
  <c r="Z80" i="1"/>
  <c r="AB79" i="1"/>
  <c r="AC79" i="1" s="1"/>
  <c r="AA79" i="1"/>
  <c r="Z79" i="1"/>
  <c r="AC78" i="1"/>
  <c r="AB78" i="1"/>
  <c r="AA78" i="1"/>
  <c r="Z78" i="1"/>
  <c r="AB77" i="1"/>
  <c r="AC77" i="1" s="1"/>
  <c r="AA77" i="1"/>
  <c r="Z77" i="1"/>
  <c r="AC76" i="1"/>
  <c r="AB76" i="1"/>
  <c r="AA76" i="1"/>
  <c r="Z76" i="1"/>
  <c r="AB75" i="1"/>
  <c r="AC75" i="1" s="1"/>
  <c r="AA75" i="1"/>
  <c r="Z75" i="1"/>
  <c r="AC74" i="1"/>
  <c r="AB74" i="1"/>
  <c r="AA74" i="1"/>
  <c r="Z74" i="1"/>
  <c r="AB73" i="1"/>
  <c r="AC73" i="1" s="1"/>
  <c r="AA73" i="1"/>
  <c r="Z73" i="1"/>
  <c r="AC72" i="1"/>
  <c r="AB72" i="1"/>
  <c r="AA72" i="1"/>
  <c r="Z72" i="1"/>
  <c r="AB71" i="1"/>
  <c r="AC71" i="1" s="1"/>
  <c r="AA71" i="1"/>
  <c r="Z71" i="1"/>
  <c r="AC70" i="1"/>
  <c r="AB70" i="1"/>
  <c r="AA70" i="1"/>
  <c r="Z70" i="1"/>
  <c r="AB69" i="1"/>
  <c r="AC69" i="1" s="1"/>
  <c r="AA69" i="1"/>
  <c r="Z69" i="1"/>
  <c r="AC68" i="1"/>
  <c r="AB68" i="1"/>
  <c r="AA68" i="1"/>
  <c r="Z68" i="1"/>
  <c r="AB67" i="1"/>
  <c r="AC67" i="1" s="1"/>
  <c r="AA67" i="1"/>
  <c r="Z67" i="1"/>
  <c r="AC66" i="1"/>
  <c r="AB66" i="1"/>
  <c r="AA66" i="1"/>
  <c r="Z66" i="1"/>
  <c r="AB65" i="1"/>
  <c r="AC65" i="1" s="1"/>
  <c r="AA65" i="1"/>
  <c r="Z65" i="1"/>
  <c r="P65" i="1"/>
  <c r="K65" i="1"/>
  <c r="AC63" i="1"/>
  <c r="AB63" i="1"/>
  <c r="AA63" i="1"/>
  <c r="Z63" i="1"/>
  <c r="AB62" i="1"/>
  <c r="AC62" i="1" s="1"/>
  <c r="AA62" i="1"/>
  <c r="Z62" i="1"/>
  <c r="AC61" i="1"/>
  <c r="AB61" i="1"/>
  <c r="AA61" i="1"/>
  <c r="Z61" i="1"/>
  <c r="AB60" i="1"/>
  <c r="AC60" i="1" s="1"/>
  <c r="AA60" i="1"/>
  <c r="Z60" i="1"/>
  <c r="P60" i="1"/>
  <c r="K60" i="1"/>
  <c r="AB58" i="1"/>
  <c r="AC58" i="1" s="1"/>
  <c r="AA58" i="1"/>
  <c r="Z58" i="1"/>
  <c r="AC57" i="1"/>
  <c r="AB57" i="1"/>
  <c r="AA57" i="1"/>
  <c r="Z57" i="1"/>
  <c r="V57" i="1"/>
  <c r="P57" i="1"/>
  <c r="K57" i="1"/>
  <c r="AB55" i="1"/>
  <c r="AC55" i="1" s="1"/>
  <c r="AA55" i="1"/>
  <c r="Z55" i="1"/>
  <c r="AB54" i="1"/>
  <c r="AC54" i="1" s="1"/>
  <c r="AA54" i="1"/>
  <c r="Z54" i="1"/>
  <c r="AB53" i="1"/>
  <c r="AC53" i="1" s="1"/>
  <c r="AA53" i="1"/>
  <c r="Z53" i="1"/>
  <c r="AB52" i="1"/>
  <c r="AC52" i="1" s="1"/>
  <c r="AA52" i="1"/>
  <c r="Z52" i="1"/>
  <c r="AB51" i="1"/>
  <c r="AC51" i="1" s="1"/>
  <c r="AA51" i="1"/>
  <c r="Z51" i="1"/>
  <c r="V51" i="1"/>
  <c r="P51" i="1"/>
  <c r="K51" i="1"/>
  <c r="AB49" i="1"/>
  <c r="AC49" i="1" s="1"/>
  <c r="AA49" i="1"/>
  <c r="Z49" i="1"/>
  <c r="AC48" i="1"/>
  <c r="AB48" i="1"/>
  <c r="AA48" i="1"/>
  <c r="Z48" i="1"/>
  <c r="AB47" i="1"/>
  <c r="AC47" i="1" s="1"/>
  <c r="AA47" i="1"/>
  <c r="Z47" i="1"/>
  <c r="AC46" i="1"/>
  <c r="AB46" i="1"/>
  <c r="AA46" i="1"/>
  <c r="Z46" i="1"/>
  <c r="AB45" i="1"/>
  <c r="AC45" i="1" s="1"/>
  <c r="AA45" i="1"/>
  <c r="Z45" i="1"/>
  <c r="AB44" i="1"/>
  <c r="AC44" i="1" s="1"/>
  <c r="AA44" i="1"/>
  <c r="Z44" i="1"/>
  <c r="AB43" i="1"/>
  <c r="AC43" i="1" s="1"/>
  <c r="AA43" i="1"/>
  <c r="Z43" i="1"/>
  <c r="P43" i="1"/>
  <c r="K43" i="1"/>
  <c r="AA41" i="1"/>
  <c r="Z41" i="1"/>
  <c r="H41" i="1"/>
  <c r="AB41" i="1" s="1"/>
  <c r="AC41" i="1" s="1"/>
  <c r="AA40" i="1"/>
  <c r="Z40" i="1"/>
  <c r="H40" i="1"/>
  <c r="AB40" i="1" s="1"/>
  <c r="AC40" i="1" s="1"/>
  <c r="AA39" i="1"/>
  <c r="Z39" i="1"/>
  <c r="H39" i="1"/>
  <c r="AA38" i="1"/>
  <c r="Z38" i="1"/>
  <c r="H38" i="1"/>
  <c r="AB38" i="1" s="1"/>
  <c r="AC38" i="1" s="1"/>
  <c r="AA37" i="1"/>
  <c r="Z37" i="1"/>
  <c r="H37" i="1"/>
  <c r="AA36" i="1"/>
  <c r="Z36" i="1"/>
  <c r="H36" i="1"/>
  <c r="AB36" i="1" s="1"/>
  <c r="AC36" i="1" s="1"/>
  <c r="AA35" i="1"/>
  <c r="Z35" i="1"/>
  <c r="H35" i="1"/>
  <c r="AB35" i="1" s="1"/>
  <c r="AC35" i="1" s="1"/>
  <c r="AB34" i="1"/>
  <c r="AC34" i="1" s="1"/>
  <c r="AA34" i="1"/>
  <c r="Z34" i="1"/>
  <c r="H34" i="1"/>
  <c r="AA33" i="1"/>
  <c r="Z33" i="1"/>
  <c r="H33" i="1"/>
  <c r="AB39" i="1" s="1"/>
  <c r="AC39" i="1" s="1"/>
  <c r="AA32" i="1"/>
  <c r="Z32" i="1"/>
  <c r="H32" i="1"/>
  <c r="AB32" i="1" s="1"/>
  <c r="AC32" i="1" s="1"/>
  <c r="AA31" i="1"/>
  <c r="Z31" i="1"/>
  <c r="AA30" i="1"/>
  <c r="Z30" i="1"/>
  <c r="V30" i="1"/>
  <c r="P30" i="1"/>
  <c r="K30" i="1"/>
  <c r="J30" i="1"/>
  <c r="AB28" i="1"/>
  <c r="AC28" i="1" s="1"/>
  <c r="AA28" i="1"/>
  <c r="Z28" i="1"/>
  <c r="AB27" i="1"/>
  <c r="AC27" i="1" s="1"/>
  <c r="AA27" i="1"/>
  <c r="Z27" i="1"/>
  <c r="AB26" i="1"/>
  <c r="AC26" i="1" s="1"/>
  <c r="AA26" i="1"/>
  <c r="Z26" i="1"/>
  <c r="AB25" i="1"/>
  <c r="AC25" i="1" s="1"/>
  <c r="AA25" i="1"/>
  <c r="Z25" i="1"/>
  <c r="AB24" i="1"/>
  <c r="AC24" i="1" s="1"/>
  <c r="AA24" i="1"/>
  <c r="Z24" i="1"/>
  <c r="AB23" i="1"/>
  <c r="AC23" i="1" s="1"/>
  <c r="AA23" i="1"/>
  <c r="Z23" i="1"/>
  <c r="AB22" i="1"/>
  <c r="AC22" i="1" s="1"/>
  <c r="AA22" i="1"/>
  <c r="Z22" i="1"/>
  <c r="AB21" i="1"/>
  <c r="AC21" i="1" s="1"/>
  <c r="AA21" i="1"/>
  <c r="Z21" i="1"/>
  <c r="AB20" i="1"/>
  <c r="AC20" i="1" s="1"/>
  <c r="AA20" i="1"/>
  <c r="Z20" i="1"/>
  <c r="V20" i="1"/>
  <c r="P20" i="1"/>
  <c r="K20" i="1"/>
  <c r="AC18" i="1"/>
  <c r="AB18" i="1"/>
  <c r="AA18" i="1"/>
  <c r="Z18" i="1"/>
  <c r="AB17" i="1"/>
  <c r="AC17" i="1" s="1"/>
  <c r="AA17" i="1"/>
  <c r="Z17" i="1"/>
  <c r="P17" i="1"/>
  <c r="K17" i="1"/>
  <c r="AA15" i="1"/>
  <c r="Z15" i="1"/>
  <c r="H15" i="1"/>
  <c r="AB15" i="1" s="1"/>
  <c r="AC15" i="1" s="1"/>
  <c r="AA14" i="1"/>
  <c r="Z14" i="1"/>
  <c r="H14" i="1"/>
  <c r="AA13" i="1"/>
  <c r="Z13" i="1"/>
  <c r="H13" i="1"/>
  <c r="AB13" i="1" s="1"/>
  <c r="AC13" i="1" s="1"/>
  <c r="AA12" i="1"/>
  <c r="Z12" i="1"/>
  <c r="H12" i="1"/>
  <c r="AB12" i="1" s="1"/>
  <c r="AC12" i="1" s="1"/>
  <c r="AB11" i="1"/>
  <c r="AC11" i="1" s="1"/>
  <c r="AA11" i="1"/>
  <c r="Z11" i="1"/>
  <c r="P11" i="1"/>
  <c r="K11" i="1"/>
  <c r="H11" i="1"/>
  <c r="AB9" i="1"/>
  <c r="AC9" i="1" s="1"/>
  <c r="AA9" i="1"/>
  <c r="Z9" i="1"/>
  <c r="AB8" i="1"/>
  <c r="AC8" i="1" s="1"/>
  <c r="AA8" i="1"/>
  <c r="Z8" i="1"/>
  <c r="AB7" i="1"/>
  <c r="AC7" i="1" s="1"/>
  <c r="AA7" i="1"/>
  <c r="Z7" i="1"/>
  <c r="AB6" i="1"/>
  <c r="AC6" i="1" s="1"/>
  <c r="AA6" i="1"/>
  <c r="Z6" i="1"/>
  <c r="AB5" i="1"/>
  <c r="AC5" i="1" s="1"/>
  <c r="AA5" i="1"/>
  <c r="Z5" i="1"/>
  <c r="AB4" i="1"/>
  <c r="AC4" i="1" s="1"/>
  <c r="AA4" i="1"/>
  <c r="Z4" i="1"/>
  <c r="AB3" i="1"/>
  <c r="AC3" i="1" s="1"/>
  <c r="AA3" i="1"/>
  <c r="Z3" i="1"/>
  <c r="AB2" i="1"/>
  <c r="AC2" i="1" s="1"/>
  <c r="AA2" i="1"/>
  <c r="Z2" i="1"/>
  <c r="P2" i="1"/>
  <c r="K2" i="1"/>
  <c r="J2" i="1"/>
  <c r="AA1" i="1"/>
  <c r="Z1" i="1"/>
  <c r="AB14" i="1" l="1"/>
  <c r="AC14" i="1" s="1"/>
  <c r="AB37" i="1"/>
  <c r="AC37" i="1" s="1"/>
  <c r="AB141" i="1"/>
  <c r="AC141" i="1" s="1"/>
  <c r="AB313" i="1"/>
  <c r="AC313" i="1" s="1"/>
  <c r="AB311" i="1"/>
  <c r="AC311" i="1" s="1"/>
  <c r="AB312" i="1"/>
  <c r="AC312" i="1" s="1"/>
  <c r="AB31" i="1"/>
  <c r="AC31" i="1" s="1"/>
  <c r="AB179" i="1"/>
  <c r="AC179" i="1" s="1"/>
  <c r="AB195" i="1"/>
  <c r="AC195" i="1" s="1"/>
  <c r="AB267" i="1"/>
  <c r="AC267" i="1" s="1"/>
  <c r="AB143" i="1"/>
  <c r="AC143" i="1" s="1"/>
  <c r="AB196" i="1"/>
  <c r="AC196" i="1" s="1"/>
  <c r="AB33" i="1"/>
  <c r="AC33" i="1" s="1"/>
  <c r="AB97" i="1"/>
  <c r="AC97" i="1" s="1"/>
  <c r="AB264" i="1"/>
  <c r="AC264" i="1" s="1"/>
  <c r="AB268" i="1"/>
  <c r="AC268" i="1" s="1"/>
  <c r="AB30" i="1"/>
  <c r="AC30" i="1" s="1"/>
  <c r="AB314" i="1"/>
  <c r="AC314" i="1" s="1"/>
  <c r="AB444" i="1"/>
  <c r="AC444" i="1" s="1"/>
  <c r="AB446" i="1"/>
  <c r="AC446" i="1" s="1"/>
  <c r="AB448" i="1"/>
  <c r="AC448" i="1" s="1"/>
  <c r="AB450" i="1"/>
  <c r="AC450" i="1" s="1"/>
  <c r="AB452" i="1"/>
  <c r="AC452" i="1" s="1"/>
  <c r="AB454" i="1"/>
  <c r="AC454" i="1" s="1"/>
  <c r="AB456" i="1"/>
  <c r="AC456" i="1" s="1"/>
  <c r="AB458" i="1"/>
  <c r="AC458" i="1" s="1"/>
  <c r="AB460" i="1"/>
  <c r="AC460" i="1" s="1"/>
  <c r="AB462" i="1"/>
  <c r="AC462" i="1" s="1"/>
  <c r="AB464" i="1"/>
  <c r="AC464" i="1" s="1"/>
  <c r="AB466" i="1"/>
  <c r="AC466" i="1" s="1"/>
  <c r="AB468" i="1"/>
  <c r="AC468" i="1" s="1"/>
  <c r="AB470" i="1"/>
  <c r="AC470" i="1" s="1"/>
  <c r="AB472" i="1"/>
  <c r="AC472" i="1" s="1"/>
  <c r="AB474" i="1"/>
  <c r="AC474" i="1" s="1"/>
  <c r="AB476" i="1"/>
  <c r="AC476" i="1" s="1"/>
  <c r="AB478" i="1"/>
  <c r="AC478" i="1" s="1"/>
  <c r="AB480" i="1"/>
  <c r="AC480" i="1" s="1"/>
  <c r="AB482" i="1"/>
  <c r="AC482" i="1" s="1"/>
  <c r="AB484" i="1"/>
  <c r="AC484" i="1" s="1"/>
  <c r="AB486" i="1"/>
  <c r="AC486" i="1" s="1"/>
  <c r="AB488" i="1"/>
  <c r="AC488" i="1" s="1"/>
  <c r="AB490" i="1"/>
  <c r="AC490" i="1" s="1"/>
  <c r="AB492" i="1"/>
  <c r="AC492" i="1" s="1"/>
  <c r="AB494" i="1"/>
  <c r="AC494" i="1" s="1"/>
  <c r="AB496" i="1"/>
  <c r="AC49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X30" authorId="0" shapeId="0" xr:uid="{42C54CF8-1F1B-4F6A-9061-910D226A243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VERIFICAR DESCUENTO DEL 30%
</t>
        </r>
      </text>
    </comment>
  </commentList>
</comments>
</file>

<file path=xl/sharedStrings.xml><?xml version="1.0" encoding="utf-8"?>
<sst xmlns="http://schemas.openxmlformats.org/spreadsheetml/2006/main" count="1239" uniqueCount="611">
  <si>
    <t>FACTURA</t>
  </si>
  <si>
    <t>OT</t>
  </si>
  <si>
    <t>OC</t>
  </si>
  <si>
    <t>CANT</t>
  </si>
  <si>
    <t>DESCRIPCIÓN</t>
  </si>
  <si>
    <t>NP</t>
  </si>
  <si>
    <t>PRECIO ($)</t>
  </si>
  <si>
    <t>GUIA</t>
  </si>
  <si>
    <t>PESO (lb)</t>
  </si>
  <si>
    <t>VOL (in3)</t>
  </si>
  <si>
    <t>ENVIO($)</t>
  </si>
  <si>
    <t>FECHA DE ENVIO</t>
  </si>
  <si>
    <t>FECHA DE LLEGADA ESTIMADA</t>
  </si>
  <si>
    <t>FECHA DE LLEGADA</t>
  </si>
  <si>
    <t>TIEMPO (Días)</t>
  </si>
  <si>
    <t>PROFORMA</t>
  </si>
  <si>
    <t>FE</t>
  </si>
  <si>
    <t>S/.</t>
  </si>
  <si>
    <t>NC</t>
  </si>
  <si>
    <t>SALDO</t>
  </si>
  <si>
    <t>ENVIO</t>
  </si>
  <si>
    <t>($)</t>
  </si>
  <si>
    <t>PRECIO FINAL ($)</t>
  </si>
  <si>
    <t>INDICADOR</t>
  </si>
  <si>
    <t>KOM-EH7197</t>
  </si>
  <si>
    <t>F200-00701587</t>
  </si>
  <si>
    <t>0160 - 01310358</t>
  </si>
  <si>
    <t>F205-00486842</t>
  </si>
  <si>
    <t>KOM-EH7192</t>
  </si>
  <si>
    <t>KOM-EH7194</t>
  </si>
  <si>
    <t>KOM-EH7190</t>
  </si>
  <si>
    <t>KOM-EH7195</t>
  </si>
  <si>
    <t>KOM-RK1887</t>
  </si>
  <si>
    <t>KOM-H2981</t>
  </si>
  <si>
    <t xml:space="preserve">KOM-TZ8637 </t>
  </si>
  <si>
    <t xml:space="preserve">707-76-10140 </t>
  </si>
  <si>
    <t>F200-00702494</t>
  </si>
  <si>
    <t>0160 - 01311222</t>
  </si>
  <si>
    <t>F205-00487939</t>
  </si>
  <si>
    <t>707-76-10130</t>
  </si>
  <si>
    <t>707-75-11512</t>
  </si>
  <si>
    <t>707-75-10512</t>
  </si>
  <si>
    <t>707-44-16910</t>
  </si>
  <si>
    <t>342-9553</t>
  </si>
  <si>
    <t>F004-00158991</t>
  </si>
  <si>
    <t>0004 - 00235268</t>
  </si>
  <si>
    <t>F205-00489056</t>
  </si>
  <si>
    <t>KOM-58F/FS/AK020</t>
  </si>
  <si>
    <t>F004-00159917</t>
  </si>
  <si>
    <t>0004 - 00235808</t>
  </si>
  <si>
    <t>F205-00492344</t>
  </si>
  <si>
    <t>KOM-PC1144</t>
  </si>
  <si>
    <t>KOM-EH7196</t>
  </si>
  <si>
    <t>KOM-PC1431</t>
  </si>
  <si>
    <t>KOM-707/52/11631</t>
  </si>
  <si>
    <t>KOM-707/99/72390</t>
  </si>
  <si>
    <t>CAT-2H3932</t>
  </si>
  <si>
    <t>CAT-3K8692</t>
  </si>
  <si>
    <t>PC1431</t>
  </si>
  <si>
    <t>F004-00160090</t>
  </si>
  <si>
    <t>0003 - 00096163</t>
  </si>
  <si>
    <t>F205-00490616</t>
  </si>
  <si>
    <t>EJ7475</t>
  </si>
  <si>
    <t>EL2876</t>
  </si>
  <si>
    <t>707-76-10140</t>
  </si>
  <si>
    <t>707-7610130</t>
  </si>
  <si>
    <t>TZ8637</t>
  </si>
  <si>
    <t>721-98-01050</t>
  </si>
  <si>
    <t>707-52-90521</t>
  </si>
  <si>
    <t>040-71-00135</t>
  </si>
  <si>
    <t>CAT-2442073</t>
  </si>
  <si>
    <t>F200-707567</t>
  </si>
  <si>
    <t xml:space="preserve">	0160-1316009</t>
  </si>
  <si>
    <t>F205-00491395</t>
  </si>
  <si>
    <t>CAT-2456835</t>
  </si>
  <si>
    <t>CAT-2460649</t>
  </si>
  <si>
    <t>KOM-58B/SC/AK030</t>
  </si>
  <si>
    <t>CAT-4388593</t>
  </si>
  <si>
    <t xml:space="preserve">CAT-2341948 </t>
  </si>
  <si>
    <t>CAT-2292626</t>
  </si>
  <si>
    <t>KOM-SV5921</t>
  </si>
  <si>
    <t>F004-00160563</t>
  </si>
  <si>
    <t>0003 - 00096240</t>
  </si>
  <si>
    <t>KOM-VM0313</t>
  </si>
  <si>
    <t>KOM-TY8879</t>
  </si>
  <si>
    <t>KOM-TZ8637</t>
  </si>
  <si>
    <t>KOM-XA4155</t>
  </si>
  <si>
    <t>F004-00160600</t>
  </si>
  <si>
    <t>0004 - 00236207</t>
  </si>
  <si>
    <t>F205-00494252</t>
  </si>
  <si>
    <t>KOM-VN9350</t>
  </si>
  <si>
    <t>F200-00712328</t>
  </si>
  <si>
    <t>0160 - 01320266</t>
  </si>
  <si>
    <t>F205-00493531</t>
  </si>
  <si>
    <t>KOM-VN9353</t>
  </si>
  <si>
    <t>CAT-1483381</t>
  </si>
  <si>
    <t>CAT-4251571</t>
  </si>
  <si>
    <t>CAT-1722848</t>
  </si>
  <si>
    <t>F200-714083</t>
  </si>
  <si>
    <t>0160 - 01321827</t>
  </si>
  <si>
    <t>F205-00495094</t>
  </si>
  <si>
    <t>CAT-2341948</t>
  </si>
  <si>
    <t>KOM-WA1443</t>
  </si>
  <si>
    <t>KOM-WA0443</t>
  </si>
  <si>
    <t>CAT-2350974</t>
  </si>
  <si>
    <t>CAT-2151942</t>
  </si>
  <si>
    <t>CAT-1882199</t>
  </si>
  <si>
    <t>CAT-7J9250</t>
  </si>
  <si>
    <t>CAT-4381138</t>
  </si>
  <si>
    <t>CAT-1090119</t>
  </si>
  <si>
    <t>KOM-WA1456</t>
  </si>
  <si>
    <t>KOM-VN9351</t>
  </si>
  <si>
    <t>KOM-VA0538</t>
  </si>
  <si>
    <t>KOM-VN9346</t>
  </si>
  <si>
    <t>F004-163457</t>
  </si>
  <si>
    <t>0004-237716</t>
  </si>
  <si>
    <t>F205-00498800</t>
  </si>
  <si>
    <t xml:space="preserve"> KOM-EH7192</t>
  </si>
  <si>
    <t>KOM-707/99/84200</t>
  </si>
  <si>
    <t>KOM-707/99/67640</t>
  </si>
  <si>
    <t>Bushing</t>
  </si>
  <si>
    <t xml:space="preserve">07137-06010 </t>
  </si>
  <si>
    <t>F200-00718605</t>
  </si>
  <si>
    <t xml:space="preserve">	0160-1325993</t>
  </si>
  <si>
    <t>F205-00497502</t>
  </si>
  <si>
    <t>Ring</t>
  </si>
  <si>
    <t>WA0456</t>
  </si>
  <si>
    <t>ED3755</t>
  </si>
  <si>
    <t>Bolt</t>
  </si>
  <si>
    <t>01011-82710</t>
  </si>
  <si>
    <t>Arandela</t>
  </si>
  <si>
    <t>01643-32780</t>
  </si>
  <si>
    <t>Bearing</t>
  </si>
  <si>
    <t>CAT-1353161</t>
  </si>
  <si>
    <t>F200-00719956</t>
  </si>
  <si>
    <t>0160 - 01327158</t>
  </si>
  <si>
    <t>BALL</t>
  </si>
  <si>
    <t>KOM-04260/01270</t>
  </si>
  <si>
    <t>Kit de sello</t>
  </si>
  <si>
    <t>CAT-1U2182</t>
  </si>
  <si>
    <t>Limpiador</t>
  </si>
  <si>
    <t>CAT-7K9211</t>
  </si>
  <si>
    <t>Cojinete</t>
  </si>
  <si>
    <t>CAT-9J1175</t>
  </si>
  <si>
    <t>CAT-2459840</t>
  </si>
  <si>
    <t>07137-06010</t>
  </si>
  <si>
    <t>F200-00723434</t>
  </si>
  <si>
    <t>0160 - 01330328</t>
  </si>
  <si>
    <t>F205-00500583</t>
  </si>
  <si>
    <t>PISTON</t>
  </si>
  <si>
    <t>KOM-707/44/16910</t>
  </si>
  <si>
    <t>F004-00165003</t>
  </si>
  <si>
    <t>0003 - 00097438</t>
  </si>
  <si>
    <t>F205-00502586</t>
  </si>
  <si>
    <t>KIT</t>
  </si>
  <si>
    <t>CAT-4710317</t>
  </si>
  <si>
    <t>SEAGER</t>
  </si>
  <si>
    <t>PIN</t>
  </si>
  <si>
    <t>CAT-1661495</t>
  </si>
  <si>
    <t>CAT-2297188</t>
  </si>
  <si>
    <t>ROD BUSHING</t>
  </si>
  <si>
    <t>KOM-707/52/90560</t>
  </si>
  <si>
    <t>BEARING</t>
  </si>
  <si>
    <t xml:space="preserve">CAT-6E0804 </t>
  </si>
  <si>
    <t>BLADDER</t>
  </si>
  <si>
    <t>CAT-6271042</t>
  </si>
  <si>
    <t>TUERCA</t>
  </si>
  <si>
    <t>CAT-3J9449</t>
  </si>
  <si>
    <t>SELLO DE ACEITE</t>
  </si>
  <si>
    <t>SHIM</t>
  </si>
  <si>
    <t>KOM-EL2876</t>
  </si>
  <si>
    <t>F200-00726498</t>
  </si>
  <si>
    <t>0160 - 01333218</t>
  </si>
  <si>
    <t>KOM-EL2877</t>
  </si>
  <si>
    <t xml:space="preserve">KOM-EL2878 </t>
  </si>
  <si>
    <t>PLUG</t>
  </si>
  <si>
    <t>KOM-WB1199</t>
  </si>
  <si>
    <t>SPRING</t>
  </si>
  <si>
    <t xml:space="preserve">KOM-PB8864 </t>
  </si>
  <si>
    <t>BUSHING</t>
  </si>
  <si>
    <t>KOM-TY1503</t>
  </si>
  <si>
    <t>BUMPER RING</t>
  </si>
  <si>
    <t>KOM-EK7088</t>
  </si>
  <si>
    <t>F200-00730384</t>
  </si>
  <si>
    <t>0160 - 01336844</t>
  </si>
  <si>
    <t>F205-00504914</t>
  </si>
  <si>
    <t>707-99-84200</t>
  </si>
  <si>
    <t>F200-00731247</t>
  </si>
  <si>
    <t>0160 - 01337679</t>
  </si>
  <si>
    <t>707-99-67640</t>
  </si>
  <si>
    <t>707-99-77620</t>
  </si>
  <si>
    <t>707-52-90560</t>
  </si>
  <si>
    <t>707-99-67430</t>
  </si>
  <si>
    <t>Piston Assy</t>
  </si>
  <si>
    <t>198-63-15510</t>
  </si>
  <si>
    <t>F004-00166335</t>
  </si>
  <si>
    <t>0004 - 00238666</t>
  </si>
  <si>
    <t>325225-325025</t>
  </si>
  <si>
    <t>O'RING</t>
  </si>
  <si>
    <t>F200-00734167</t>
  </si>
  <si>
    <t>0160 - 01340414</t>
  </si>
  <si>
    <t>F205-00507481</t>
  </si>
  <si>
    <t>B/UP</t>
  </si>
  <si>
    <t>324925 325125</t>
  </si>
  <si>
    <t>324325 325725 324325</t>
  </si>
  <si>
    <t xml:space="preserve">KIT </t>
  </si>
  <si>
    <t xml:space="preserve"> RETAINER</t>
  </si>
  <si>
    <t>KOM-198/63/13871</t>
  </si>
  <si>
    <t>318625 322325</t>
  </si>
  <si>
    <t>RING</t>
  </si>
  <si>
    <t>*KOM-707/75/11512</t>
  </si>
  <si>
    <t>Ring, Snap</t>
  </si>
  <si>
    <t>*KOM-707/75/10512</t>
  </si>
  <si>
    <t>BOLT</t>
  </si>
  <si>
    <t>*KOM-01010/81865</t>
  </si>
  <si>
    <t>WASHER</t>
  </si>
  <si>
    <t>*KOM-01643/31845</t>
  </si>
  <si>
    <t>327825 STOCK</t>
  </si>
  <si>
    <t>REPLACEMENT SNAP RING</t>
  </si>
  <si>
    <t>CAT-3402381</t>
  </si>
  <si>
    <t>F004-00166850</t>
  </si>
  <si>
    <t>0003 - 00097995</t>
  </si>
  <si>
    <t>DESCUENTO</t>
  </si>
  <si>
    <t>F205-00506374</t>
  </si>
  <si>
    <t>REPLACEMENT VALVE ASSEMBLY</t>
  </si>
  <si>
    <t>CAT-4402667</t>
  </si>
  <si>
    <t xml:space="preserve">KOM-VN9351 </t>
  </si>
  <si>
    <t>STOCK</t>
  </si>
  <si>
    <t>930/960/980E REAR SEAL KIT</t>
  </si>
  <si>
    <t>KOM-58F/RS/AK031</t>
  </si>
  <si>
    <t>STOCK-321125</t>
  </si>
  <si>
    <t>830/930E STEERING SEAL KIT</t>
  </si>
  <si>
    <t>KOM-58F/SC/AK020</t>
  </si>
  <si>
    <t>321225 324125 322625</t>
  </si>
  <si>
    <t>TAPONES</t>
  </si>
  <si>
    <t>323725 324225</t>
  </si>
  <si>
    <t>SEAL KIT 10.500 X 4.000"</t>
  </si>
  <si>
    <t>326625 326525</t>
  </si>
  <si>
    <t>REPLACEMENT PIN WIPER</t>
  </si>
  <si>
    <t>CAT-7K9212</t>
  </si>
  <si>
    <t>REPLACEMENT BEARING SLEEVE</t>
  </si>
  <si>
    <t>CAT-1V8242</t>
  </si>
  <si>
    <t>SEAL KIT 6.250 X 2.750"</t>
  </si>
  <si>
    <t>CAT-4527462</t>
  </si>
  <si>
    <t>325125 324925 332525</t>
  </si>
  <si>
    <t>Shim</t>
  </si>
  <si>
    <t>EL2878</t>
  </si>
  <si>
    <t>F004-00167703</t>
  </si>
  <si>
    <t>0004 - 00239342</t>
  </si>
  <si>
    <t>F205-00508560</t>
  </si>
  <si>
    <t>Plug,Magnetic</t>
  </si>
  <si>
    <t>WB1199</t>
  </si>
  <si>
    <t>Bolt, CS</t>
  </si>
  <si>
    <t>WA1589</t>
  </si>
  <si>
    <t>Gear</t>
  </si>
  <si>
    <t>TAPON</t>
  </si>
  <si>
    <t>F004-00168176</t>
  </si>
  <si>
    <t>0004 - 00239584</t>
  </si>
  <si>
    <t>F205-00509684</t>
  </si>
  <si>
    <t>331925-STOCK</t>
  </si>
  <si>
    <t>LIMPIADOR</t>
  </si>
  <si>
    <t xml:space="preserve">CAT-7K9211 </t>
  </si>
  <si>
    <t>COJINETE</t>
  </si>
  <si>
    <t>JUEGO DE SELLOS</t>
  </si>
  <si>
    <t>SELLO</t>
  </si>
  <si>
    <t>KOM-VL7694</t>
  </si>
  <si>
    <t>ANILLO DE RETENCIÓN</t>
  </si>
  <si>
    <t>ANILLO DE DESGASTE</t>
  </si>
  <si>
    <t>KOM-PC2584</t>
  </si>
  <si>
    <t>KOM-PC2585</t>
  </si>
  <si>
    <t>KOM-58E/RS/AK011</t>
  </si>
  <si>
    <t>KOM-58B/98/01320</t>
  </si>
  <si>
    <t>322525-322625</t>
  </si>
  <si>
    <t>Washer</t>
  </si>
  <si>
    <t>WA5659</t>
  </si>
  <si>
    <t>F200-00738961</t>
  </si>
  <si>
    <t>0160 - 01344351</t>
  </si>
  <si>
    <t>Cap Screw</t>
  </si>
  <si>
    <t>WA0961</t>
  </si>
  <si>
    <t>Screw</t>
  </si>
  <si>
    <t>01643-31845</t>
  </si>
  <si>
    <t>01010-81865</t>
  </si>
  <si>
    <t>taller</t>
  </si>
  <si>
    <t>Imp. Sockt, 1"Drive x 3/4" Deep-12 Poin</t>
  </si>
  <si>
    <t>4224D</t>
  </si>
  <si>
    <t>334325 STOCK 2</t>
  </si>
  <si>
    <t>SEAL KIT</t>
  </si>
  <si>
    <t>F200-00739709</t>
  </si>
  <si>
    <t>0160 - 01345018</t>
  </si>
  <si>
    <t>333525 STOCK 2</t>
  </si>
  <si>
    <t>CAT-7J9694</t>
  </si>
  <si>
    <t>PIN WIPER</t>
  </si>
  <si>
    <t>CAT-8T7535</t>
  </si>
  <si>
    <t>CAT-2K4507</t>
  </si>
  <si>
    <t>CAT-4K3128</t>
  </si>
  <si>
    <t>334225 STOCK</t>
  </si>
  <si>
    <t>PIN SEAL</t>
  </si>
  <si>
    <t>CAT-6E0804</t>
  </si>
  <si>
    <t>REPLACEMENT ROD BEARING</t>
  </si>
  <si>
    <t>CAT-1140763</t>
  </si>
  <si>
    <t>CAT-2463431</t>
  </si>
  <si>
    <t>334925 335025
335525 336025
336125</t>
  </si>
  <si>
    <t xml:space="preserve">KOM-SV5921 </t>
  </si>
  <si>
    <t>F200-00742043</t>
  </si>
  <si>
    <t>0160 - 01347196</t>
  </si>
  <si>
    <t>F205-00511188</t>
  </si>
  <si>
    <t>KOMATSU REPLACEMENT PART</t>
  </si>
  <si>
    <t>SEAL KIT 5.500 X 3.500"</t>
  </si>
  <si>
    <t>CAT-2959892</t>
  </si>
  <si>
    <t>335725 - STOCK (2)</t>
  </si>
  <si>
    <t>CAT-7K9205</t>
  </si>
  <si>
    <t xml:space="preserve">335725 STOCK </t>
  </si>
  <si>
    <t>CAT-2341949</t>
  </si>
  <si>
    <t>SEAL KIT 5.250 X 3.000"</t>
  </si>
  <si>
    <t>336925 STOCK 2</t>
  </si>
  <si>
    <t>REPLACEMENT SPHERICAL BEAR</t>
  </si>
  <si>
    <t>CAT-7J3297</t>
  </si>
  <si>
    <t>336925 STOCK</t>
  </si>
  <si>
    <t>SEAL KIT 8.250 X 3.500"</t>
  </si>
  <si>
    <t>CAT-5J1446</t>
  </si>
  <si>
    <t>CAT-5J1192</t>
  </si>
  <si>
    <t xml:space="preserve">CAT-1U2182 </t>
  </si>
  <si>
    <t>SEAL KIT 5.000 X 3.250"</t>
  </si>
  <si>
    <t>CAT-2525105</t>
  </si>
  <si>
    <t>337325 337625</t>
  </si>
  <si>
    <t>100.00MM - ROD WIPER</t>
  </si>
  <si>
    <t>CAT-9X4597</t>
  </si>
  <si>
    <t>CAT-7K9204</t>
  </si>
  <si>
    <t>327525 STOCK 1</t>
  </si>
  <si>
    <t>REPLACEMENT CAT NUTS</t>
  </si>
  <si>
    <t>CAT-5J5731</t>
  </si>
  <si>
    <t>SEAL KIT 4.750 X 2.500"</t>
  </si>
  <si>
    <t>335625 STOCK 1</t>
  </si>
  <si>
    <t>F004-00169899</t>
  </si>
  <si>
    <t>0003 - 00098845</t>
  </si>
  <si>
    <t>F205-00513138</t>
  </si>
  <si>
    <t>CAT-1163516</t>
  </si>
  <si>
    <t>KOMATSU REPLACEMENT O'RING</t>
  </si>
  <si>
    <t xml:space="preserve">KOM-VG9098 </t>
  </si>
  <si>
    <t xml:space="preserve">KOM-EH7190 </t>
  </si>
  <si>
    <t>KOMATSU REPLACEMENT BEAR.</t>
  </si>
  <si>
    <t xml:space="preserve">KOM-562/50/31450 </t>
  </si>
  <si>
    <t>280.00MM. - ROD BUSHING</t>
  </si>
  <si>
    <t>KOM-581/50/11180</t>
  </si>
  <si>
    <t>REPLACEMENT GUIDE RING</t>
  </si>
  <si>
    <t>KOM-562/50/32270</t>
  </si>
  <si>
    <t>KOM-04071/00190</t>
  </si>
  <si>
    <t>HD1500 REAR SUSPENSION KIT</t>
  </si>
  <si>
    <t>KOM-AK5461</t>
  </si>
  <si>
    <t>830/930E FRONT SEAL KIT</t>
  </si>
  <si>
    <t>337425-STOCK</t>
  </si>
  <si>
    <t>CAT-3G2791</t>
  </si>
  <si>
    <t>SEAL KIT 150.00 X 75.00MM</t>
  </si>
  <si>
    <t>CAT-4251297</t>
  </si>
  <si>
    <t>SEAL KIT 100.00 X 50.00MM.</t>
  </si>
  <si>
    <t>CAT-6147755</t>
  </si>
  <si>
    <t>F200-00747355</t>
  </si>
  <si>
    <t>0160 - 01352128</t>
  </si>
  <si>
    <t>F205-00514146</t>
  </si>
  <si>
    <t xml:space="preserve">CAT-5334824 </t>
  </si>
  <si>
    <t>CAT-3J6899</t>
  </si>
  <si>
    <t>793 STEERING SEAL KIT</t>
  </si>
  <si>
    <t xml:space="preserve">CAT-3234199 </t>
  </si>
  <si>
    <t>KOMATSU REPLACEMENT B/UP</t>
  </si>
  <si>
    <t>KOMATSU REPLACEMENT BEARING</t>
  </si>
  <si>
    <t>338225-STOCK</t>
  </si>
  <si>
    <t>830E STEERING SEAL KIT</t>
  </si>
  <si>
    <t xml:space="preserve">KOM-58E/SC/AK011 </t>
  </si>
  <si>
    <t>250805-250585</t>
  </si>
  <si>
    <t>Valve Assy</t>
  </si>
  <si>
    <t>56186-67701</t>
  </si>
  <si>
    <t>F004-00171760</t>
  </si>
  <si>
    <t>0004 - 00241205</t>
  </si>
  <si>
    <t>F205-00518202</t>
  </si>
  <si>
    <t>Service Kit</t>
  </si>
  <si>
    <t>721-98-02900</t>
  </si>
  <si>
    <t>336225 336525</t>
  </si>
  <si>
    <t>Sensor</t>
  </si>
  <si>
    <t>7861-86-67701</t>
  </si>
  <si>
    <t>70776-16030A</t>
  </si>
  <si>
    <t>707-46-16040A</t>
  </si>
  <si>
    <t xml:space="preserve">707-52-91451A </t>
  </si>
  <si>
    <t>341625 -STOCK(8)</t>
  </si>
  <si>
    <t xml:space="preserve">Limpiador </t>
  </si>
  <si>
    <t>F004-00172371</t>
  </si>
  <si>
    <t>0004 - 00241637</t>
  </si>
  <si>
    <t>341625 -STOCK(4)</t>
  </si>
  <si>
    <t>Cojinete Esférico</t>
  </si>
  <si>
    <t xml:space="preserve">Tuercas </t>
  </si>
  <si>
    <t>Buje</t>
  </si>
  <si>
    <t>Kit de sellos</t>
  </si>
  <si>
    <t>CAT-2339205</t>
  </si>
  <si>
    <t>338625-338925</t>
  </si>
  <si>
    <t xml:space="preserve"> Anillo de Retención</t>
  </si>
  <si>
    <t>CAT-8J8905</t>
  </si>
  <si>
    <t xml:space="preserve">Casquillo </t>
  </si>
  <si>
    <t>Tapon</t>
  </si>
  <si>
    <t xml:space="preserve">Cojinete </t>
  </si>
  <si>
    <t xml:space="preserve">CAT-1559100 </t>
  </si>
  <si>
    <t>CAT-1722997</t>
  </si>
  <si>
    <t>342425 STOCK 2</t>
  </si>
  <si>
    <t>F200-00751739</t>
  </si>
  <si>
    <t>0160 - 01356030</t>
  </si>
  <si>
    <t>F205-00516998</t>
  </si>
  <si>
    <t>340725 340825</t>
  </si>
  <si>
    <t>SEAL KIT 210.00 X 130.00MM</t>
  </si>
  <si>
    <t>CAT-4779286</t>
  </si>
  <si>
    <t>160.00MM.- ROD WIPER</t>
  </si>
  <si>
    <t>CAT-9X7700</t>
  </si>
  <si>
    <t>60.00MM. - PIN WIPER</t>
  </si>
  <si>
    <t>CAT-5334824</t>
  </si>
  <si>
    <t>CAT-3234199</t>
  </si>
  <si>
    <t>F200-00754741</t>
  </si>
  <si>
    <t>0160 - 01358803</t>
  </si>
  <si>
    <t>140.00MM - PIN WIPER</t>
  </si>
  <si>
    <t>CAT-9X4601</t>
  </si>
  <si>
    <t>SEAL KIT 10.500 X 5.500"</t>
  </si>
  <si>
    <t>CAT-2481198</t>
  </si>
  <si>
    <t>CAT-8T9044</t>
  </si>
  <si>
    <t>F200-00757314</t>
  </si>
  <si>
    <t>0160 - 01361129</t>
  </si>
  <si>
    <t>F205-00520506</t>
  </si>
  <si>
    <t>KOM-PB0027</t>
  </si>
  <si>
    <t>PO</t>
  </si>
  <si>
    <t>03.000" - ROD WEAR RING</t>
  </si>
  <si>
    <t>CAT-9T0094</t>
  </si>
  <si>
    <t>SEAL KIT 6.000 X 2.750"</t>
  </si>
  <si>
    <t>CAT-2618001</t>
  </si>
  <si>
    <t>SEAL KIT 210.00 X 130.00MM.</t>
  </si>
  <si>
    <t>Cover</t>
  </si>
  <si>
    <t>EH9522</t>
  </si>
  <si>
    <t>F004-00173621</t>
  </si>
  <si>
    <t>0004 - 00242426</t>
  </si>
  <si>
    <t>F205-00521995</t>
  </si>
  <si>
    <t>Bearing, Lower 176</t>
  </si>
  <si>
    <t>58B-60-01230</t>
  </si>
  <si>
    <t>Pin</t>
  </si>
  <si>
    <t>562-22-32290</t>
  </si>
  <si>
    <t>Bearing, Upper 20</t>
  </si>
  <si>
    <t xml:space="preserve">58B-60-01240 </t>
  </si>
  <si>
    <t>REPLACEMENT BACKUP RING</t>
  </si>
  <si>
    <t>F200-00765904</t>
  </si>
  <si>
    <t>0160 - 01368942</t>
  </si>
  <si>
    <t>F205-00525525</t>
  </si>
  <si>
    <t>REPLACEMENT O'RING</t>
  </si>
  <si>
    <t xml:space="preserve">CAT-4J6888 </t>
  </si>
  <si>
    <t>797B / 797F STEERING KIT</t>
  </si>
  <si>
    <t>SEAL KIT 5.500 X 2.750"</t>
  </si>
  <si>
    <t>CAT-3367346</t>
  </si>
  <si>
    <t>CAT-7J1309</t>
  </si>
  <si>
    <t>339225-339225</t>
  </si>
  <si>
    <t>ya esta pagada 15/09</t>
  </si>
  <si>
    <t>Anillo de retención de reemplazo</t>
  </si>
  <si>
    <t>F004-00176650</t>
  </si>
  <si>
    <t>0003 - 00099892</t>
  </si>
  <si>
    <t>F205-00529229</t>
  </si>
  <si>
    <t>Tuercas CAT de reemplazo</t>
  </si>
  <si>
    <t xml:space="preserve">347625 346925 348425 348125 </t>
  </si>
  <si>
    <t>347625 346925 348425 348125</t>
  </si>
  <si>
    <t>Kit de sellos 10.500 x 4.000"</t>
  </si>
  <si>
    <t xml:space="preserve">
Tapón del puerto del sensor</t>
  </si>
  <si>
    <t>Tapón</t>
  </si>
  <si>
    <t>Reten tipo O-ring</t>
  </si>
  <si>
    <t>KOM-WA0363</t>
  </si>
  <si>
    <t xml:space="preserve">KOM-WA0443 </t>
  </si>
  <si>
    <t>Bola de acero</t>
  </si>
  <si>
    <t>Válvula purgadora - acero</t>
  </si>
  <si>
    <t>KOM-VF4319</t>
  </si>
  <si>
    <t>KOM-WA0720</t>
  </si>
  <si>
    <t>Perno</t>
  </si>
  <si>
    <t>KOM-C1602</t>
  </si>
  <si>
    <t>programada para  3/10</t>
  </si>
  <si>
    <t>F004-00176961</t>
  </si>
  <si>
    <t>0003-00100087</t>
  </si>
  <si>
    <t>Juego de sellos</t>
  </si>
  <si>
    <t>CAT-2295507</t>
  </si>
  <si>
    <t>Buje de rodamiento</t>
  </si>
  <si>
    <t>Anillo de retención</t>
  </si>
  <si>
    <t>Kit acumulador</t>
  </si>
  <si>
    <t>339325-339225-339125-338725</t>
  </si>
  <si>
    <t>Limpiador de vástago</t>
  </si>
  <si>
    <t>349625 -STOCK</t>
  </si>
  <si>
    <t>980E STEERING SEAL KIT</t>
  </si>
  <si>
    <t>F200-00775836</t>
  </si>
  <si>
    <t>0160-01377643</t>
  </si>
  <si>
    <t>F205-00530524</t>
  </si>
  <si>
    <t>160.00MM. - ROD BUSHING</t>
  </si>
  <si>
    <t>KOM-707/52/11610</t>
  </si>
  <si>
    <t>WA900 LIFT SEAL KIT</t>
  </si>
  <si>
    <t>KOM-707/99/85900</t>
  </si>
  <si>
    <t>programada para el 10/10</t>
  </si>
  <si>
    <t>CAT-2003926</t>
  </si>
  <si>
    <t>F004-178826</t>
  </si>
  <si>
    <t>0004-245075</t>
  </si>
  <si>
    <t>F205-00534217</t>
  </si>
  <si>
    <t>CATERPILLAR REPLACMENT PART</t>
  </si>
  <si>
    <t>CAT-1J2192</t>
  </si>
  <si>
    <t>SEAL KIT 7.000 X 4.000"</t>
  </si>
  <si>
    <t xml:space="preserve">CAT-2295507 </t>
  </si>
  <si>
    <t xml:space="preserve">KOM-EH7195 </t>
  </si>
  <si>
    <t>353125-353825-353625-354025-351325</t>
  </si>
  <si>
    <t xml:space="preserve">KOM-WA1443 </t>
  </si>
  <si>
    <t>04.750" - PISTON WEAR RING</t>
  </si>
  <si>
    <t>CAT-8T8390</t>
  </si>
  <si>
    <t>349525-STOCK</t>
  </si>
  <si>
    <t>353425 351725 354325</t>
  </si>
  <si>
    <t>115.00MM. - ROD BUSHING</t>
  </si>
  <si>
    <t>160.00MM - PISTON RING</t>
  </si>
  <si>
    <t>CAT-1289262</t>
  </si>
  <si>
    <t>SEAL KIT 160.00 X 115.00MM.</t>
  </si>
  <si>
    <t>707-76-18030</t>
  </si>
  <si>
    <t>F004-00179236</t>
  </si>
  <si>
    <t>0004 - 00245363</t>
  </si>
  <si>
    <t>Dust Seal</t>
  </si>
  <si>
    <t>427-09-11120</t>
  </si>
  <si>
    <t>tapon</t>
  </si>
  <si>
    <t>F200-00785997</t>
  </si>
  <si>
    <t>0160-01386723</t>
  </si>
  <si>
    <t>F205-00537044</t>
  </si>
  <si>
    <t>cojinetes</t>
  </si>
  <si>
    <t>juego de sellos</t>
  </si>
  <si>
    <t>anillo reten - seguros</t>
  </si>
  <si>
    <t>valvula</t>
  </si>
  <si>
    <t>KOM-PB2194</t>
  </si>
  <si>
    <t xml:space="preserve">CAT-5J1446 </t>
  </si>
  <si>
    <t>Brake D-Mount MICO</t>
  </si>
  <si>
    <t>Model 13-552-070</t>
  </si>
  <si>
    <t>F004-00182373</t>
  </si>
  <si>
    <t>0004 - 00247392</t>
  </si>
  <si>
    <t>F205-00542819</t>
  </si>
  <si>
    <t>Rear Susp. OH.Kit</t>
  </si>
  <si>
    <t>58F-RS-AK010</t>
  </si>
  <si>
    <t>F004-00182711</t>
  </si>
  <si>
    <t>0003 - 00100425</t>
  </si>
  <si>
    <t>Bearing, Upper16</t>
  </si>
  <si>
    <t>58B-60-01290</t>
  </si>
  <si>
    <t xml:space="preserve">Bearing, Lower14 </t>
  </si>
  <si>
    <t>58B-60-01280</t>
  </si>
  <si>
    <t>F004-00182873</t>
  </si>
  <si>
    <t>0004 - 00247703</t>
  </si>
  <si>
    <t>F205-00543856</t>
  </si>
  <si>
    <t xml:space="preserve">1090337-01 </t>
  </si>
  <si>
    <t xml:space="preserve">CAT-2442073 </t>
  </si>
  <si>
    <t>F200-00795721</t>
  </si>
  <si>
    <t>0160-01395792</t>
  </si>
  <si>
    <t>1091113-01</t>
  </si>
  <si>
    <t>SEAL KIT 180.00 X 110.00MM</t>
  </si>
  <si>
    <t>1089121-01</t>
  </si>
  <si>
    <t>351225 stock</t>
  </si>
  <si>
    <t>1090303-01</t>
  </si>
  <si>
    <t>CAT-5J3488</t>
  </si>
  <si>
    <t>CAT-3G7624</t>
  </si>
  <si>
    <t>SEAL KIT 6.250 X 3.250"</t>
  </si>
  <si>
    <t>CAT-3812334</t>
  </si>
  <si>
    <t xml:space="preserve">1090315-01 </t>
  </si>
  <si>
    <t>F200-00804148</t>
  </si>
  <si>
    <t>0160-01404189</t>
  </si>
  <si>
    <t>F205-00548105</t>
  </si>
  <si>
    <t xml:space="preserve">CAT-3J6899 </t>
  </si>
  <si>
    <t xml:space="preserve">KOM-VN9350 </t>
  </si>
  <si>
    <t>SEAL KIT 170.00 X 3.250"</t>
  </si>
  <si>
    <t>CAT-4576093</t>
  </si>
  <si>
    <t>CAT-9J7099</t>
  </si>
  <si>
    <t>CAT-2J7686</t>
  </si>
  <si>
    <t>1095464-01</t>
  </si>
  <si>
    <t>A260009</t>
  </si>
  <si>
    <t>CAT-3402376</t>
  </si>
  <si>
    <t>DESCUENTO DEL 25% (CARGA &gt;50KG)</t>
  </si>
  <si>
    <t>REPLACEMENT CHROME BALL</t>
  </si>
  <si>
    <t xml:space="preserve">CAT-4B9786 </t>
  </si>
  <si>
    <t>CAT-5P0840</t>
  </si>
  <si>
    <t>CAT-1143361</t>
  </si>
  <si>
    <t>CAT-0336039</t>
  </si>
  <si>
    <t>HD1500-5 HOIST SEAL KIT</t>
  </si>
  <si>
    <t>KOM-AK4955</t>
  </si>
  <si>
    <t>793 REAR SUSPESION SEAL KIT</t>
  </si>
  <si>
    <t>CAT-3802688</t>
  </si>
  <si>
    <t>1091668-02</t>
  </si>
  <si>
    <t>1093818-01</t>
  </si>
  <si>
    <t>SEAL KIT 180.00 X 110.00MM.</t>
  </si>
  <si>
    <t>1094699-01</t>
  </si>
  <si>
    <t>D260014</t>
  </si>
  <si>
    <t>SEAL KIT 160.00 X 110.00MM</t>
  </si>
  <si>
    <t>CAT-3338750</t>
  </si>
  <si>
    <t>CAT-1140762</t>
  </si>
  <si>
    <t>90.00MM. - PIN SEAL</t>
  </si>
  <si>
    <t>CAT-7X4803</t>
  </si>
  <si>
    <t>130.00MM.- ROD WIPER</t>
  </si>
  <si>
    <t>CAT-9X4600</t>
  </si>
  <si>
    <t>150.00MM - ROD WEAR RING</t>
  </si>
  <si>
    <t>CAT-5701984</t>
  </si>
  <si>
    <t>REPLACEMENT SPHERICAL BEAR.</t>
  </si>
  <si>
    <t>CAT-1232112</t>
  </si>
  <si>
    <t xml:space="preserve">CAT-0875533 </t>
  </si>
  <si>
    <t>CAT-0875548</t>
  </si>
  <si>
    <t xml:space="preserve">CAT-1J2192 </t>
  </si>
  <si>
    <t>1094709-01</t>
  </si>
  <si>
    <t>D260015</t>
  </si>
  <si>
    <t>PC1250LC-8 BOOM SEAL KIT</t>
  </si>
  <si>
    <t>KOM-707/99/78440</t>
  </si>
  <si>
    <t>225.00MM - PISTON RING</t>
  </si>
  <si>
    <t>KOM-707/44/22920</t>
  </si>
  <si>
    <t xml:space="preserve">1094710-01 </t>
  </si>
  <si>
    <t>A260001</t>
  </si>
  <si>
    <t xml:space="preserve">CAT-8J8905 </t>
  </si>
  <si>
    <t>1094710-01</t>
  </si>
  <si>
    <t>KOMATSU REPLACEMENT PLUG</t>
  </si>
  <si>
    <t xml:space="preserve">CAT-7K9204 </t>
  </si>
  <si>
    <t xml:space="preserve">CAT-9T0094 </t>
  </si>
  <si>
    <t>1094930-01</t>
  </si>
  <si>
    <t>M260032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</si>
</sst>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/>
    </xf>
    <xf numFmtId="4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43" fontId="2" fillId="0" borderId="0" xfId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4097-7520-4DCB-876D-FD8C43E1A373}">
  <dimension ref="A1:AC502"/>
  <sheetViews>
    <sheetView tabSelected="1" topLeftCell="B1" zoomScale="55" zoomScaleNormal="55" workbookViewId="0">
      <pane ySplit="1" topLeftCell="A450" activePane="bottomLeft" state="frozen"/>
      <selection pane="bottomLeft" activeCell="AB444" sqref="AB444"/>
    </sheetView>
  </sheetViews>
  <sheetFormatPr baseColWidth="10" defaultColWidth="8.88671875" defaultRowHeight="14.4" x14ac:dyDescent="0.3"/>
  <cols>
    <col min="1" max="1" width="14.21875" hidden="1" customWidth="1"/>
    <col min="2" max="2" width="14.21875" customWidth="1"/>
    <col min="3" max="3" width="10" style="1" customWidth="1"/>
    <col min="4" max="4" width="9.6640625" style="1" customWidth="1"/>
    <col min="5" max="5" width="11.33203125" style="1" customWidth="1"/>
    <col min="6" max="6" width="31.6640625" style="1" customWidth="1"/>
    <col min="7" max="7" width="19.77734375" style="1" customWidth="1"/>
    <col min="8" max="8" width="15.109375" style="1" customWidth="1"/>
    <col min="9" max="9" width="16" style="1" customWidth="1"/>
    <col min="10" max="10" width="14.44140625" style="1" customWidth="1"/>
    <col min="11" max="11" width="15.109375" style="1" customWidth="1"/>
    <col min="12" max="12" width="16.109375" style="1" customWidth="1"/>
    <col min="13" max="13" width="22.109375" style="1" customWidth="1"/>
    <col min="14" max="14" width="31.21875" style="1" customWidth="1"/>
    <col min="15" max="15" width="22.44140625" style="1" customWidth="1"/>
    <col min="16" max="16" width="18.6640625" style="3" customWidth="1"/>
    <col min="17" max="17" width="10.5546875" style="1" bestFit="1" customWidth="1"/>
    <col min="18" max="18" width="16.109375" style="1" customWidth="1"/>
    <col min="19" max="19" width="10.5546875" style="1" bestFit="1" customWidth="1"/>
    <col min="20" max="20" width="20.77734375" customWidth="1"/>
    <col min="21" max="21" width="12.77734375" customWidth="1"/>
    <col min="22" max="22" width="15" customWidth="1"/>
    <col min="23" max="23" width="23" customWidth="1"/>
    <col min="24" max="24" width="17.21875" customWidth="1"/>
    <col min="26" max="26" width="36" style="1" customWidth="1"/>
    <col min="27" max="27" width="19.88671875" customWidth="1"/>
    <col min="28" max="28" width="14.88671875" customWidth="1"/>
    <col min="29" max="29" width="13.6640625" customWidth="1"/>
  </cols>
  <sheetData>
    <row r="1" spans="2:29" x14ac:dyDescent="0.3"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17</v>
      </c>
      <c r="V1" s="1" t="s">
        <v>19</v>
      </c>
      <c r="W1" s="1" t="s">
        <v>20</v>
      </c>
      <c r="X1" s="1" t="s">
        <v>21</v>
      </c>
      <c r="Z1" s="1" t="str">
        <f t="shared" ref="Z1:AA15" si="0">F1</f>
        <v>DESCRIPCIÓN</v>
      </c>
      <c r="AA1" t="str">
        <f t="shared" si="0"/>
        <v>NP</v>
      </c>
      <c r="AB1" t="s">
        <v>22</v>
      </c>
      <c r="AC1" s="1" t="s">
        <v>23</v>
      </c>
    </row>
    <row r="2" spans="2:29" x14ac:dyDescent="0.3">
      <c r="E2" s="2">
        <v>6</v>
      </c>
      <c r="F2" s="2"/>
      <c r="G2" s="2" t="s">
        <v>24</v>
      </c>
      <c r="H2" s="2">
        <v>356.88</v>
      </c>
      <c r="I2" s="4">
        <v>7700573263</v>
      </c>
      <c r="J2" s="5">
        <f>7</f>
        <v>7</v>
      </c>
      <c r="K2" s="5">
        <f>12*12*6</f>
        <v>864</v>
      </c>
      <c r="L2" s="5">
        <v>234.91</v>
      </c>
      <c r="M2" s="6">
        <v>45666</v>
      </c>
      <c r="N2" s="6">
        <v>45671</v>
      </c>
      <c r="O2" s="6">
        <v>45673</v>
      </c>
      <c r="P2" s="7">
        <f>O2-M2</f>
        <v>7</v>
      </c>
      <c r="Q2" s="8"/>
      <c r="R2" s="4" t="s">
        <v>25</v>
      </c>
      <c r="S2" s="5">
        <v>153.44999999999999</v>
      </c>
      <c r="T2" s="4" t="s">
        <v>26</v>
      </c>
      <c r="U2" s="9">
        <v>1281</v>
      </c>
      <c r="V2" s="9"/>
      <c r="W2" s="4" t="s">
        <v>27</v>
      </c>
      <c r="X2" s="5">
        <v>199.08</v>
      </c>
      <c r="Y2" s="10"/>
      <c r="Z2" s="1">
        <f t="shared" si="0"/>
        <v>0</v>
      </c>
      <c r="AA2" t="str">
        <f t="shared" si="0"/>
        <v>KOM-EH7197</v>
      </c>
      <c r="AB2">
        <f t="shared" ref="AB2:AB9" si="1">H2+($S$2+$U$2)*H2/SUM($H$2:$H$9)/3.74+$X$2*H2/SUM($H$2:$H$9)</f>
        <v>503.04868633161306</v>
      </c>
      <c r="AC2" s="11">
        <f t="shared" ref="AC2:AC9" si="2">AB2/H2</f>
        <v>1.4095737680217806</v>
      </c>
    </row>
    <row r="3" spans="2:29" x14ac:dyDescent="0.3">
      <c r="E3" s="2">
        <v>3</v>
      </c>
      <c r="F3" s="2"/>
      <c r="G3" s="2" t="s">
        <v>28</v>
      </c>
      <c r="H3" s="2">
        <v>90</v>
      </c>
      <c r="I3" s="4"/>
      <c r="J3" s="5"/>
      <c r="K3" s="5"/>
      <c r="L3" s="5"/>
      <c r="M3" s="5"/>
      <c r="N3" s="5"/>
      <c r="O3" s="6"/>
      <c r="P3" s="7"/>
      <c r="Q3" s="10"/>
      <c r="R3" s="4"/>
      <c r="S3" s="5"/>
      <c r="T3" s="4"/>
      <c r="U3" s="5"/>
      <c r="V3" s="5"/>
      <c r="W3" s="4"/>
      <c r="X3" s="5"/>
      <c r="Y3" s="10"/>
      <c r="Z3" s="1">
        <f t="shared" si="0"/>
        <v>0</v>
      </c>
      <c r="AA3" t="str">
        <f t="shared" si="0"/>
        <v>KOM-EH7192</v>
      </c>
      <c r="AB3">
        <f t="shared" si="1"/>
        <v>126.86163912196025</v>
      </c>
      <c r="AC3" s="11">
        <f t="shared" si="2"/>
        <v>1.4095737680217806</v>
      </c>
    </row>
    <row r="4" spans="2:29" x14ac:dyDescent="0.3">
      <c r="E4" s="2">
        <v>3</v>
      </c>
      <c r="F4" s="2"/>
      <c r="G4" s="2" t="s">
        <v>29</v>
      </c>
      <c r="H4" s="2">
        <v>119.94</v>
      </c>
      <c r="I4" s="4"/>
      <c r="J4" s="5"/>
      <c r="K4" s="5"/>
      <c r="L4" s="5"/>
      <c r="M4" s="5"/>
      <c r="N4" s="5"/>
      <c r="O4" s="6"/>
      <c r="P4" s="7"/>
      <c r="Q4" s="10"/>
      <c r="R4" s="4"/>
      <c r="S4" s="5"/>
      <c r="T4" s="4"/>
      <c r="U4" s="5"/>
      <c r="V4" s="5"/>
      <c r="W4" s="4"/>
      <c r="X4" s="5"/>
      <c r="Y4" s="10"/>
      <c r="Z4" s="1">
        <f t="shared" si="0"/>
        <v>0</v>
      </c>
      <c r="AA4" t="str">
        <f t="shared" si="0"/>
        <v>KOM-EH7194</v>
      </c>
      <c r="AB4">
        <f t="shared" si="1"/>
        <v>169.06427773653235</v>
      </c>
      <c r="AC4" s="11">
        <f t="shared" si="2"/>
        <v>1.4095737680217806</v>
      </c>
    </row>
    <row r="5" spans="2:29" x14ac:dyDescent="0.3">
      <c r="E5" s="2">
        <v>3</v>
      </c>
      <c r="F5" s="2"/>
      <c r="G5" s="2" t="s">
        <v>30</v>
      </c>
      <c r="H5" s="2">
        <v>14.61</v>
      </c>
      <c r="I5" s="4"/>
      <c r="J5" s="5"/>
      <c r="K5" s="5"/>
      <c r="L5" s="5"/>
      <c r="M5" s="5"/>
      <c r="N5" s="5"/>
      <c r="O5" s="6"/>
      <c r="P5" s="7"/>
      <c r="Q5" s="10"/>
      <c r="R5" s="4"/>
      <c r="S5" s="5"/>
      <c r="T5" s="4"/>
      <c r="U5" s="5"/>
      <c r="V5" s="5"/>
      <c r="W5" s="4"/>
      <c r="X5" s="5"/>
      <c r="Y5" s="10"/>
      <c r="Z5" s="1">
        <f t="shared" si="0"/>
        <v>0</v>
      </c>
      <c r="AA5" t="str">
        <f t="shared" si="0"/>
        <v>KOM-EH7190</v>
      </c>
      <c r="AB5">
        <f t="shared" si="1"/>
        <v>20.593872750798216</v>
      </c>
      <c r="AC5" s="11">
        <f t="shared" si="2"/>
        <v>1.4095737680217808</v>
      </c>
    </row>
    <row r="6" spans="2:29" x14ac:dyDescent="0.3">
      <c r="E6" s="2">
        <v>3</v>
      </c>
      <c r="F6" s="2"/>
      <c r="G6" s="2" t="s">
        <v>31</v>
      </c>
      <c r="H6" s="2">
        <v>148.41</v>
      </c>
      <c r="I6" s="4"/>
      <c r="J6" s="5"/>
      <c r="K6" s="5"/>
      <c r="L6" s="5"/>
      <c r="M6" s="5"/>
      <c r="N6" s="5"/>
      <c r="O6" s="6"/>
      <c r="P6" s="7"/>
      <c r="Q6" s="10"/>
      <c r="R6" s="4"/>
      <c r="S6" s="5"/>
      <c r="T6" s="4"/>
      <c r="U6" s="5"/>
      <c r="V6" s="5"/>
      <c r="W6" s="4"/>
      <c r="X6" s="5"/>
      <c r="Y6" s="10"/>
      <c r="Z6" s="1">
        <f t="shared" si="0"/>
        <v>0</v>
      </c>
      <c r="AA6" t="str">
        <f t="shared" si="0"/>
        <v>KOM-EH7195</v>
      </c>
      <c r="AB6">
        <f t="shared" si="1"/>
        <v>209.19484291211248</v>
      </c>
      <c r="AC6" s="11">
        <f t="shared" si="2"/>
        <v>1.4095737680217808</v>
      </c>
    </row>
    <row r="7" spans="2:29" x14ac:dyDescent="0.3">
      <c r="E7" s="2">
        <v>10</v>
      </c>
      <c r="F7" s="2"/>
      <c r="G7" s="2" t="s">
        <v>32</v>
      </c>
      <c r="H7" s="2">
        <v>530.9</v>
      </c>
      <c r="I7" s="4"/>
      <c r="J7" s="5"/>
      <c r="K7" s="5"/>
      <c r="L7" s="5"/>
      <c r="M7" s="5"/>
      <c r="N7" s="5"/>
      <c r="O7" s="6"/>
      <c r="P7" s="7"/>
      <c r="Q7" s="10"/>
      <c r="R7" s="4"/>
      <c r="S7" s="5"/>
      <c r="T7" s="4"/>
      <c r="U7" s="5"/>
      <c r="V7" s="5"/>
      <c r="W7" s="4"/>
      <c r="X7" s="5"/>
      <c r="Y7" s="10"/>
      <c r="Z7" s="1">
        <f t="shared" si="0"/>
        <v>0</v>
      </c>
      <c r="AA7" t="str">
        <f t="shared" si="0"/>
        <v>KOM-RK1887</v>
      </c>
      <c r="AB7">
        <f t="shared" si="1"/>
        <v>748.3427134427634</v>
      </c>
      <c r="AC7" s="11">
        <f t="shared" si="2"/>
        <v>1.4095737680217808</v>
      </c>
    </row>
    <row r="8" spans="2:29" x14ac:dyDescent="0.3">
      <c r="E8" s="2">
        <v>16</v>
      </c>
      <c r="F8" s="2"/>
      <c r="G8" s="2" t="s">
        <v>33</v>
      </c>
      <c r="H8" s="2">
        <v>30.4</v>
      </c>
      <c r="I8" s="4"/>
      <c r="J8" s="5"/>
      <c r="K8" s="5"/>
      <c r="L8" s="5"/>
      <c r="M8" s="5"/>
      <c r="N8" s="5"/>
      <c r="O8" s="6"/>
      <c r="P8" s="7"/>
      <c r="Q8" s="10"/>
      <c r="R8" s="4"/>
      <c r="S8" s="5"/>
      <c r="T8" s="4"/>
      <c r="U8" s="5"/>
      <c r="V8" s="5"/>
      <c r="W8" s="4"/>
      <c r="X8" s="5"/>
      <c r="Y8" s="10"/>
      <c r="Z8" s="1">
        <f t="shared" si="0"/>
        <v>0</v>
      </c>
      <c r="AA8" t="str">
        <f t="shared" si="0"/>
        <v>KOM-H2981</v>
      </c>
      <c r="AB8">
        <f t="shared" si="1"/>
        <v>42.851042547862129</v>
      </c>
      <c r="AC8" s="11">
        <f t="shared" si="2"/>
        <v>1.4095737680217806</v>
      </c>
    </row>
    <row r="9" spans="2:29" x14ac:dyDescent="0.3">
      <c r="E9" s="2">
        <v>3</v>
      </c>
      <c r="F9" s="2"/>
      <c r="G9" s="2" t="s">
        <v>34</v>
      </c>
      <c r="H9" s="2">
        <v>131.37</v>
      </c>
      <c r="I9" s="4"/>
      <c r="J9" s="5"/>
      <c r="K9" s="5"/>
      <c r="L9" s="5"/>
      <c r="M9" s="5"/>
      <c r="N9" s="5"/>
      <c r="O9" s="6"/>
      <c r="P9" s="7"/>
      <c r="Q9" s="10"/>
      <c r="R9" s="4"/>
      <c r="S9" s="5"/>
      <c r="T9" s="4"/>
      <c r="U9" s="5"/>
      <c r="V9" s="5"/>
      <c r="W9" s="4"/>
      <c r="X9" s="5"/>
      <c r="Y9" s="10"/>
      <c r="Z9" s="1">
        <f t="shared" si="0"/>
        <v>0</v>
      </c>
      <c r="AA9" t="str">
        <f t="shared" si="0"/>
        <v xml:space="preserve">KOM-TZ8637 </v>
      </c>
      <c r="AB9">
        <f t="shared" si="1"/>
        <v>185.17570590502135</v>
      </c>
      <c r="AC9" s="11">
        <f t="shared" si="2"/>
        <v>1.4095737680217808</v>
      </c>
    </row>
    <row r="10" spans="2:29" x14ac:dyDescent="0.3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</row>
    <row r="11" spans="2:29" x14ac:dyDescent="0.3">
      <c r="E11" s="2">
        <v>1</v>
      </c>
      <c r="F11" s="2"/>
      <c r="G11" s="2" t="s">
        <v>35</v>
      </c>
      <c r="H11" s="12">
        <f>154.25*1.06</f>
        <v>163.505</v>
      </c>
      <c r="I11" s="4">
        <v>3086518750</v>
      </c>
      <c r="J11" s="5">
        <v>9</v>
      </c>
      <c r="K11" s="5">
        <f>10*7*9</f>
        <v>630</v>
      </c>
      <c r="L11" s="5">
        <v>272.04000000000002</v>
      </c>
      <c r="M11" s="6">
        <v>45667</v>
      </c>
      <c r="N11" s="6">
        <v>45673</v>
      </c>
      <c r="O11" s="6">
        <v>45675</v>
      </c>
      <c r="P11" s="7">
        <f>O11-M11</f>
        <v>8</v>
      </c>
      <c r="Q11" s="6"/>
      <c r="R11" s="13" t="s">
        <v>36</v>
      </c>
      <c r="S11" s="5">
        <v>153.38999999999999</v>
      </c>
      <c r="T11" s="13" t="s">
        <v>37</v>
      </c>
      <c r="U11" s="14">
        <v>479</v>
      </c>
      <c r="V11" s="14"/>
      <c r="W11" s="13" t="s">
        <v>38</v>
      </c>
      <c r="X11" s="15">
        <v>230.54</v>
      </c>
      <c r="Y11" s="10"/>
      <c r="Z11" s="1">
        <f t="shared" ref="Z11:AA74" si="3">F11</f>
        <v>0</v>
      </c>
      <c r="AA11" t="str">
        <f t="shared" si="0"/>
        <v xml:space="preserve">707-76-10140 </v>
      </c>
      <c r="AB11">
        <f>H11+($S$11+$U$11)*H11/SUM($H$11:$H$15)/3.74+$X$11*H11/SUM($H$11:$H$15)</f>
        <v>280.87486918148829</v>
      </c>
      <c r="AC11" s="11">
        <f>AB11/H11</f>
        <v>1.7178365749150686</v>
      </c>
    </row>
    <row r="12" spans="2:29" x14ac:dyDescent="0.3">
      <c r="E12" s="2">
        <v>1</v>
      </c>
      <c r="F12" s="2"/>
      <c r="G12" s="2" t="s">
        <v>39</v>
      </c>
      <c r="H12" s="12">
        <f>149.67*1.06</f>
        <v>158.65019999999998</v>
      </c>
      <c r="I12" s="4"/>
      <c r="J12" s="5"/>
      <c r="K12" s="5"/>
      <c r="L12" s="5"/>
      <c r="M12" s="5"/>
      <c r="N12" s="5"/>
      <c r="O12" s="6"/>
      <c r="P12" s="7"/>
      <c r="Q12" s="5"/>
      <c r="R12" s="4"/>
      <c r="S12" s="5"/>
      <c r="T12" s="4"/>
      <c r="U12" s="14"/>
      <c r="V12" s="14"/>
      <c r="W12" s="4"/>
      <c r="X12" s="14"/>
      <c r="Y12" s="10"/>
      <c r="Z12" s="1">
        <f t="shared" si="3"/>
        <v>0</v>
      </c>
      <c r="AA12" t="str">
        <f t="shared" si="0"/>
        <v>707-76-10130</v>
      </c>
      <c r="AB12">
        <f>H12+($S$11+$U$11)*H12/SUM($H$11:$H$15)/3.74+$X$11*H12/SUM($H$11:$H$15)</f>
        <v>272.53511617759057</v>
      </c>
      <c r="AC12" s="11">
        <f>AB12/H12</f>
        <v>1.7178365749150684</v>
      </c>
    </row>
    <row r="13" spans="2:29" x14ac:dyDescent="0.3">
      <c r="E13" s="2">
        <v>1</v>
      </c>
      <c r="F13" s="2"/>
      <c r="G13" s="2" t="s">
        <v>40</v>
      </c>
      <c r="H13" s="12">
        <f>34.05*1.06</f>
        <v>36.092999999999996</v>
      </c>
      <c r="I13" s="4"/>
      <c r="J13" s="5"/>
      <c r="K13" s="5"/>
      <c r="L13" s="5"/>
      <c r="M13" s="5"/>
      <c r="N13" s="5"/>
      <c r="O13" s="6"/>
      <c r="P13" s="7"/>
      <c r="Q13" s="5"/>
      <c r="R13" s="4"/>
      <c r="S13" s="5"/>
      <c r="T13" s="4"/>
      <c r="U13" s="14"/>
      <c r="V13" s="14"/>
      <c r="W13" s="4"/>
      <c r="X13" s="14"/>
      <c r="Y13" s="10"/>
      <c r="Z13" s="1">
        <f t="shared" si="3"/>
        <v>0</v>
      </c>
      <c r="AA13" t="str">
        <f t="shared" si="0"/>
        <v>707-75-11512</v>
      </c>
      <c r="AB13">
        <f>H13+($S$11+$U$11)*H13/SUM($H$11:$H$15)/3.74+$X$11*H13/SUM($H$11:$H$15)</f>
        <v>62.001875498409561</v>
      </c>
      <c r="AC13" s="11">
        <f>AB13/H13</f>
        <v>1.7178365749150686</v>
      </c>
    </row>
    <row r="14" spans="2:29" x14ac:dyDescent="0.3">
      <c r="E14" s="2">
        <v>1</v>
      </c>
      <c r="F14" s="2"/>
      <c r="G14" s="2" t="s">
        <v>41</v>
      </c>
      <c r="H14" s="12">
        <f>30.96*1.06</f>
        <v>32.817600000000006</v>
      </c>
      <c r="I14" s="4"/>
      <c r="J14" s="5"/>
      <c r="K14" s="5"/>
      <c r="L14" s="5"/>
      <c r="M14" s="5"/>
      <c r="N14" s="5"/>
      <c r="O14" s="6"/>
      <c r="P14" s="7"/>
      <c r="Q14" s="5"/>
      <c r="R14" s="4"/>
      <c r="S14" s="5"/>
      <c r="T14" s="4"/>
      <c r="U14" s="14"/>
      <c r="V14" s="14"/>
      <c r="W14" s="4"/>
      <c r="X14" s="14"/>
      <c r="Y14" s="10"/>
      <c r="Z14" s="1">
        <f t="shared" si="3"/>
        <v>0</v>
      </c>
      <c r="AA14" t="str">
        <f t="shared" si="0"/>
        <v>707-75-10512</v>
      </c>
      <c r="AB14">
        <f>H14+($S$11+$U$11)*H14/SUM($H$11:$H$15)/3.74+$X$11*H14/SUM($H$11:$H$15)</f>
        <v>56.375273580932763</v>
      </c>
      <c r="AC14" s="11">
        <f>AB14/H14</f>
        <v>1.7178365749150686</v>
      </c>
    </row>
    <row r="15" spans="2:29" x14ac:dyDescent="0.3">
      <c r="E15" s="2">
        <v>1</v>
      </c>
      <c r="F15" s="2"/>
      <c r="G15" s="2" t="s">
        <v>42</v>
      </c>
      <c r="H15" s="12">
        <f>156.27*1.06</f>
        <v>165.64620000000002</v>
      </c>
      <c r="I15" s="4"/>
      <c r="J15" s="5"/>
      <c r="K15" s="5"/>
      <c r="L15" s="5"/>
      <c r="M15" s="5"/>
      <c r="N15" s="5"/>
      <c r="O15" s="6"/>
      <c r="P15" s="7"/>
      <c r="Q15" s="5"/>
      <c r="R15" s="4"/>
      <c r="S15" s="5"/>
      <c r="T15" s="4"/>
      <c r="U15" s="14"/>
      <c r="V15" s="14"/>
      <c r="W15" s="4"/>
      <c r="X15" s="14"/>
      <c r="Y15" s="10"/>
      <c r="Z15" s="1">
        <f t="shared" si="3"/>
        <v>0</v>
      </c>
      <c r="AA15" t="str">
        <f t="shared" si="0"/>
        <v>707-44-16910</v>
      </c>
      <c r="AB15">
        <f>H15+($S$11+$U$11)*H15/SUM($H$11:$H$15)/3.74+$X$11*H15/SUM($H$11:$H$15)</f>
        <v>284.55310085569647</v>
      </c>
      <c r="AC15" s="11">
        <f>AB15/H15</f>
        <v>1.7178365749150686</v>
      </c>
    </row>
    <row r="16" spans="2:29" x14ac:dyDescent="0.3">
      <c r="H16" s="16"/>
      <c r="AC16" s="11"/>
    </row>
    <row r="17" spans="5:29" x14ac:dyDescent="0.3">
      <c r="E17" s="2">
        <v>18</v>
      </c>
      <c r="F17" s="2"/>
      <c r="G17" s="2" t="s">
        <v>43</v>
      </c>
      <c r="H17" s="17">
        <v>2538.7800000000002</v>
      </c>
      <c r="I17" s="4">
        <v>4924654232</v>
      </c>
      <c r="J17" s="5">
        <v>56</v>
      </c>
      <c r="K17" s="5">
        <f>8*8*8*2</f>
        <v>1024</v>
      </c>
      <c r="L17" s="5">
        <v>838.94</v>
      </c>
      <c r="M17" s="6">
        <v>45671</v>
      </c>
      <c r="N17" s="6">
        <v>45678</v>
      </c>
      <c r="O17" s="6">
        <v>45680</v>
      </c>
      <c r="P17" s="7">
        <f>O17-M17</f>
        <v>9</v>
      </c>
      <c r="Q17" s="9">
        <v>5232.91</v>
      </c>
      <c r="R17" s="13" t="s">
        <v>44</v>
      </c>
      <c r="S17" s="5">
        <v>695.09</v>
      </c>
      <c r="T17" s="18" t="s">
        <v>45</v>
      </c>
      <c r="U17" s="9">
        <v>4695.3</v>
      </c>
      <c r="V17" s="9"/>
      <c r="W17" s="13" t="s">
        <v>46</v>
      </c>
      <c r="X17" s="5">
        <v>806.96</v>
      </c>
      <c r="Y17" s="10"/>
      <c r="Z17" s="1">
        <f t="shared" si="3"/>
        <v>0</v>
      </c>
      <c r="AA17" t="str">
        <f t="shared" si="3"/>
        <v>342-9553</v>
      </c>
      <c r="AB17">
        <f>H17+($S$17+$U$17)*H17/SUM($H$17:$H$18)/3.74+$X$17*H17/SUM($H$17:$H$18)</f>
        <v>3662.9003743315511</v>
      </c>
      <c r="AC17" s="11">
        <f>AB17/H17</f>
        <v>1.4427797502467921</v>
      </c>
    </row>
    <row r="18" spans="5:29" x14ac:dyDescent="0.3">
      <c r="E18" s="2">
        <v>18</v>
      </c>
      <c r="F18" s="2"/>
      <c r="G18" s="2" t="s">
        <v>43</v>
      </c>
      <c r="H18" s="17">
        <v>2538.7800000000002</v>
      </c>
      <c r="I18" s="4"/>
      <c r="J18" s="5"/>
      <c r="K18" s="5"/>
      <c r="L18" s="5"/>
      <c r="M18" s="5"/>
      <c r="N18" s="5"/>
      <c r="O18" s="6"/>
      <c r="P18" s="7"/>
      <c r="Q18" s="5"/>
      <c r="R18" s="13"/>
      <c r="S18" s="5"/>
      <c r="T18" s="18"/>
      <c r="U18" s="5"/>
      <c r="V18" s="5"/>
      <c r="W18" s="13"/>
      <c r="X18" s="5"/>
      <c r="Y18" s="10"/>
      <c r="Z18" s="1">
        <f t="shared" si="3"/>
        <v>0</v>
      </c>
      <c r="AA18" t="str">
        <f t="shared" si="3"/>
        <v>342-9553</v>
      </c>
      <c r="AB18">
        <f>H18+($S$17+$U$17)*H18/SUM($H$17:$H$18)/3.74+$X$17*H18/SUM($H$17:$H$18)</f>
        <v>3662.9003743315511</v>
      </c>
      <c r="AC18" s="11">
        <f>AB18/H18</f>
        <v>1.4427797502467921</v>
      </c>
    </row>
    <row r="19" spans="5:29" x14ac:dyDescent="0.3">
      <c r="H19" s="19"/>
      <c r="AC19" s="11"/>
    </row>
    <row r="20" spans="5:29" x14ac:dyDescent="0.3">
      <c r="E20" s="2">
        <v>1</v>
      </c>
      <c r="F20" s="2"/>
      <c r="G20" s="1" t="s">
        <v>47</v>
      </c>
      <c r="H20" s="1">
        <v>813.91</v>
      </c>
      <c r="I20" s="4">
        <v>4229069412</v>
      </c>
      <c r="J20" s="5">
        <v>46</v>
      </c>
      <c r="K20" s="5">
        <f>43*43*7+20*20*11</f>
        <v>17343</v>
      </c>
      <c r="L20" s="9">
        <v>1353.38</v>
      </c>
      <c r="M20" s="6">
        <v>45680</v>
      </c>
      <c r="N20" s="6">
        <v>45685</v>
      </c>
      <c r="O20" s="6">
        <v>45687</v>
      </c>
      <c r="P20" s="7">
        <f>O20-M20</f>
        <v>7</v>
      </c>
      <c r="Q20" s="9">
        <v>5571.49</v>
      </c>
      <c r="R20" s="4" t="s">
        <v>48</v>
      </c>
      <c r="S20" s="5">
        <v>790.13</v>
      </c>
      <c r="T20" s="4" t="s">
        <v>49</v>
      </c>
      <c r="U20" s="9">
        <v>4958.38</v>
      </c>
      <c r="V20" s="20">
        <f>S20+U20-Q20</f>
        <v>177.02000000000044</v>
      </c>
      <c r="W20" s="4" t="s">
        <v>50</v>
      </c>
      <c r="X20" s="9">
        <v>1271.47</v>
      </c>
      <c r="Y20" s="10"/>
      <c r="Z20" s="1">
        <f t="shared" si="3"/>
        <v>0</v>
      </c>
      <c r="AA20" t="str">
        <f t="shared" si="3"/>
        <v>KOM-58F/FS/AK020</v>
      </c>
      <c r="AB20">
        <f t="shared" ref="AB20:AB28" si="4">H20+($S$20+$U$20)*H20/SUM($H$20:$H$28)/3.74+$X$20*H20/SUM($H$20:$H$28)</f>
        <v>1309.551770857666</v>
      </c>
      <c r="AC20" s="11">
        <f t="shared" ref="AC20:AC28" si="5">AB20/H20</f>
        <v>1.6089638545510758</v>
      </c>
    </row>
    <row r="21" spans="5:29" x14ac:dyDescent="0.3">
      <c r="E21" s="2">
        <v>1</v>
      </c>
      <c r="F21" s="2"/>
      <c r="G21" s="1" t="s">
        <v>47</v>
      </c>
      <c r="H21" s="19">
        <v>813.91</v>
      </c>
      <c r="I21" s="4"/>
      <c r="J21" s="5"/>
      <c r="K21" s="5"/>
      <c r="L21" s="5"/>
      <c r="M21" s="5"/>
      <c r="N21" s="5"/>
      <c r="O21" s="6"/>
      <c r="P21" s="7"/>
      <c r="Q21" s="5"/>
      <c r="R21" s="4"/>
      <c r="S21" s="5"/>
      <c r="T21" s="4"/>
      <c r="U21" s="5"/>
      <c r="V21" s="4"/>
      <c r="W21" s="4"/>
      <c r="X21" s="5"/>
      <c r="Y21" s="10"/>
      <c r="Z21" s="1">
        <f t="shared" si="3"/>
        <v>0</v>
      </c>
      <c r="AA21" t="str">
        <f t="shared" si="3"/>
        <v>KOM-58F/FS/AK020</v>
      </c>
      <c r="AB21">
        <f t="shared" si="4"/>
        <v>1309.551770857666</v>
      </c>
      <c r="AC21" s="11">
        <f t="shared" si="5"/>
        <v>1.6089638545510758</v>
      </c>
    </row>
    <row r="22" spans="5:29" x14ac:dyDescent="0.3">
      <c r="E22" s="2">
        <v>3</v>
      </c>
      <c r="F22" s="2"/>
      <c r="G22" s="1" t="s">
        <v>51</v>
      </c>
      <c r="H22" s="19">
        <v>1473.69</v>
      </c>
      <c r="I22" s="4"/>
      <c r="J22" s="5"/>
      <c r="K22" s="5"/>
      <c r="L22" s="5"/>
      <c r="M22" s="5"/>
      <c r="N22" s="5"/>
      <c r="O22" s="6"/>
      <c r="P22" s="7"/>
      <c r="Q22" s="5"/>
      <c r="R22" s="4"/>
      <c r="S22" s="5"/>
      <c r="T22" s="4"/>
      <c r="U22" s="5"/>
      <c r="V22" s="4"/>
      <c r="W22" s="4"/>
      <c r="X22" s="5"/>
      <c r="Y22" s="10"/>
      <c r="Z22" s="1">
        <f t="shared" si="3"/>
        <v>0</v>
      </c>
      <c r="AA22" t="str">
        <f t="shared" si="3"/>
        <v>KOM-PC1144</v>
      </c>
      <c r="AB22">
        <f t="shared" si="4"/>
        <v>2371.1139428133747</v>
      </c>
      <c r="AC22" s="11">
        <f t="shared" si="5"/>
        <v>1.6089638545510756</v>
      </c>
    </row>
    <row r="23" spans="5:29" x14ac:dyDescent="0.3">
      <c r="E23" s="2">
        <v>3</v>
      </c>
      <c r="F23" s="2"/>
      <c r="G23" s="1" t="s">
        <v>52</v>
      </c>
      <c r="H23" s="19">
        <v>169.65</v>
      </c>
      <c r="I23" s="4"/>
      <c r="J23" s="5"/>
      <c r="K23" s="5"/>
      <c r="L23" s="5"/>
      <c r="M23" s="5"/>
      <c r="N23" s="5"/>
      <c r="O23" s="6"/>
      <c r="P23" s="7"/>
      <c r="Q23" s="5"/>
      <c r="R23" s="4"/>
      <c r="S23" s="5"/>
      <c r="T23" s="4"/>
      <c r="U23" s="5"/>
      <c r="V23" s="4"/>
      <c r="W23" s="4"/>
      <c r="X23" s="5"/>
      <c r="Y23" s="10"/>
      <c r="Z23" s="1">
        <f t="shared" si="3"/>
        <v>0</v>
      </c>
      <c r="AA23" t="str">
        <f t="shared" si="3"/>
        <v>KOM-EH7196</v>
      </c>
      <c r="AB23">
        <f t="shared" si="4"/>
        <v>272.96071792459003</v>
      </c>
      <c r="AC23" s="11">
        <f t="shared" si="5"/>
        <v>1.6089638545510758</v>
      </c>
    </row>
    <row r="24" spans="5:29" x14ac:dyDescent="0.3">
      <c r="E24" s="2">
        <v>2</v>
      </c>
      <c r="F24" s="2"/>
      <c r="G24" s="1" t="s">
        <v>53</v>
      </c>
      <c r="H24" s="19">
        <v>1121.4000000000001</v>
      </c>
      <c r="I24" s="4"/>
      <c r="J24" s="5"/>
      <c r="K24" s="5"/>
      <c r="L24" s="5"/>
      <c r="M24" s="5"/>
      <c r="N24" s="5"/>
      <c r="O24" s="6"/>
      <c r="P24" s="7"/>
      <c r="Q24" s="5"/>
      <c r="R24" s="4"/>
      <c r="S24" s="5"/>
      <c r="T24" s="4"/>
      <c r="U24" s="5"/>
      <c r="V24" s="4"/>
      <c r="W24" s="4"/>
      <c r="X24" s="5"/>
      <c r="Y24" s="10"/>
      <c r="Z24" s="1">
        <f t="shared" si="3"/>
        <v>0</v>
      </c>
      <c r="AA24" t="str">
        <f t="shared" si="3"/>
        <v>KOM-PC1431</v>
      </c>
      <c r="AB24">
        <f t="shared" si="4"/>
        <v>1804.2920664935766</v>
      </c>
      <c r="AC24" s="11">
        <f t="shared" si="5"/>
        <v>1.6089638545510758</v>
      </c>
    </row>
    <row r="25" spans="5:29" x14ac:dyDescent="0.3">
      <c r="E25" s="2">
        <v>1</v>
      </c>
      <c r="F25" s="2"/>
      <c r="G25" s="1" t="s">
        <v>54</v>
      </c>
      <c r="H25" s="19">
        <v>22.05</v>
      </c>
      <c r="I25" s="4"/>
      <c r="J25" s="5"/>
      <c r="K25" s="5"/>
      <c r="L25" s="5"/>
      <c r="M25" s="5"/>
      <c r="N25" s="5"/>
      <c r="O25" s="6"/>
      <c r="P25" s="7"/>
      <c r="Q25" s="5"/>
      <c r="R25" s="4"/>
      <c r="S25" s="5"/>
      <c r="T25" s="4"/>
      <c r="U25" s="5"/>
      <c r="V25" s="4"/>
      <c r="W25" s="4"/>
      <c r="X25" s="5"/>
      <c r="Y25" s="10"/>
      <c r="Z25" s="1">
        <f t="shared" si="3"/>
        <v>0</v>
      </c>
      <c r="AA25" t="str">
        <f t="shared" si="3"/>
        <v>KOM-707/52/11631</v>
      </c>
      <c r="AB25">
        <f t="shared" si="4"/>
        <v>35.477652992851226</v>
      </c>
      <c r="AC25" s="11">
        <f t="shared" si="5"/>
        <v>1.608963854551076</v>
      </c>
    </row>
    <row r="26" spans="5:29" x14ac:dyDescent="0.3">
      <c r="E26" s="2">
        <v>1</v>
      </c>
      <c r="F26" s="2"/>
      <c r="G26" s="1" t="s">
        <v>55</v>
      </c>
      <c r="H26" s="19">
        <v>162.83000000000001</v>
      </c>
      <c r="I26" s="4"/>
      <c r="J26" s="5"/>
      <c r="K26" s="5"/>
      <c r="L26" s="5"/>
      <c r="M26" s="5"/>
      <c r="N26" s="5"/>
      <c r="O26" s="6"/>
      <c r="P26" s="7"/>
      <c r="Q26" s="5"/>
      <c r="R26" s="4"/>
      <c r="S26" s="5"/>
      <c r="T26" s="4"/>
      <c r="U26" s="5"/>
      <c r="V26" s="4"/>
      <c r="W26" s="4"/>
      <c r="X26" s="5"/>
      <c r="Y26" s="10"/>
      <c r="Z26" s="1">
        <f t="shared" si="3"/>
        <v>0</v>
      </c>
      <c r="AA26" t="str">
        <f t="shared" si="3"/>
        <v>KOM-707/99/72390</v>
      </c>
      <c r="AB26">
        <f t="shared" si="4"/>
        <v>261.98758443655169</v>
      </c>
      <c r="AC26" s="11">
        <f t="shared" si="5"/>
        <v>1.6089638545510758</v>
      </c>
    </row>
    <row r="27" spans="5:29" x14ac:dyDescent="0.3">
      <c r="E27" s="2">
        <v>100</v>
      </c>
      <c r="F27" s="2"/>
      <c r="G27" s="1" t="s">
        <v>56</v>
      </c>
      <c r="H27" s="19">
        <v>10</v>
      </c>
      <c r="I27" s="4"/>
      <c r="J27" s="5"/>
      <c r="K27" s="5"/>
      <c r="L27" s="5"/>
      <c r="M27" s="5"/>
      <c r="N27" s="5"/>
      <c r="O27" s="6"/>
      <c r="P27" s="7"/>
      <c r="Q27" s="5"/>
      <c r="R27" s="4"/>
      <c r="S27" s="5"/>
      <c r="T27" s="4"/>
      <c r="U27" s="5"/>
      <c r="V27" s="4"/>
      <c r="W27" s="4"/>
      <c r="X27" s="5"/>
      <c r="Y27" s="10"/>
      <c r="Z27" s="1">
        <f t="shared" si="3"/>
        <v>0</v>
      </c>
      <c r="AA27" t="str">
        <f t="shared" si="3"/>
        <v>CAT-2H3932</v>
      </c>
      <c r="AB27">
        <f t="shared" si="4"/>
        <v>16.089638545510759</v>
      </c>
      <c r="AC27" s="11">
        <f t="shared" si="5"/>
        <v>1.6089638545510758</v>
      </c>
    </row>
    <row r="28" spans="5:29" x14ac:dyDescent="0.3">
      <c r="E28" s="2">
        <v>70</v>
      </c>
      <c r="F28" s="2"/>
      <c r="G28" s="1" t="s">
        <v>57</v>
      </c>
      <c r="H28" s="19">
        <v>24.5</v>
      </c>
      <c r="I28" s="4"/>
      <c r="J28" s="5"/>
      <c r="K28" s="5"/>
      <c r="L28" s="5"/>
      <c r="M28" s="5"/>
      <c r="N28" s="5"/>
      <c r="O28" s="6"/>
      <c r="P28" s="7"/>
      <c r="Q28" s="5"/>
      <c r="R28" s="4"/>
      <c r="S28" s="5"/>
      <c r="T28" s="4"/>
      <c r="U28" s="5"/>
      <c r="V28" s="4"/>
      <c r="W28" s="4"/>
      <c r="X28" s="5"/>
      <c r="Y28" s="10"/>
      <c r="Z28" s="1">
        <f t="shared" si="3"/>
        <v>0</v>
      </c>
      <c r="AA28" t="str">
        <f t="shared" si="3"/>
        <v>CAT-3K8692</v>
      </c>
      <c r="AB28">
        <f t="shared" si="4"/>
        <v>39.419614436501355</v>
      </c>
      <c r="AC28" s="11">
        <f t="shared" si="5"/>
        <v>1.6089638545510758</v>
      </c>
    </row>
    <row r="29" spans="5:29" x14ac:dyDescent="0.3">
      <c r="AC29" s="11"/>
    </row>
    <row r="30" spans="5:29" x14ac:dyDescent="0.3">
      <c r="E30" s="2">
        <v>1</v>
      </c>
      <c r="F30" s="2"/>
      <c r="G30" s="1" t="s">
        <v>58</v>
      </c>
      <c r="H30" s="19">
        <v>2112.52</v>
      </c>
      <c r="I30" s="21">
        <v>7337646083</v>
      </c>
      <c r="J30" s="5">
        <f>20+23+67</f>
        <v>110</v>
      </c>
      <c r="K30" s="5">
        <f>16*18*18+2*40*40+1*41*42</f>
        <v>10106</v>
      </c>
      <c r="L30" s="9">
        <v>1412.34</v>
      </c>
      <c r="M30" s="6">
        <v>45687</v>
      </c>
      <c r="N30" s="6">
        <v>45692</v>
      </c>
      <c r="O30" s="6">
        <v>45694</v>
      </c>
      <c r="P30" s="7">
        <f>O30-M30</f>
        <v>7</v>
      </c>
      <c r="Q30" s="9">
        <v>6543.13</v>
      </c>
      <c r="R30" s="13" t="s">
        <v>59</v>
      </c>
      <c r="S30" s="5">
        <v>780.13</v>
      </c>
      <c r="T30" s="13" t="s">
        <v>60</v>
      </c>
      <c r="U30" s="14">
        <v>5763</v>
      </c>
      <c r="V30" s="14">
        <f>U30+S30-Q30</f>
        <v>0</v>
      </c>
      <c r="W30" s="13" t="s">
        <v>61</v>
      </c>
      <c r="X30" s="5">
        <v>938.41</v>
      </c>
      <c r="Y30" s="9"/>
      <c r="Z30" s="1">
        <f t="shared" si="3"/>
        <v>0</v>
      </c>
      <c r="AA30" t="str">
        <f t="shared" si="3"/>
        <v>PC1431</v>
      </c>
      <c r="AB30">
        <f t="shared" ref="AB30:AB41" si="6">H30+($S$30+$U$30)*H30/SUM($H$30:$H$41)/3.74+$X$30*H30/SUM($H$30:$H$41)</f>
        <v>3122.4633058594554</v>
      </c>
      <c r="AC30" s="11">
        <f t="shared" ref="AC30:AC41" si="7">AB30/H30</f>
        <v>1.4780751452575387</v>
      </c>
    </row>
    <row r="31" spans="5:29" x14ac:dyDescent="0.3">
      <c r="E31" s="2">
        <v>1</v>
      </c>
      <c r="F31" s="2"/>
      <c r="G31" s="1" t="s">
        <v>62</v>
      </c>
      <c r="H31" s="19">
        <v>1428.02</v>
      </c>
      <c r="I31" s="21"/>
      <c r="J31" s="5"/>
      <c r="K31" s="5"/>
      <c r="L31" s="5"/>
      <c r="M31" s="5"/>
      <c r="N31" s="5"/>
      <c r="O31" s="6"/>
      <c r="P31" s="7"/>
      <c r="Q31" s="9"/>
      <c r="R31" s="4"/>
      <c r="S31" s="5"/>
      <c r="T31" s="4"/>
      <c r="U31" s="14"/>
      <c r="V31" s="14"/>
      <c r="W31" s="4"/>
      <c r="X31" s="5"/>
      <c r="Y31" s="5"/>
      <c r="Z31" s="1">
        <f t="shared" si="3"/>
        <v>0</v>
      </c>
      <c r="AA31" t="str">
        <f t="shared" si="3"/>
        <v>EJ7475</v>
      </c>
      <c r="AB31">
        <f t="shared" si="6"/>
        <v>2110.7208689306699</v>
      </c>
      <c r="AC31" s="11">
        <f t="shared" si="7"/>
        <v>1.4780751452575382</v>
      </c>
    </row>
    <row r="32" spans="5:29" x14ac:dyDescent="0.3">
      <c r="E32" s="2">
        <v>10</v>
      </c>
      <c r="F32" s="2"/>
      <c r="G32" s="1" t="s">
        <v>63</v>
      </c>
      <c r="H32" s="1">
        <f>235.5*1.06</f>
        <v>249.63000000000002</v>
      </c>
      <c r="I32" s="21"/>
      <c r="J32" s="5"/>
      <c r="K32" s="5"/>
      <c r="L32" s="5"/>
      <c r="M32" s="5"/>
      <c r="N32" s="5"/>
      <c r="O32" s="6"/>
      <c r="P32" s="7"/>
      <c r="Q32" s="9"/>
      <c r="R32" s="4"/>
      <c r="S32" s="5"/>
      <c r="T32" s="4"/>
      <c r="U32" s="14"/>
      <c r="V32" s="14"/>
      <c r="W32" s="4"/>
      <c r="X32" s="5"/>
      <c r="Y32" s="5"/>
      <c r="Z32" s="1">
        <f t="shared" si="3"/>
        <v>0</v>
      </c>
      <c r="AA32" t="str">
        <f t="shared" si="3"/>
        <v>EL2876</v>
      </c>
      <c r="AB32">
        <f t="shared" si="6"/>
        <v>368.97189851063939</v>
      </c>
      <c r="AC32" s="11">
        <f t="shared" si="7"/>
        <v>1.4780751452575387</v>
      </c>
    </row>
    <row r="33" spans="5:29" x14ac:dyDescent="0.3">
      <c r="E33" s="2">
        <v>12</v>
      </c>
      <c r="F33" s="2"/>
      <c r="G33" s="1" t="s">
        <v>63</v>
      </c>
      <c r="H33" s="1">
        <f>295.92*1.06</f>
        <v>313.67520000000002</v>
      </c>
      <c r="I33" s="21"/>
      <c r="J33" s="5"/>
      <c r="K33" s="5"/>
      <c r="L33" s="5"/>
      <c r="M33" s="5"/>
      <c r="N33" s="5"/>
      <c r="O33" s="6"/>
      <c r="P33" s="7"/>
      <c r="Q33" s="9"/>
      <c r="R33" s="4"/>
      <c r="S33" s="5"/>
      <c r="T33" s="4"/>
      <c r="U33" s="14"/>
      <c r="V33" s="14"/>
      <c r="W33" s="4"/>
      <c r="X33" s="5"/>
      <c r="Y33" s="5"/>
      <c r="Z33" s="1">
        <f t="shared" si="3"/>
        <v>0</v>
      </c>
      <c r="AA33" t="str">
        <f t="shared" si="3"/>
        <v>EL2876</v>
      </c>
      <c r="AB33">
        <f t="shared" si="6"/>
        <v>463.63551680368744</v>
      </c>
      <c r="AC33" s="11">
        <f t="shared" si="7"/>
        <v>1.4780751452575385</v>
      </c>
    </row>
    <row r="34" spans="5:29" x14ac:dyDescent="0.3">
      <c r="E34" s="2">
        <v>1</v>
      </c>
      <c r="F34" s="2"/>
      <c r="G34" s="1" t="s">
        <v>64</v>
      </c>
      <c r="H34" s="1">
        <f>161.93*1.06</f>
        <v>171.64580000000001</v>
      </c>
      <c r="I34" s="21"/>
      <c r="J34" s="5"/>
      <c r="K34" s="5"/>
      <c r="L34" s="5"/>
      <c r="M34" s="5"/>
      <c r="N34" s="5"/>
      <c r="O34" s="6"/>
      <c r="P34" s="7"/>
      <c r="Q34" s="9"/>
      <c r="R34" s="4"/>
      <c r="S34" s="5"/>
      <c r="T34" s="4"/>
      <c r="U34" s="14"/>
      <c r="V34" s="14"/>
      <c r="W34" s="4"/>
      <c r="X34" s="5"/>
      <c r="Y34" s="5"/>
      <c r="Z34" s="1">
        <f t="shared" si="3"/>
        <v>0</v>
      </c>
      <c r="AA34" t="str">
        <f t="shared" si="3"/>
        <v>707-76-10140</v>
      </c>
      <c r="AB34">
        <f t="shared" si="6"/>
        <v>253.70539076784641</v>
      </c>
      <c r="AC34" s="11">
        <f t="shared" si="7"/>
        <v>1.4780751452575385</v>
      </c>
    </row>
    <row r="35" spans="5:29" x14ac:dyDescent="0.3">
      <c r="E35" s="2">
        <v>1</v>
      </c>
      <c r="F35" s="2"/>
      <c r="G35" s="1" t="s">
        <v>65</v>
      </c>
      <c r="H35" s="1">
        <f>154.16*1.06</f>
        <v>163.40960000000001</v>
      </c>
      <c r="I35" s="21"/>
      <c r="J35" s="5"/>
      <c r="K35" s="5"/>
      <c r="L35" s="5"/>
      <c r="M35" s="5"/>
      <c r="N35" s="5"/>
      <c r="O35" s="6"/>
      <c r="P35" s="7"/>
      <c r="Q35" s="9"/>
      <c r="R35" s="4"/>
      <c r="S35" s="5"/>
      <c r="T35" s="4"/>
      <c r="U35" s="14"/>
      <c r="V35" s="14"/>
      <c r="W35" s="4"/>
      <c r="X35" s="5"/>
      <c r="Y35" s="5"/>
      <c r="Z35" s="1">
        <f t="shared" si="3"/>
        <v>0</v>
      </c>
      <c r="AA35" t="str">
        <f t="shared" si="3"/>
        <v>707-7610130</v>
      </c>
      <c r="AB35">
        <f t="shared" si="6"/>
        <v>241.53166825647628</v>
      </c>
      <c r="AC35" s="11">
        <f t="shared" si="7"/>
        <v>1.4780751452575385</v>
      </c>
    </row>
    <row r="36" spans="5:29" x14ac:dyDescent="0.3">
      <c r="E36" s="2">
        <v>1</v>
      </c>
      <c r="F36" s="2"/>
      <c r="G36" s="1" t="s">
        <v>40</v>
      </c>
      <c r="H36" s="1">
        <f>35.06*1.06</f>
        <v>37.163600000000002</v>
      </c>
      <c r="I36" s="21"/>
      <c r="J36" s="5"/>
      <c r="K36" s="5"/>
      <c r="L36" s="5"/>
      <c r="M36" s="5"/>
      <c r="N36" s="5"/>
      <c r="O36" s="6"/>
      <c r="P36" s="7"/>
      <c r="Q36" s="9"/>
      <c r="R36" s="4"/>
      <c r="S36" s="5"/>
      <c r="T36" s="4"/>
      <c r="U36" s="14"/>
      <c r="V36" s="14"/>
      <c r="W36" s="4"/>
      <c r="X36" s="5"/>
      <c r="Y36" s="5"/>
      <c r="Z36" s="1">
        <f t="shared" si="3"/>
        <v>0</v>
      </c>
      <c r="AA36" t="str">
        <f t="shared" si="3"/>
        <v>707-75-11512</v>
      </c>
      <c r="AB36">
        <f t="shared" si="6"/>
        <v>54.930593468293061</v>
      </c>
      <c r="AC36" s="11">
        <f t="shared" si="7"/>
        <v>1.4780751452575385</v>
      </c>
    </row>
    <row r="37" spans="5:29" x14ac:dyDescent="0.3">
      <c r="E37" s="2">
        <v>1</v>
      </c>
      <c r="F37" s="2"/>
      <c r="G37" s="1" t="s">
        <v>41</v>
      </c>
      <c r="H37" s="1">
        <f>31.89*1.06</f>
        <v>33.803400000000003</v>
      </c>
      <c r="I37" s="21"/>
      <c r="J37" s="5"/>
      <c r="K37" s="5"/>
      <c r="L37" s="5"/>
      <c r="M37" s="5"/>
      <c r="N37" s="5"/>
      <c r="O37" s="6"/>
      <c r="P37" s="7"/>
      <c r="Q37" s="9"/>
      <c r="R37" s="4"/>
      <c r="S37" s="5"/>
      <c r="T37" s="4"/>
      <c r="U37" s="14"/>
      <c r="V37" s="14"/>
      <c r="W37" s="4"/>
      <c r="X37" s="5"/>
      <c r="Y37" s="5"/>
      <c r="Z37" s="1">
        <f t="shared" si="3"/>
        <v>0</v>
      </c>
      <c r="AA37" t="str">
        <f t="shared" si="3"/>
        <v>707-75-10512</v>
      </c>
      <c r="AB37">
        <f t="shared" si="6"/>
        <v>49.963965365198682</v>
      </c>
      <c r="AC37" s="11">
        <f t="shared" si="7"/>
        <v>1.4780751452575385</v>
      </c>
    </row>
    <row r="38" spans="5:29" x14ac:dyDescent="0.3">
      <c r="E38" s="2">
        <v>2</v>
      </c>
      <c r="F38" s="2"/>
      <c r="G38" s="1" t="s">
        <v>66</v>
      </c>
      <c r="H38" s="1">
        <f>96.26*1.06</f>
        <v>102.03560000000002</v>
      </c>
      <c r="I38" s="21"/>
      <c r="J38" s="5"/>
      <c r="K38" s="5"/>
      <c r="L38" s="5"/>
      <c r="M38" s="5"/>
      <c r="N38" s="5"/>
      <c r="O38" s="6"/>
      <c r="P38" s="7"/>
      <c r="Q38" s="9"/>
      <c r="R38" s="4"/>
      <c r="S38" s="5"/>
      <c r="T38" s="4"/>
      <c r="U38" s="14"/>
      <c r="V38" s="14"/>
      <c r="W38" s="4"/>
      <c r="X38" s="5"/>
      <c r="Y38" s="5"/>
      <c r="Z38" s="1">
        <f t="shared" si="3"/>
        <v>0</v>
      </c>
      <c r="AA38" t="str">
        <f t="shared" si="3"/>
        <v>TZ8637</v>
      </c>
      <c r="AB38">
        <f t="shared" si="6"/>
        <v>150.8162842914401</v>
      </c>
      <c r="AC38" s="11">
        <f t="shared" si="7"/>
        <v>1.4780751452575382</v>
      </c>
    </row>
    <row r="39" spans="5:29" x14ac:dyDescent="0.3">
      <c r="E39" s="2">
        <v>1</v>
      </c>
      <c r="F39" s="2"/>
      <c r="G39" s="1" t="s">
        <v>67</v>
      </c>
      <c r="H39" s="1">
        <f>695.18*1.06</f>
        <v>736.89080000000001</v>
      </c>
      <c r="I39" s="21"/>
      <c r="J39" s="5"/>
      <c r="K39" s="5"/>
      <c r="L39" s="5"/>
      <c r="M39" s="5"/>
      <c r="N39" s="5"/>
      <c r="O39" s="6"/>
      <c r="P39" s="7"/>
      <c r="Q39" s="9"/>
      <c r="R39" s="4"/>
      <c r="S39" s="5"/>
      <c r="T39" s="4"/>
      <c r="U39" s="14"/>
      <c r="V39" s="14"/>
      <c r="W39" s="4"/>
      <c r="X39" s="5"/>
      <c r="Y39" s="5"/>
      <c r="Z39" s="1">
        <f t="shared" si="3"/>
        <v>0</v>
      </c>
      <c r="AA39" t="str">
        <f t="shared" si="3"/>
        <v>721-98-01050</v>
      </c>
      <c r="AB39">
        <f t="shared" si="6"/>
        <v>1089.1799762489438</v>
      </c>
      <c r="AC39" s="11">
        <f t="shared" si="7"/>
        <v>1.4780751452575387</v>
      </c>
    </row>
    <row r="40" spans="5:29" x14ac:dyDescent="0.3">
      <c r="E40" s="2">
        <v>1</v>
      </c>
      <c r="F40" s="2"/>
      <c r="G40" s="1" t="s">
        <v>68</v>
      </c>
      <c r="H40" s="1">
        <f>94.4*1.06</f>
        <v>100.06400000000001</v>
      </c>
      <c r="I40" s="21"/>
      <c r="J40" s="5"/>
      <c r="K40" s="5"/>
      <c r="L40" s="5"/>
      <c r="M40" s="5"/>
      <c r="N40" s="5"/>
      <c r="O40" s="6"/>
      <c r="P40" s="7"/>
      <c r="Q40" s="9"/>
      <c r="R40" s="4"/>
      <c r="S40" s="5"/>
      <c r="T40" s="4"/>
      <c r="U40" s="14"/>
      <c r="V40" s="14"/>
      <c r="W40" s="4"/>
      <c r="X40" s="5"/>
      <c r="Y40" s="5"/>
      <c r="Z40" s="1">
        <f t="shared" si="3"/>
        <v>0</v>
      </c>
      <c r="AA40" t="str">
        <f t="shared" si="3"/>
        <v>707-52-90521</v>
      </c>
      <c r="AB40">
        <f t="shared" si="6"/>
        <v>147.90211133505034</v>
      </c>
      <c r="AC40" s="11">
        <f t="shared" si="7"/>
        <v>1.4780751452575385</v>
      </c>
    </row>
    <row r="41" spans="5:29" x14ac:dyDescent="0.3">
      <c r="E41" s="2">
        <v>4</v>
      </c>
      <c r="F41" s="2"/>
      <c r="G41" s="1" t="s">
        <v>69</v>
      </c>
      <c r="H41" s="1">
        <f>163.68*1.06</f>
        <v>173.50080000000003</v>
      </c>
      <c r="I41" s="21"/>
      <c r="J41" s="5"/>
      <c r="K41" s="5"/>
      <c r="L41" s="5"/>
      <c r="M41" s="5"/>
      <c r="N41" s="5"/>
      <c r="O41" s="6"/>
      <c r="P41" s="7"/>
      <c r="Q41" s="9"/>
      <c r="R41" s="4"/>
      <c r="S41" s="5"/>
      <c r="T41" s="4"/>
      <c r="U41" s="14"/>
      <c r="V41" s="14"/>
      <c r="W41" s="4"/>
      <c r="X41" s="5"/>
      <c r="Y41" s="5"/>
      <c r="Z41" s="1">
        <f t="shared" si="3"/>
        <v>0</v>
      </c>
      <c r="AA41" t="str">
        <f t="shared" si="3"/>
        <v>040-71-00135</v>
      </c>
      <c r="AB41">
        <f t="shared" si="6"/>
        <v>256.44722016229917</v>
      </c>
      <c r="AC41" s="11">
        <f t="shared" si="7"/>
        <v>1.4780751452575385</v>
      </c>
    </row>
    <row r="42" spans="5:29" x14ac:dyDescent="0.3">
      <c r="H42" s="19"/>
      <c r="AC42" s="11"/>
    </row>
    <row r="43" spans="5:29" x14ac:dyDescent="0.3">
      <c r="E43" s="2">
        <v>1</v>
      </c>
      <c r="F43" s="2"/>
      <c r="G43" s="1" t="s">
        <v>70</v>
      </c>
      <c r="H43" s="1">
        <v>50</v>
      </c>
      <c r="I43" s="4">
        <v>8483348602</v>
      </c>
      <c r="J43" s="5">
        <v>22</v>
      </c>
      <c r="K43" s="5">
        <f>18*18*15</f>
        <v>4860</v>
      </c>
      <c r="L43" s="5">
        <v>608.55999999999995</v>
      </c>
      <c r="M43" s="6">
        <v>45687</v>
      </c>
      <c r="N43" s="6">
        <v>45692</v>
      </c>
      <c r="O43" s="6">
        <v>45694</v>
      </c>
      <c r="P43" s="7">
        <f>O43-M43</f>
        <v>7</v>
      </c>
      <c r="Q43" s="6"/>
      <c r="R43" s="13" t="s">
        <v>71</v>
      </c>
      <c r="S43" s="5">
        <v>151.76</v>
      </c>
      <c r="T43" s="13" t="s">
        <v>72</v>
      </c>
      <c r="U43" s="14">
        <v>1357</v>
      </c>
      <c r="V43" s="6"/>
      <c r="W43" s="13" t="s">
        <v>73</v>
      </c>
      <c r="X43" s="5">
        <v>549.29</v>
      </c>
      <c r="Z43" s="1">
        <f t="shared" si="3"/>
        <v>0</v>
      </c>
      <c r="AA43" t="str">
        <f t="shared" si="3"/>
        <v>CAT-2442073</v>
      </c>
      <c r="AB43">
        <f t="shared" ref="AB43:AB49" si="8">H43+($S$43+$U$43)*H43/SUM($H$43:$H$49)/3.74+$X$43*H43/SUM($H$43:$H$49)</f>
        <v>82.560536603822442</v>
      </c>
      <c r="AC43" s="11">
        <f t="shared" ref="AC43:AC49" si="9">AB43/H43</f>
        <v>1.6512107320764489</v>
      </c>
    </row>
    <row r="44" spans="5:29" x14ac:dyDescent="0.3">
      <c r="E44" s="2">
        <v>2</v>
      </c>
      <c r="F44" s="2"/>
      <c r="G44" s="1" t="s">
        <v>74</v>
      </c>
      <c r="H44" s="1">
        <v>195.24</v>
      </c>
      <c r="I44" s="4"/>
      <c r="J44" s="5"/>
      <c r="K44" s="5"/>
      <c r="L44" s="5"/>
      <c r="M44" s="6"/>
      <c r="N44" s="6"/>
      <c r="O44" s="6"/>
      <c r="P44" s="7"/>
      <c r="Q44" s="6"/>
      <c r="R44" s="13"/>
      <c r="S44" s="5"/>
      <c r="T44" s="13"/>
      <c r="U44" s="14"/>
      <c r="V44" s="6"/>
      <c r="W44" s="13"/>
      <c r="X44" s="5"/>
      <c r="Z44" s="1">
        <f t="shared" si="3"/>
        <v>0</v>
      </c>
      <c r="AA44" t="str">
        <f t="shared" si="3"/>
        <v>CAT-2456835</v>
      </c>
      <c r="AB44">
        <f t="shared" si="8"/>
        <v>322.38238333060588</v>
      </c>
      <c r="AC44" s="11">
        <f t="shared" si="9"/>
        <v>1.6512107320764489</v>
      </c>
    </row>
    <row r="45" spans="5:29" x14ac:dyDescent="0.3">
      <c r="E45" s="2">
        <v>1</v>
      </c>
      <c r="F45" s="2"/>
      <c r="G45" s="1" t="s">
        <v>75</v>
      </c>
      <c r="H45" s="1">
        <v>127.94</v>
      </c>
      <c r="I45" s="4"/>
      <c r="J45" s="5"/>
      <c r="K45" s="5"/>
      <c r="L45" s="5"/>
      <c r="M45" s="6"/>
      <c r="N45" s="6"/>
      <c r="O45" s="6"/>
      <c r="P45" s="7"/>
      <c r="Q45" s="6"/>
      <c r="R45" s="13"/>
      <c r="S45" s="5"/>
      <c r="T45" s="13"/>
      <c r="U45" s="14"/>
      <c r="V45" s="6"/>
      <c r="W45" s="13"/>
      <c r="X45" s="5"/>
      <c r="Z45" s="1">
        <f t="shared" si="3"/>
        <v>0</v>
      </c>
      <c r="AA45" t="str">
        <f t="shared" si="3"/>
        <v>CAT-2460649</v>
      </c>
      <c r="AB45">
        <f t="shared" si="8"/>
        <v>211.25590106186087</v>
      </c>
      <c r="AC45" s="11">
        <f t="shared" si="9"/>
        <v>1.6512107320764489</v>
      </c>
    </row>
    <row r="46" spans="5:29" x14ac:dyDescent="0.3">
      <c r="E46" s="2">
        <v>5</v>
      </c>
      <c r="F46" s="2"/>
      <c r="G46" s="1" t="s">
        <v>76</v>
      </c>
      <c r="H46" s="1">
        <v>919.2</v>
      </c>
      <c r="I46" s="4"/>
      <c r="J46" s="5"/>
      <c r="K46" s="5"/>
      <c r="L46" s="5"/>
      <c r="M46" s="6"/>
      <c r="N46" s="6"/>
      <c r="O46" s="6"/>
      <c r="P46" s="7"/>
      <c r="Q46" s="6"/>
      <c r="R46" s="13"/>
      <c r="S46" s="5"/>
      <c r="T46" s="13"/>
      <c r="U46" s="14"/>
      <c r="V46" s="6"/>
      <c r="W46" s="13"/>
      <c r="X46" s="5"/>
      <c r="Z46" s="1">
        <f t="shared" si="3"/>
        <v>0</v>
      </c>
      <c r="AA46" t="str">
        <f t="shared" si="3"/>
        <v>KOM-58B/SC/AK030</v>
      </c>
      <c r="AB46">
        <f t="shared" si="8"/>
        <v>1517.7929049246718</v>
      </c>
      <c r="AC46" s="11">
        <f t="shared" si="9"/>
        <v>1.6512107320764489</v>
      </c>
    </row>
    <row r="47" spans="5:29" x14ac:dyDescent="0.3">
      <c r="E47" s="2">
        <v>2</v>
      </c>
      <c r="F47" s="2"/>
      <c r="G47" s="1" t="s">
        <v>77</v>
      </c>
      <c r="H47" s="1">
        <v>96</v>
      </c>
      <c r="I47" s="4"/>
      <c r="J47" s="5"/>
      <c r="K47" s="5"/>
      <c r="L47" s="5"/>
      <c r="M47" s="6"/>
      <c r="N47" s="6"/>
      <c r="O47" s="6"/>
      <c r="P47" s="7"/>
      <c r="Q47" s="6"/>
      <c r="R47" s="13"/>
      <c r="S47" s="5"/>
      <c r="T47" s="13"/>
      <c r="U47" s="14"/>
      <c r="V47" s="6"/>
      <c r="W47" s="13"/>
      <c r="X47" s="5"/>
      <c r="Z47" s="1">
        <f t="shared" si="3"/>
        <v>0</v>
      </c>
      <c r="AA47" t="str">
        <f t="shared" si="3"/>
        <v>CAT-4388593</v>
      </c>
      <c r="AB47" s="12">
        <f t="shared" si="8"/>
        <v>158.51623027933908</v>
      </c>
      <c r="AC47" s="11">
        <f t="shared" si="9"/>
        <v>1.6512107320764489</v>
      </c>
    </row>
    <row r="48" spans="5:29" x14ac:dyDescent="0.3">
      <c r="E48" s="2">
        <v>1</v>
      </c>
      <c r="F48" s="2"/>
      <c r="G48" s="1" t="s">
        <v>78</v>
      </c>
      <c r="H48" s="1">
        <v>35.119999999999997</v>
      </c>
      <c r="I48" s="4"/>
      <c r="J48" s="5"/>
      <c r="K48" s="5"/>
      <c r="L48" s="5"/>
      <c r="M48" s="6"/>
      <c r="N48" s="6"/>
      <c r="O48" s="6"/>
      <c r="P48" s="7"/>
      <c r="Q48" s="6"/>
      <c r="R48" s="13"/>
      <c r="S48" s="5"/>
      <c r="T48" s="13"/>
      <c r="U48" s="14"/>
      <c r="V48" s="6"/>
      <c r="W48" s="13"/>
      <c r="X48" s="5"/>
      <c r="Z48" s="1">
        <f t="shared" si="3"/>
        <v>0</v>
      </c>
      <c r="AA48" t="str">
        <f t="shared" si="3"/>
        <v xml:space="preserve">CAT-2341948 </v>
      </c>
      <c r="AB48" s="12">
        <f t="shared" si="8"/>
        <v>57.990520910524879</v>
      </c>
      <c r="AC48" s="11">
        <f t="shared" si="9"/>
        <v>1.6512107320764489</v>
      </c>
    </row>
    <row r="49" spans="5:29" x14ac:dyDescent="0.3">
      <c r="E49" s="2">
        <v>1</v>
      </c>
      <c r="F49" s="2"/>
      <c r="G49" s="1" t="s">
        <v>79</v>
      </c>
      <c r="H49" s="1">
        <v>39.47</v>
      </c>
      <c r="I49" s="4"/>
      <c r="J49" s="5"/>
      <c r="K49" s="5"/>
      <c r="L49" s="5"/>
      <c r="M49" s="6"/>
      <c r="N49" s="6"/>
      <c r="O49" s="6"/>
      <c r="P49" s="7"/>
      <c r="Q49" s="6"/>
      <c r="R49" s="13"/>
      <c r="S49" s="5"/>
      <c r="T49" s="13"/>
      <c r="U49" s="14"/>
      <c r="V49" s="6"/>
      <c r="W49" s="13"/>
      <c r="X49" s="5"/>
      <c r="Z49" s="1">
        <f t="shared" si="3"/>
        <v>0</v>
      </c>
      <c r="AA49" t="str">
        <f t="shared" si="3"/>
        <v>CAT-2292626</v>
      </c>
      <c r="AB49" s="12">
        <f t="shared" si="8"/>
        <v>65.173287595057431</v>
      </c>
      <c r="AC49" s="11">
        <f t="shared" si="9"/>
        <v>1.6512107320764489</v>
      </c>
    </row>
    <row r="50" spans="5:29" x14ac:dyDescent="0.3">
      <c r="AB50" s="12"/>
      <c r="AC50" s="11"/>
    </row>
    <row r="51" spans="5:29" x14ac:dyDescent="0.3">
      <c r="E51" s="2">
        <v>12</v>
      </c>
      <c r="F51" s="2"/>
      <c r="G51" s="2" t="s">
        <v>80</v>
      </c>
      <c r="H51" s="2">
        <v>300</v>
      </c>
      <c r="I51" s="4">
        <v>7247271802</v>
      </c>
      <c r="J51" s="5">
        <v>22</v>
      </c>
      <c r="K51" s="5">
        <f>14*14*9</f>
        <v>1764</v>
      </c>
      <c r="L51" s="5">
        <v>454.9</v>
      </c>
      <c r="M51" s="6">
        <v>45693</v>
      </c>
      <c r="N51" s="6">
        <v>45699</v>
      </c>
      <c r="O51" s="6">
        <v>45701</v>
      </c>
      <c r="P51" s="7">
        <f>O51-M51</f>
        <v>8</v>
      </c>
      <c r="Q51" s="5">
        <v>2327.17</v>
      </c>
      <c r="R51" s="4" t="s">
        <v>81</v>
      </c>
      <c r="S51" s="5">
        <v>688.8</v>
      </c>
      <c r="T51" s="4" t="s">
        <v>82</v>
      </c>
      <c r="U51" s="9">
        <v>1727.15</v>
      </c>
      <c r="V51" s="20">
        <f>S51+U51-Q51</f>
        <v>88.779999999999745</v>
      </c>
      <c r="W51" s="4" t="s">
        <v>50</v>
      </c>
      <c r="X51" s="5">
        <v>385.5</v>
      </c>
      <c r="Z51" s="1">
        <f t="shared" si="3"/>
        <v>0</v>
      </c>
      <c r="AA51" t="str">
        <f t="shared" si="3"/>
        <v>KOM-SV5921</v>
      </c>
      <c r="AB51" s="12">
        <f>H51+($S$51+$U$51)*H51/SUM($H$51:$H$55)/3.74+$X$51*H51/SUM($H$51:$H$55)</f>
        <v>448.54418062311913</v>
      </c>
      <c r="AC51" s="11">
        <f>AB51/H51</f>
        <v>1.4951472687437304</v>
      </c>
    </row>
    <row r="52" spans="5:29" x14ac:dyDescent="0.3">
      <c r="E52" s="2">
        <v>8</v>
      </c>
      <c r="F52" s="2"/>
      <c r="G52" s="2" t="s">
        <v>83</v>
      </c>
      <c r="H52" s="2">
        <v>12.56</v>
      </c>
      <c r="I52" s="4"/>
      <c r="J52" s="5"/>
      <c r="K52" s="5"/>
      <c r="L52" s="5"/>
      <c r="M52" s="5"/>
      <c r="N52" s="5"/>
      <c r="O52" s="6"/>
      <c r="P52" s="7"/>
      <c r="Q52" s="5"/>
      <c r="R52" s="4"/>
      <c r="S52" s="5"/>
      <c r="T52" s="4"/>
      <c r="U52" s="5"/>
      <c r="V52" s="4"/>
      <c r="W52" s="4"/>
      <c r="X52" s="5"/>
      <c r="Z52" s="1">
        <f t="shared" si="3"/>
        <v>0</v>
      </c>
      <c r="AA52" t="str">
        <f t="shared" si="3"/>
        <v>KOM-VM0313</v>
      </c>
      <c r="AB52" s="12">
        <f>H52+($S$51+$U$51)*H52/SUM($H$51:$H$55)/3.74+$X$51*H52/SUM($H$51:$H$55)</f>
        <v>18.779049695421254</v>
      </c>
      <c r="AC52" s="11">
        <f>AB52/H52</f>
        <v>1.4951472687437304</v>
      </c>
    </row>
    <row r="53" spans="5:29" x14ac:dyDescent="0.3">
      <c r="E53" s="2">
        <v>3</v>
      </c>
      <c r="F53" s="2"/>
      <c r="G53" s="2" t="s">
        <v>84</v>
      </c>
      <c r="H53" s="2">
        <v>55.53</v>
      </c>
      <c r="I53" s="4"/>
      <c r="J53" s="5"/>
      <c r="K53" s="5"/>
      <c r="L53" s="5"/>
      <c r="M53" s="5"/>
      <c r="N53" s="5"/>
      <c r="O53" s="6"/>
      <c r="P53" s="7"/>
      <c r="Q53" s="5"/>
      <c r="R53" s="4"/>
      <c r="S53" s="5"/>
      <c r="T53" s="4"/>
      <c r="U53" s="5"/>
      <c r="V53" s="4"/>
      <c r="W53" s="4"/>
      <c r="X53" s="5"/>
      <c r="Z53" s="1">
        <f t="shared" si="3"/>
        <v>0</v>
      </c>
      <c r="AA53" t="str">
        <f t="shared" si="3"/>
        <v>KOM-TY8879</v>
      </c>
      <c r="AB53" s="12">
        <f>H53+($S$51+$U$51)*H53/SUM($H$51:$H$55)/3.74+$X$51*H53/SUM($H$51:$H$55)</f>
        <v>83.025527833339368</v>
      </c>
      <c r="AC53" s="11">
        <f>AB53/H53</f>
        <v>1.4951472687437306</v>
      </c>
    </row>
    <row r="54" spans="5:29" x14ac:dyDescent="0.3">
      <c r="E54" s="2">
        <v>2</v>
      </c>
      <c r="F54" s="2"/>
      <c r="G54" s="2" t="s">
        <v>85</v>
      </c>
      <c r="H54" s="2">
        <v>87.58</v>
      </c>
      <c r="I54" s="4"/>
      <c r="J54" s="5"/>
      <c r="K54" s="5"/>
      <c r="L54" s="5"/>
      <c r="M54" s="5"/>
      <c r="N54" s="5"/>
      <c r="O54" s="6"/>
      <c r="P54" s="7"/>
      <c r="Q54" s="5"/>
      <c r="R54" s="4"/>
      <c r="S54" s="5"/>
      <c r="T54" s="4"/>
      <c r="U54" s="5"/>
      <c r="V54" s="4"/>
      <c r="W54" s="4"/>
      <c r="X54" s="5"/>
      <c r="Z54" s="1">
        <f t="shared" si="3"/>
        <v>0</v>
      </c>
      <c r="AA54" t="str">
        <f t="shared" si="3"/>
        <v>KOM-TZ8637</v>
      </c>
      <c r="AB54" s="12">
        <f>H54+($S$51+$U$51)*H54/SUM($H$51:$H$55)/3.74+$X$51*H54/SUM($H$51:$H$55)</f>
        <v>130.9449977965759</v>
      </c>
      <c r="AC54" s="11">
        <f>AB54/H54</f>
        <v>1.4951472687437304</v>
      </c>
    </row>
    <row r="55" spans="5:29" x14ac:dyDescent="0.3">
      <c r="E55" s="2">
        <v>1</v>
      </c>
      <c r="F55" s="2"/>
      <c r="G55" s="2" t="s">
        <v>86</v>
      </c>
      <c r="H55" s="2">
        <v>1627.5</v>
      </c>
      <c r="I55" s="4"/>
      <c r="J55" s="5"/>
      <c r="K55" s="5"/>
      <c r="L55" s="5"/>
      <c r="M55" s="5"/>
      <c r="N55" s="5"/>
      <c r="O55" s="6"/>
      <c r="P55" s="7"/>
      <c r="Q55" s="5"/>
      <c r="R55" s="4"/>
      <c r="S55" s="5"/>
      <c r="T55" s="4"/>
      <c r="U55" s="5"/>
      <c r="V55" s="4"/>
      <c r="W55" s="4"/>
      <c r="X55" s="5"/>
      <c r="Z55" s="1">
        <f t="shared" si="3"/>
        <v>0</v>
      </c>
      <c r="AA55" t="str">
        <f t="shared" si="3"/>
        <v>KOM-XA4155</v>
      </c>
      <c r="AB55" s="12">
        <f>H55+($S$51+$U$51)*H55/SUM($H$51:$H$55)/3.74+$X$51*H55/SUM($H$51:$H$55)</f>
        <v>2433.3521798804213</v>
      </c>
      <c r="AC55" s="11">
        <f>AB55/H55</f>
        <v>1.4951472687437304</v>
      </c>
    </row>
    <row r="56" spans="5:29" x14ac:dyDescent="0.3">
      <c r="AB56" s="12"/>
      <c r="AC56" s="11"/>
    </row>
    <row r="57" spans="5:29" x14ac:dyDescent="0.3">
      <c r="E57" s="1">
        <v>1</v>
      </c>
      <c r="G57" s="19" t="s">
        <v>62</v>
      </c>
      <c r="H57" s="19">
        <v>1428.02</v>
      </c>
      <c r="I57" s="4">
        <v>8211559230</v>
      </c>
      <c r="J57" s="5">
        <v>46</v>
      </c>
      <c r="K57" s="5">
        <f>1*45*42*2</f>
        <v>3780</v>
      </c>
      <c r="L57" s="5">
        <v>803.09</v>
      </c>
      <c r="M57" s="6">
        <v>45695</v>
      </c>
      <c r="N57" s="6">
        <v>45701</v>
      </c>
      <c r="O57" s="6">
        <v>45703</v>
      </c>
      <c r="P57" s="7">
        <f>O57-M57</f>
        <v>8</v>
      </c>
      <c r="Q57" s="9">
        <v>4094.8</v>
      </c>
      <c r="R57" s="4" t="s">
        <v>87</v>
      </c>
      <c r="S57" s="5">
        <v>688.8</v>
      </c>
      <c r="T57" s="4" t="s">
        <v>88</v>
      </c>
      <c r="U57" s="9">
        <v>3406</v>
      </c>
      <c r="V57" s="9">
        <f>S57+U57-Q57</f>
        <v>0</v>
      </c>
      <c r="W57" s="4" t="s">
        <v>89</v>
      </c>
      <c r="X57" s="9">
        <v>1030.58</v>
      </c>
      <c r="Z57" s="1">
        <f t="shared" si="3"/>
        <v>0</v>
      </c>
      <c r="AA57" t="str">
        <f t="shared" si="3"/>
        <v>EJ7475</v>
      </c>
      <c r="AB57" s="12">
        <f>H57+($S$57+$U$57)*H57/SUM($H$57:$H$58)/3.74+$X$57*H57/SUM($H$57:$H$58)</f>
        <v>2490.7431550802139</v>
      </c>
      <c r="AC57" s="11">
        <f>AB57/H57</f>
        <v>1.7441934672345023</v>
      </c>
    </row>
    <row r="58" spans="5:29" x14ac:dyDescent="0.3">
      <c r="E58" s="1">
        <v>1</v>
      </c>
      <c r="G58" s="1" t="s">
        <v>62</v>
      </c>
      <c r="H58" s="19">
        <v>1428.02</v>
      </c>
      <c r="I58" s="4"/>
      <c r="J58" s="5"/>
      <c r="K58" s="5"/>
      <c r="L58" s="5"/>
      <c r="M58" s="5"/>
      <c r="N58" s="5"/>
      <c r="O58" s="6"/>
      <c r="P58" s="7"/>
      <c r="Q58" s="5"/>
      <c r="R58" s="4"/>
      <c r="S58" s="5"/>
      <c r="T58" s="4"/>
      <c r="U58" s="5"/>
      <c r="V58" s="5"/>
      <c r="W58" s="4"/>
      <c r="X58" s="5"/>
      <c r="Z58" s="1">
        <f t="shared" si="3"/>
        <v>0</v>
      </c>
      <c r="AA58" t="str">
        <f t="shared" si="3"/>
        <v>EJ7475</v>
      </c>
      <c r="AB58" s="12">
        <f>H58+($S$57+$U$57)*H58/SUM($H$57:$H$58)/3.74+$X$57*H58/SUM($H$57:$H$58)</f>
        <v>2490.7431550802139</v>
      </c>
      <c r="AC58" s="11">
        <f>AB58/H58</f>
        <v>1.7441934672345023</v>
      </c>
    </row>
    <row r="59" spans="5:29" x14ac:dyDescent="0.3">
      <c r="AB59" s="12"/>
      <c r="AC59" s="11"/>
    </row>
    <row r="60" spans="5:29" x14ac:dyDescent="0.3">
      <c r="E60" s="1">
        <v>2</v>
      </c>
      <c r="G60" s="1" t="s">
        <v>90</v>
      </c>
      <c r="H60" s="19">
        <v>42.4</v>
      </c>
      <c r="I60" s="4">
        <v>4114705652</v>
      </c>
      <c r="J60" s="5">
        <v>20</v>
      </c>
      <c r="K60" s="5">
        <f>14*14*9</f>
        <v>1764</v>
      </c>
      <c r="L60" s="5">
        <v>434.46</v>
      </c>
      <c r="M60" s="6">
        <v>45709</v>
      </c>
      <c r="N60" s="6">
        <v>45713</v>
      </c>
      <c r="O60" s="6">
        <v>45714</v>
      </c>
      <c r="P60" s="7">
        <f>O60-M60</f>
        <v>5</v>
      </c>
      <c r="Q60" s="5"/>
      <c r="R60" s="4" t="s">
        <v>91</v>
      </c>
      <c r="S60" s="5">
        <v>149.93</v>
      </c>
      <c r="T60" s="4" t="s">
        <v>92</v>
      </c>
      <c r="U60" s="5">
        <v>707</v>
      </c>
      <c r="V60" s="5"/>
      <c r="W60" s="4" t="s">
        <v>93</v>
      </c>
      <c r="X60" s="5">
        <v>368.18</v>
      </c>
      <c r="Z60" s="1">
        <f t="shared" si="3"/>
        <v>0</v>
      </c>
      <c r="AA60" t="str">
        <f t="shared" si="3"/>
        <v>KOM-VN9350</v>
      </c>
      <c r="AB60" s="12">
        <f>H60+($S$60+$U$60)*H60/SUM($H$60:$H$63)/3.74+$X$60*H60/SUM($H$60:$H$63)</f>
        <v>78.269641445005291</v>
      </c>
      <c r="AC60" s="11">
        <f>AB60/H60</f>
        <v>1.8459821095520117</v>
      </c>
    </row>
    <row r="61" spans="5:29" x14ac:dyDescent="0.3">
      <c r="E61" s="1">
        <v>2</v>
      </c>
      <c r="G61" s="1" t="s">
        <v>94</v>
      </c>
      <c r="H61" s="1">
        <v>60</v>
      </c>
      <c r="I61" s="4"/>
      <c r="J61" s="5"/>
      <c r="K61" s="5"/>
      <c r="L61" s="5"/>
      <c r="M61" s="5"/>
      <c r="N61" s="5"/>
      <c r="O61" s="6"/>
      <c r="P61" s="7"/>
      <c r="Q61" s="5"/>
      <c r="R61" s="4"/>
      <c r="S61" s="5"/>
      <c r="T61" s="4"/>
      <c r="U61" s="5"/>
      <c r="V61" s="5"/>
      <c r="W61" s="4"/>
      <c r="X61" s="5"/>
      <c r="Z61" s="1">
        <f t="shared" si="3"/>
        <v>0</v>
      </c>
      <c r="AA61" t="str">
        <f t="shared" si="3"/>
        <v>KOM-VN9353</v>
      </c>
      <c r="AB61" s="12">
        <f>H61+($S$60+$U$60)*H61/SUM($H$60:$H$63)/3.74+$X$60*H61/SUM($H$60:$H$63)</f>
        <v>110.7589265731207</v>
      </c>
      <c r="AC61" s="11">
        <f>AB61/H61</f>
        <v>1.8459821095520117</v>
      </c>
    </row>
    <row r="62" spans="5:29" x14ac:dyDescent="0.3">
      <c r="E62" s="1">
        <v>1</v>
      </c>
      <c r="G62" s="1" t="s">
        <v>95</v>
      </c>
      <c r="H62" s="1">
        <v>203.65</v>
      </c>
      <c r="I62" s="4"/>
      <c r="J62" s="5"/>
      <c r="K62" s="5"/>
      <c r="L62" s="5"/>
      <c r="M62" s="5"/>
      <c r="N62" s="5"/>
      <c r="O62" s="6"/>
      <c r="P62" s="7"/>
      <c r="Q62" s="5"/>
      <c r="R62" s="4"/>
      <c r="S62" s="5"/>
      <c r="T62" s="4"/>
      <c r="U62" s="5"/>
      <c r="V62" s="5"/>
      <c r="W62" s="4"/>
      <c r="X62" s="5"/>
      <c r="Z62" s="1">
        <f t="shared" si="3"/>
        <v>0</v>
      </c>
      <c r="AA62" t="str">
        <f t="shared" si="3"/>
        <v>CAT-1483381</v>
      </c>
      <c r="AB62" s="12">
        <f>H62+($S$60+$U$60)*H62/SUM($H$60:$H$63)/3.74+$X$60*H62/SUM($H$60:$H$63)</f>
        <v>375.9342566102672</v>
      </c>
      <c r="AC62" s="11">
        <f>AB62/H62</f>
        <v>1.8459821095520117</v>
      </c>
    </row>
    <row r="63" spans="5:29" x14ac:dyDescent="0.3">
      <c r="E63" s="1">
        <v>2</v>
      </c>
      <c r="G63" s="1" t="s">
        <v>96</v>
      </c>
      <c r="H63" s="1">
        <v>400</v>
      </c>
      <c r="I63" s="4"/>
      <c r="J63" s="5"/>
      <c r="K63" s="5"/>
      <c r="L63" s="5"/>
      <c r="M63" s="5"/>
      <c r="N63" s="5"/>
      <c r="O63" s="6"/>
      <c r="P63" s="7"/>
      <c r="Q63" s="5"/>
      <c r="R63" s="4"/>
      <c r="S63" s="5"/>
      <c r="T63" s="4"/>
      <c r="U63" s="5"/>
      <c r="V63" s="5"/>
      <c r="W63" s="4"/>
      <c r="X63" s="5"/>
      <c r="Z63" s="1">
        <f t="shared" si="3"/>
        <v>0</v>
      </c>
      <c r="AA63" t="str">
        <f t="shared" si="3"/>
        <v>CAT-4251571</v>
      </c>
      <c r="AB63" s="12">
        <f>H63+($S$60+$U$60)*H63/SUM($H$60:$H$63)/3.74+$X$60*H63/SUM($H$60:$H$63)</f>
        <v>738.39284382080473</v>
      </c>
      <c r="AC63" s="11">
        <f>AB63/H63</f>
        <v>1.8459821095520119</v>
      </c>
    </row>
    <row r="64" spans="5:29" x14ac:dyDescent="0.3">
      <c r="AB64" s="12"/>
      <c r="AC64" s="11"/>
    </row>
    <row r="65" spans="5:29" x14ac:dyDescent="0.3">
      <c r="E65" s="1">
        <v>2</v>
      </c>
      <c r="G65" s="1" t="s">
        <v>97</v>
      </c>
      <c r="H65" s="19">
        <v>301.2</v>
      </c>
      <c r="I65" s="4">
        <v>2832549090</v>
      </c>
      <c r="J65" s="5">
        <v>78</v>
      </c>
      <c r="K65" s="5">
        <f>18*18*(14+11)</f>
        <v>8100</v>
      </c>
      <c r="L65" s="5">
        <v>961.86</v>
      </c>
      <c r="M65" s="6">
        <v>45714</v>
      </c>
      <c r="N65" s="6">
        <v>45720</v>
      </c>
      <c r="O65" s="6">
        <v>45720</v>
      </c>
      <c r="P65" s="7">
        <f>O65-M65</f>
        <v>6</v>
      </c>
      <c r="Q65" s="5">
        <v>249.29</v>
      </c>
      <c r="R65" s="4" t="s">
        <v>98</v>
      </c>
      <c r="S65" s="5">
        <v>249.29</v>
      </c>
      <c r="T65" s="4" t="s">
        <v>99</v>
      </c>
      <c r="U65" s="9">
        <v>1352</v>
      </c>
      <c r="V65" s="5"/>
      <c r="W65" s="4" t="s">
        <v>100</v>
      </c>
      <c r="X65" s="5">
        <v>855.19</v>
      </c>
      <c r="Z65" s="1">
        <f t="shared" si="3"/>
        <v>0</v>
      </c>
      <c r="AA65" t="str">
        <f t="shared" si="3"/>
        <v>CAT-1722848</v>
      </c>
      <c r="AB65" s="12">
        <f t="shared" ref="AB65:AB80" si="10">H65+($S$65+$U$65)*H65/SUM($H$65:$H$80)/3.74+$X$65*H65/SUM($H$65:$H$80)</f>
        <v>581.51468121833432</v>
      </c>
      <c r="AC65" s="11">
        <f t="shared" ref="AC65:AC80" si="11">AB65/H65</f>
        <v>1.9306596321989853</v>
      </c>
    </row>
    <row r="66" spans="5:29" x14ac:dyDescent="0.3">
      <c r="E66" s="1">
        <v>2</v>
      </c>
      <c r="G66" s="1" t="s">
        <v>101</v>
      </c>
      <c r="H66" s="1">
        <v>70.239999999999995</v>
      </c>
      <c r="I66" s="4"/>
      <c r="J66" s="5"/>
      <c r="K66" s="5"/>
      <c r="L66" s="5"/>
      <c r="M66" s="5"/>
      <c r="N66" s="5"/>
      <c r="O66" s="6"/>
      <c r="P66" s="7"/>
      <c r="Q66" s="5"/>
      <c r="R66" s="4"/>
      <c r="S66" s="5"/>
      <c r="T66" s="4"/>
      <c r="U66" s="5"/>
      <c r="V66" s="5"/>
      <c r="W66" s="4"/>
      <c r="X66" s="5"/>
      <c r="Z66" s="1">
        <f t="shared" si="3"/>
        <v>0</v>
      </c>
      <c r="AA66" t="str">
        <f t="shared" si="3"/>
        <v>CAT-2341948</v>
      </c>
      <c r="AB66" s="12">
        <f t="shared" si="10"/>
        <v>135.60953256565671</v>
      </c>
      <c r="AC66" s="11">
        <f t="shared" si="11"/>
        <v>1.9306596321989851</v>
      </c>
    </row>
    <row r="67" spans="5:29" x14ac:dyDescent="0.3">
      <c r="E67" s="1">
        <v>2</v>
      </c>
      <c r="G67" s="1" t="s">
        <v>75</v>
      </c>
      <c r="H67" s="1">
        <v>255.88</v>
      </c>
      <c r="I67" s="4"/>
      <c r="J67" s="5"/>
      <c r="K67" s="5"/>
      <c r="L67" s="5"/>
      <c r="M67" s="5"/>
      <c r="N67" s="5"/>
      <c r="O67" s="6"/>
      <c r="P67" s="7"/>
      <c r="Q67" s="5"/>
      <c r="R67" s="4"/>
      <c r="S67" s="5"/>
      <c r="T67" s="4"/>
      <c r="U67" s="5"/>
      <c r="V67" s="5"/>
      <c r="W67" s="4"/>
      <c r="X67" s="5"/>
      <c r="Z67" s="1">
        <f t="shared" si="3"/>
        <v>0</v>
      </c>
      <c r="AA67" t="str">
        <f t="shared" si="3"/>
        <v>CAT-2460649</v>
      </c>
      <c r="AB67" s="12">
        <f t="shared" si="10"/>
        <v>494.01718668707622</v>
      </c>
      <c r="AC67" s="11">
        <f t="shared" si="11"/>
        <v>1.9306596321989848</v>
      </c>
    </row>
    <row r="68" spans="5:29" x14ac:dyDescent="0.3">
      <c r="E68" s="1">
        <v>8</v>
      </c>
      <c r="G68" s="1" t="s">
        <v>33</v>
      </c>
      <c r="H68" s="1">
        <v>15.2</v>
      </c>
      <c r="I68" s="4"/>
      <c r="J68" s="5"/>
      <c r="K68" s="5"/>
      <c r="L68" s="5"/>
      <c r="M68" s="5"/>
      <c r="N68" s="5"/>
      <c r="O68" s="6"/>
      <c r="P68" s="7"/>
      <c r="Q68" s="5"/>
      <c r="R68" s="4"/>
      <c r="S68" s="5"/>
      <c r="T68" s="4"/>
      <c r="U68" s="5"/>
      <c r="V68" s="5"/>
      <c r="W68" s="4"/>
      <c r="X68" s="5"/>
      <c r="Z68" s="1">
        <f t="shared" si="3"/>
        <v>0</v>
      </c>
      <c r="AA68" t="str">
        <f t="shared" si="3"/>
        <v>KOM-H2981</v>
      </c>
      <c r="AB68" s="12">
        <f t="shared" si="10"/>
        <v>29.346026409424571</v>
      </c>
      <c r="AC68" s="11">
        <f t="shared" si="11"/>
        <v>1.9306596321989851</v>
      </c>
    </row>
    <row r="69" spans="5:29" x14ac:dyDescent="0.3">
      <c r="E69" s="1">
        <v>2</v>
      </c>
      <c r="G69" s="1" t="s">
        <v>102</v>
      </c>
      <c r="H69" s="1">
        <v>1.9</v>
      </c>
      <c r="I69" s="4"/>
      <c r="J69" s="5"/>
      <c r="K69" s="5"/>
      <c r="L69" s="5"/>
      <c r="M69" s="5"/>
      <c r="N69" s="5"/>
      <c r="O69" s="6"/>
      <c r="P69" s="7"/>
      <c r="Q69" s="5"/>
      <c r="R69" s="4"/>
      <c r="S69" s="5"/>
      <c r="T69" s="4"/>
      <c r="U69" s="5"/>
      <c r="V69" s="5"/>
      <c r="W69" s="4"/>
      <c r="X69" s="5"/>
      <c r="Z69" s="1">
        <f t="shared" si="3"/>
        <v>0</v>
      </c>
      <c r="AA69" t="str">
        <f t="shared" si="3"/>
        <v>KOM-WA1443</v>
      </c>
      <c r="AB69" s="12">
        <f t="shared" si="10"/>
        <v>3.6682533011780714</v>
      </c>
      <c r="AC69" s="11">
        <f t="shared" si="11"/>
        <v>1.9306596321989851</v>
      </c>
    </row>
    <row r="70" spans="5:29" x14ac:dyDescent="0.3">
      <c r="E70" s="1">
        <v>2</v>
      </c>
      <c r="G70" s="1" t="s">
        <v>103</v>
      </c>
      <c r="H70" s="1">
        <v>2.34</v>
      </c>
      <c r="I70" s="4"/>
      <c r="J70" s="5"/>
      <c r="K70" s="5"/>
      <c r="L70" s="5"/>
      <c r="M70" s="5"/>
      <c r="N70" s="5"/>
      <c r="O70" s="6"/>
      <c r="P70" s="7"/>
      <c r="Q70" s="5"/>
      <c r="R70" s="4"/>
      <c r="S70" s="5"/>
      <c r="T70" s="4"/>
      <c r="U70" s="5"/>
      <c r="V70" s="5"/>
      <c r="W70" s="4"/>
      <c r="X70" s="5"/>
      <c r="Z70" s="1">
        <f t="shared" si="3"/>
        <v>0</v>
      </c>
      <c r="AA70" t="str">
        <f t="shared" si="3"/>
        <v>KOM-WA0443</v>
      </c>
      <c r="AB70" s="12">
        <f t="shared" si="10"/>
        <v>4.5177435393456253</v>
      </c>
      <c r="AC70" s="11">
        <f t="shared" si="11"/>
        <v>1.9306596321989853</v>
      </c>
    </row>
    <row r="71" spans="5:29" x14ac:dyDescent="0.3">
      <c r="E71" s="1">
        <v>3</v>
      </c>
      <c r="G71" s="1" t="s">
        <v>104</v>
      </c>
      <c r="H71" s="1">
        <v>209.28</v>
      </c>
      <c r="I71" s="4"/>
      <c r="J71" s="5"/>
      <c r="K71" s="5"/>
      <c r="L71" s="5"/>
      <c r="M71" s="5"/>
      <c r="N71" s="5"/>
      <c r="O71" s="6"/>
      <c r="P71" s="7"/>
      <c r="Q71" s="5"/>
      <c r="R71" s="4"/>
      <c r="S71" s="5"/>
      <c r="T71" s="4"/>
      <c r="U71" s="5"/>
      <c r="V71" s="5"/>
      <c r="W71" s="4"/>
      <c r="X71" s="5"/>
      <c r="Z71" s="1">
        <f t="shared" si="3"/>
        <v>0</v>
      </c>
      <c r="AA71" t="str">
        <f t="shared" si="3"/>
        <v>CAT-2350974</v>
      </c>
      <c r="AB71" s="12">
        <f t="shared" si="10"/>
        <v>404.04844782660359</v>
      </c>
      <c r="AC71" s="11">
        <f t="shared" si="11"/>
        <v>1.9306596321989851</v>
      </c>
    </row>
    <row r="72" spans="5:29" x14ac:dyDescent="0.3">
      <c r="E72" s="1">
        <v>2</v>
      </c>
      <c r="G72" s="1" t="s">
        <v>105</v>
      </c>
      <c r="H72" s="1">
        <v>1.64</v>
      </c>
      <c r="I72" s="4"/>
      <c r="J72" s="5"/>
      <c r="K72" s="5"/>
      <c r="L72" s="5"/>
      <c r="M72" s="5"/>
      <c r="N72" s="5"/>
      <c r="O72" s="6"/>
      <c r="P72" s="7"/>
      <c r="Q72" s="5"/>
      <c r="R72" s="4"/>
      <c r="S72" s="5"/>
      <c r="T72" s="4"/>
      <c r="U72" s="5"/>
      <c r="V72" s="5"/>
      <c r="W72" s="4"/>
      <c r="X72" s="5"/>
      <c r="Z72" s="1">
        <f t="shared" si="3"/>
        <v>0</v>
      </c>
      <c r="AA72" t="str">
        <f t="shared" si="3"/>
        <v>CAT-2151942</v>
      </c>
      <c r="AB72" s="12">
        <f t="shared" si="10"/>
        <v>3.1662817968063353</v>
      </c>
      <c r="AC72" s="11">
        <f t="shared" si="11"/>
        <v>1.9306596321989851</v>
      </c>
    </row>
    <row r="73" spans="5:29" x14ac:dyDescent="0.3">
      <c r="E73" s="1">
        <v>2</v>
      </c>
      <c r="G73" s="1" t="s">
        <v>106</v>
      </c>
      <c r="H73" s="1">
        <v>1.52</v>
      </c>
      <c r="I73" s="4"/>
      <c r="J73" s="5"/>
      <c r="K73" s="5"/>
      <c r="L73" s="5"/>
      <c r="M73" s="5"/>
      <c r="N73" s="5"/>
      <c r="O73" s="6"/>
      <c r="P73" s="7"/>
      <c r="Q73" s="5"/>
      <c r="R73" s="4"/>
      <c r="S73" s="5"/>
      <c r="T73" s="4"/>
      <c r="U73" s="5"/>
      <c r="V73" s="5"/>
      <c r="W73" s="4"/>
      <c r="X73" s="5"/>
      <c r="Z73" s="1">
        <f t="shared" si="3"/>
        <v>0</v>
      </c>
      <c r="AA73" t="str">
        <f t="shared" si="3"/>
        <v>CAT-1882199</v>
      </c>
      <c r="AB73" s="12">
        <f t="shared" si="10"/>
        <v>2.9346026409424573</v>
      </c>
      <c r="AC73" s="11">
        <f t="shared" si="11"/>
        <v>1.9306596321989851</v>
      </c>
    </row>
    <row r="74" spans="5:29" x14ac:dyDescent="0.3">
      <c r="E74" s="1">
        <v>2</v>
      </c>
      <c r="G74" s="1" t="s">
        <v>107</v>
      </c>
      <c r="H74" s="1">
        <v>190</v>
      </c>
      <c r="I74" s="4"/>
      <c r="J74" s="5"/>
      <c r="K74" s="5"/>
      <c r="L74" s="5"/>
      <c r="M74" s="5"/>
      <c r="N74" s="5"/>
      <c r="O74" s="6"/>
      <c r="P74" s="7"/>
      <c r="Q74" s="5"/>
      <c r="R74" s="4"/>
      <c r="S74" s="5"/>
      <c r="T74" s="4"/>
      <c r="U74" s="5"/>
      <c r="V74" s="5"/>
      <c r="W74" s="4"/>
      <c r="X74" s="5"/>
      <c r="Z74" s="1">
        <f t="shared" si="3"/>
        <v>0</v>
      </c>
      <c r="AA74" t="str">
        <f t="shared" si="3"/>
        <v>CAT-7J9250</v>
      </c>
      <c r="AB74" s="12">
        <f t="shared" si="10"/>
        <v>366.82533011780714</v>
      </c>
      <c r="AC74" s="11">
        <f t="shared" si="11"/>
        <v>1.9306596321989848</v>
      </c>
    </row>
    <row r="75" spans="5:29" x14ac:dyDescent="0.3">
      <c r="E75" s="1">
        <v>1</v>
      </c>
      <c r="G75" s="1" t="s">
        <v>108</v>
      </c>
      <c r="H75" s="1">
        <v>30.53</v>
      </c>
      <c r="I75" s="4"/>
      <c r="J75" s="5"/>
      <c r="K75" s="5"/>
      <c r="L75" s="5"/>
      <c r="M75" s="5"/>
      <c r="N75" s="5"/>
      <c r="O75" s="6"/>
      <c r="P75" s="7"/>
      <c r="Q75" s="5"/>
      <c r="R75" s="4"/>
      <c r="S75" s="5"/>
      <c r="T75" s="4"/>
      <c r="U75" s="5"/>
      <c r="V75" s="5"/>
      <c r="W75" s="4"/>
      <c r="X75" s="5"/>
      <c r="Z75" s="1">
        <f t="shared" ref="Z75:AA125" si="12">F75</f>
        <v>0</v>
      </c>
      <c r="AA75" t="str">
        <f t="shared" si="12"/>
        <v>CAT-4381138</v>
      </c>
      <c r="AB75" s="12">
        <f t="shared" si="10"/>
        <v>58.943038571035018</v>
      </c>
      <c r="AC75" s="11">
        <f t="shared" si="11"/>
        <v>1.9306596321989851</v>
      </c>
    </row>
    <row r="76" spans="5:29" x14ac:dyDescent="0.3">
      <c r="E76" s="1">
        <v>2</v>
      </c>
      <c r="G76" s="1" t="s">
        <v>109</v>
      </c>
      <c r="H76" s="1">
        <v>10.56</v>
      </c>
      <c r="I76" s="4"/>
      <c r="J76" s="5"/>
      <c r="K76" s="5"/>
      <c r="L76" s="5"/>
      <c r="M76" s="5"/>
      <c r="N76" s="5"/>
      <c r="O76" s="6"/>
      <c r="P76" s="7"/>
      <c r="Q76" s="5"/>
      <c r="R76" s="4"/>
      <c r="S76" s="5"/>
      <c r="T76" s="4"/>
      <c r="U76" s="5"/>
      <c r="V76" s="5"/>
      <c r="W76" s="4"/>
      <c r="X76" s="5"/>
      <c r="Z76" s="1">
        <f t="shared" si="12"/>
        <v>0</v>
      </c>
      <c r="AA76" t="str">
        <f t="shared" si="12"/>
        <v>CAT-1090119</v>
      </c>
      <c r="AB76" s="12">
        <f t="shared" si="10"/>
        <v>20.387765716021285</v>
      </c>
      <c r="AC76" s="11">
        <f t="shared" si="11"/>
        <v>1.9306596321989853</v>
      </c>
    </row>
    <row r="77" spans="5:29" x14ac:dyDescent="0.3">
      <c r="E77" s="1">
        <v>1</v>
      </c>
      <c r="G77" s="1" t="s">
        <v>110</v>
      </c>
      <c r="H77" s="1">
        <v>4.8499999999999996</v>
      </c>
      <c r="I77" s="4"/>
      <c r="J77" s="5"/>
      <c r="K77" s="5"/>
      <c r="L77" s="5"/>
      <c r="M77" s="5"/>
      <c r="N77" s="5"/>
      <c r="O77" s="6"/>
      <c r="P77" s="7"/>
      <c r="Q77" s="5"/>
      <c r="R77" s="4"/>
      <c r="S77" s="5"/>
      <c r="T77" s="4"/>
      <c r="U77" s="5"/>
      <c r="V77" s="5"/>
      <c r="W77" s="4"/>
      <c r="X77" s="5"/>
      <c r="Z77" s="1">
        <f t="shared" si="12"/>
        <v>0</v>
      </c>
      <c r="AA77" t="str">
        <f t="shared" si="12"/>
        <v>KOM-WA1456</v>
      </c>
      <c r="AB77" s="12">
        <f t="shared" si="10"/>
        <v>9.3636992161650774</v>
      </c>
      <c r="AC77" s="11">
        <f t="shared" si="11"/>
        <v>1.9306596321989851</v>
      </c>
    </row>
    <row r="78" spans="5:29" x14ac:dyDescent="0.3">
      <c r="E78" s="1">
        <v>2</v>
      </c>
      <c r="G78" s="1" t="s">
        <v>111</v>
      </c>
      <c r="H78" s="1">
        <v>63</v>
      </c>
      <c r="I78" s="4"/>
      <c r="J78" s="5"/>
      <c r="K78" s="5"/>
      <c r="L78" s="5"/>
      <c r="M78" s="5"/>
      <c r="N78" s="5"/>
      <c r="O78" s="6"/>
      <c r="P78" s="7"/>
      <c r="Q78" s="5"/>
      <c r="R78" s="4"/>
      <c r="S78" s="5"/>
      <c r="T78" s="4"/>
      <c r="U78" s="5"/>
      <c r="V78" s="5"/>
      <c r="W78" s="4"/>
      <c r="X78" s="5"/>
      <c r="Z78" s="1">
        <f t="shared" si="12"/>
        <v>0</v>
      </c>
      <c r="AA78" t="str">
        <f t="shared" si="12"/>
        <v>KOM-VN9351</v>
      </c>
      <c r="AB78" s="12">
        <f t="shared" si="10"/>
        <v>121.63155682853605</v>
      </c>
      <c r="AC78" s="11">
        <f t="shared" si="11"/>
        <v>1.9306596321989848</v>
      </c>
    </row>
    <row r="79" spans="5:29" x14ac:dyDescent="0.3">
      <c r="E79" s="1">
        <v>1</v>
      </c>
      <c r="G79" s="1" t="s">
        <v>112</v>
      </c>
      <c r="H79" s="1">
        <v>177.16</v>
      </c>
      <c r="I79" s="4"/>
      <c r="J79" s="5"/>
      <c r="K79" s="5"/>
      <c r="L79" s="5"/>
      <c r="M79" s="5"/>
      <c r="N79" s="5"/>
      <c r="O79" s="6"/>
      <c r="P79" s="7"/>
      <c r="Q79" s="5"/>
      <c r="R79" s="4"/>
      <c r="S79" s="5"/>
      <c r="T79" s="4"/>
      <c r="U79" s="5"/>
      <c r="V79" s="5"/>
      <c r="W79" s="4"/>
      <c r="X79" s="5"/>
      <c r="Z79" s="1">
        <f t="shared" si="12"/>
        <v>0</v>
      </c>
      <c r="AA79" t="str">
        <f t="shared" si="12"/>
        <v>KOM-VA0538</v>
      </c>
      <c r="AB79" s="12">
        <f t="shared" si="10"/>
        <v>342.03566044037217</v>
      </c>
      <c r="AC79" s="11">
        <f t="shared" si="11"/>
        <v>1.9306596321989851</v>
      </c>
    </row>
    <row r="80" spans="5:29" x14ac:dyDescent="0.3">
      <c r="E80" s="1">
        <v>2</v>
      </c>
      <c r="G80" s="1" t="s">
        <v>113</v>
      </c>
      <c r="H80" s="1">
        <v>43.66</v>
      </c>
      <c r="I80" s="4"/>
      <c r="J80" s="5"/>
      <c r="K80" s="5"/>
      <c r="L80" s="5"/>
      <c r="M80" s="5"/>
      <c r="N80" s="5"/>
      <c r="O80" s="6"/>
      <c r="P80" s="7"/>
      <c r="Q80" s="5"/>
      <c r="R80" s="4"/>
      <c r="S80" s="5"/>
      <c r="T80" s="4"/>
      <c r="U80" s="5"/>
      <c r="V80" s="5"/>
      <c r="W80" s="4"/>
      <c r="X80" s="5"/>
      <c r="Z80" s="1">
        <f t="shared" si="12"/>
        <v>0</v>
      </c>
      <c r="AA80" t="str">
        <f t="shared" si="12"/>
        <v>KOM-VN9346</v>
      </c>
      <c r="AB80" s="12">
        <f t="shared" si="10"/>
        <v>84.292599541807675</v>
      </c>
      <c r="AC80" s="11">
        <f t="shared" si="11"/>
        <v>1.9306596321989848</v>
      </c>
    </row>
    <row r="81" spans="5:29" x14ac:dyDescent="0.3">
      <c r="AB81" s="12"/>
      <c r="AC81" s="11"/>
    </row>
    <row r="82" spans="5:29" x14ac:dyDescent="0.3">
      <c r="E82" s="1">
        <v>2</v>
      </c>
      <c r="G82" s="1" t="s">
        <v>24</v>
      </c>
      <c r="H82" s="19">
        <v>118.96</v>
      </c>
      <c r="I82" s="4">
        <v>2402972611</v>
      </c>
      <c r="J82" s="5">
        <f>64</f>
        <v>64</v>
      </c>
      <c r="K82" s="5">
        <f>18*18*14*2</f>
        <v>9072</v>
      </c>
      <c r="L82" s="5">
        <v>864.93</v>
      </c>
      <c r="M82" s="6">
        <v>45356</v>
      </c>
      <c r="N82" s="6">
        <v>45362</v>
      </c>
      <c r="O82" s="6">
        <v>45382</v>
      </c>
      <c r="P82" s="7">
        <f>O82-M82</f>
        <v>26</v>
      </c>
      <c r="Q82" s="9">
        <v>3579.02</v>
      </c>
      <c r="R82" s="4" t="s">
        <v>114</v>
      </c>
      <c r="S82" s="5">
        <v>773.35</v>
      </c>
      <c r="T82" s="4" t="s">
        <v>115</v>
      </c>
      <c r="U82" s="9">
        <v>3490.5</v>
      </c>
      <c r="V82" s="10"/>
      <c r="W82" s="4" t="s">
        <v>116</v>
      </c>
      <c r="X82" s="5">
        <v>884.01</v>
      </c>
      <c r="Z82" s="1">
        <f t="shared" si="12"/>
        <v>0</v>
      </c>
      <c r="AA82" t="str">
        <f t="shared" si="12"/>
        <v>KOM-EH7197</v>
      </c>
      <c r="AB82" s="12">
        <f t="shared" ref="AB82:AB93" si="13">H82+($S$82+$U$82)*H82/SUM($H$82:$H$93)/3.74+$X$82*H82/SUM($H$82:$H$93)</f>
        <v>213.88136599228821</v>
      </c>
      <c r="AC82" s="11">
        <f t="shared" ref="AC82:AC93" si="14">AB82/H82</f>
        <v>1.7979267484220598</v>
      </c>
    </row>
    <row r="83" spans="5:29" x14ac:dyDescent="0.3">
      <c r="E83" s="1">
        <v>1</v>
      </c>
      <c r="G83" s="1" t="s">
        <v>52</v>
      </c>
      <c r="H83" s="1">
        <v>56.55</v>
      </c>
      <c r="I83" s="4"/>
      <c r="J83" s="5"/>
      <c r="K83" s="5"/>
      <c r="L83" s="5"/>
      <c r="M83" s="5"/>
      <c r="N83" s="5"/>
      <c r="O83" s="6"/>
      <c r="P83" s="7"/>
      <c r="Q83" s="5"/>
      <c r="R83" s="4"/>
      <c r="S83" s="5"/>
      <c r="T83" s="4"/>
      <c r="U83" s="5"/>
      <c r="V83" s="10"/>
      <c r="W83" s="4"/>
      <c r="X83" s="5"/>
      <c r="Z83" s="1">
        <f t="shared" si="12"/>
        <v>0</v>
      </c>
      <c r="AA83" t="str">
        <f t="shared" si="12"/>
        <v>KOM-EH7196</v>
      </c>
      <c r="AB83" s="12">
        <f t="shared" si="13"/>
        <v>101.67275762326747</v>
      </c>
      <c r="AC83" s="11">
        <f t="shared" si="14"/>
        <v>1.7979267484220598</v>
      </c>
    </row>
    <row r="84" spans="5:29" x14ac:dyDescent="0.3">
      <c r="E84" s="1">
        <v>1</v>
      </c>
      <c r="G84" s="1" t="s">
        <v>117</v>
      </c>
      <c r="H84" s="1">
        <v>30</v>
      </c>
      <c r="I84" s="4"/>
      <c r="J84" s="5"/>
      <c r="K84" s="5"/>
      <c r="L84" s="5"/>
      <c r="M84" s="5"/>
      <c r="N84" s="5"/>
      <c r="O84" s="6"/>
      <c r="P84" s="7"/>
      <c r="Q84" s="5"/>
      <c r="R84" s="4"/>
      <c r="S84" s="5"/>
      <c r="T84" s="4"/>
      <c r="U84" s="5"/>
      <c r="V84" s="10"/>
      <c r="W84" s="4"/>
      <c r="X84" s="5"/>
      <c r="Z84" s="1">
        <f t="shared" si="12"/>
        <v>0</v>
      </c>
      <c r="AA84" t="str">
        <f t="shared" si="12"/>
        <v xml:space="preserve"> KOM-EH7192</v>
      </c>
      <c r="AB84" s="12">
        <f t="shared" si="13"/>
        <v>53.937802452661799</v>
      </c>
      <c r="AC84" s="11">
        <f t="shared" si="14"/>
        <v>1.79792674842206</v>
      </c>
    </row>
    <row r="85" spans="5:29" x14ac:dyDescent="0.3">
      <c r="E85" s="1">
        <v>1</v>
      </c>
      <c r="G85" s="1" t="s">
        <v>29</v>
      </c>
      <c r="H85" s="1">
        <v>39.979999999999997</v>
      </c>
      <c r="I85" s="4"/>
      <c r="J85" s="5"/>
      <c r="K85" s="5"/>
      <c r="L85" s="5"/>
      <c r="M85" s="5"/>
      <c r="N85" s="5"/>
      <c r="O85" s="6"/>
      <c r="P85" s="7"/>
      <c r="Q85" s="5"/>
      <c r="R85" s="4"/>
      <c r="S85" s="5"/>
      <c r="T85" s="4"/>
      <c r="U85" s="5"/>
      <c r="V85" s="10"/>
      <c r="W85" s="4"/>
      <c r="X85" s="5"/>
      <c r="Z85" s="1">
        <f t="shared" si="12"/>
        <v>0</v>
      </c>
      <c r="AA85" t="str">
        <f t="shared" si="12"/>
        <v>KOM-EH7194</v>
      </c>
      <c r="AB85" s="12">
        <f t="shared" si="13"/>
        <v>71.881111401913955</v>
      </c>
      <c r="AC85" s="11">
        <f t="shared" si="14"/>
        <v>1.79792674842206</v>
      </c>
    </row>
    <row r="86" spans="5:29" x14ac:dyDescent="0.3">
      <c r="E86" s="1">
        <v>1</v>
      </c>
      <c r="G86" s="1" t="s">
        <v>30</v>
      </c>
      <c r="H86" s="1">
        <v>4.87</v>
      </c>
      <c r="I86" s="4"/>
      <c r="J86" s="5"/>
      <c r="K86" s="5"/>
      <c r="L86" s="5"/>
      <c r="M86" s="5"/>
      <c r="N86" s="5"/>
      <c r="O86" s="6"/>
      <c r="P86" s="7"/>
      <c r="Q86" s="5"/>
      <c r="R86" s="4"/>
      <c r="S86" s="5"/>
      <c r="T86" s="4"/>
      <c r="U86" s="5"/>
      <c r="V86" s="10"/>
      <c r="W86" s="4"/>
      <c r="X86" s="5"/>
      <c r="Z86" s="1">
        <f t="shared" si="12"/>
        <v>0</v>
      </c>
      <c r="AA86" t="str">
        <f t="shared" si="12"/>
        <v>KOM-EH7190</v>
      </c>
      <c r="AB86" s="12">
        <f t="shared" si="13"/>
        <v>8.7559032648154318</v>
      </c>
      <c r="AC86" s="11">
        <f t="shared" si="14"/>
        <v>1.7979267484220598</v>
      </c>
    </row>
    <row r="87" spans="5:29" x14ac:dyDescent="0.3">
      <c r="E87" s="1">
        <v>1</v>
      </c>
      <c r="G87" s="1" t="s">
        <v>31</v>
      </c>
      <c r="H87" s="1">
        <v>49.47</v>
      </c>
      <c r="I87" s="4"/>
      <c r="J87" s="5"/>
      <c r="K87" s="5"/>
      <c r="L87" s="5"/>
      <c r="M87" s="5"/>
      <c r="N87" s="5"/>
      <c r="O87" s="6"/>
      <c r="P87" s="7"/>
      <c r="Q87" s="5"/>
      <c r="R87" s="4"/>
      <c r="S87" s="5"/>
      <c r="T87" s="4"/>
      <c r="U87" s="5"/>
      <c r="V87" s="10"/>
      <c r="W87" s="4"/>
      <c r="X87" s="5"/>
      <c r="Z87" s="1">
        <f t="shared" si="12"/>
        <v>0</v>
      </c>
      <c r="AA87" t="str">
        <f t="shared" si="12"/>
        <v>KOM-EH7195</v>
      </c>
      <c r="AB87" s="12">
        <f t="shared" si="13"/>
        <v>88.943436244439283</v>
      </c>
      <c r="AC87" s="11">
        <f t="shared" si="14"/>
        <v>1.7979267484220596</v>
      </c>
    </row>
    <row r="88" spans="5:29" x14ac:dyDescent="0.3">
      <c r="E88" s="1">
        <v>5</v>
      </c>
      <c r="G88" s="1" t="s">
        <v>118</v>
      </c>
      <c r="H88" s="1">
        <v>972.9</v>
      </c>
      <c r="I88" s="4"/>
      <c r="J88" s="5"/>
      <c r="K88" s="5"/>
      <c r="L88" s="5"/>
      <c r="M88" s="5"/>
      <c r="N88" s="5"/>
      <c r="O88" s="6"/>
      <c r="P88" s="7"/>
      <c r="Q88" s="5"/>
      <c r="R88" s="4"/>
      <c r="S88" s="5"/>
      <c r="T88" s="4"/>
      <c r="U88" s="5"/>
      <c r="V88" s="10"/>
      <c r="W88" s="4"/>
      <c r="X88" s="5"/>
      <c r="Z88" s="1">
        <f t="shared" si="12"/>
        <v>0</v>
      </c>
      <c r="AA88" t="str">
        <f t="shared" si="12"/>
        <v>KOM-707/99/84200</v>
      </c>
      <c r="AB88" s="12">
        <f t="shared" si="13"/>
        <v>1749.202933539822</v>
      </c>
      <c r="AC88" s="11">
        <f t="shared" si="14"/>
        <v>1.7979267484220598</v>
      </c>
    </row>
    <row r="89" spans="5:29" x14ac:dyDescent="0.3">
      <c r="E89" s="1">
        <v>5</v>
      </c>
      <c r="G89" s="1" t="s">
        <v>119</v>
      </c>
      <c r="H89" s="1">
        <v>500</v>
      </c>
      <c r="I89" s="4"/>
      <c r="J89" s="5"/>
      <c r="K89" s="5"/>
      <c r="L89" s="5"/>
      <c r="M89" s="5"/>
      <c r="N89" s="5"/>
      <c r="O89" s="6"/>
      <c r="P89" s="7"/>
      <c r="Q89" s="5"/>
      <c r="R89" s="4"/>
      <c r="S89" s="5"/>
      <c r="T89" s="4"/>
      <c r="U89" s="5"/>
      <c r="V89" s="10"/>
      <c r="W89" s="4"/>
      <c r="X89" s="5"/>
      <c r="Z89" s="1">
        <f t="shared" si="12"/>
        <v>0</v>
      </c>
      <c r="AA89" t="str">
        <f t="shared" si="12"/>
        <v>KOM-707/99/67640</v>
      </c>
      <c r="AB89" s="12">
        <f t="shared" si="13"/>
        <v>898.96337421102976</v>
      </c>
      <c r="AC89" s="11">
        <f t="shared" si="14"/>
        <v>1.7979267484220596</v>
      </c>
    </row>
    <row r="90" spans="5:29" x14ac:dyDescent="0.3">
      <c r="E90" s="1">
        <v>3</v>
      </c>
      <c r="G90" s="1" t="s">
        <v>85</v>
      </c>
      <c r="H90" s="1">
        <v>131.37</v>
      </c>
      <c r="I90" s="4"/>
      <c r="J90" s="5"/>
      <c r="K90" s="5"/>
      <c r="L90" s="5"/>
      <c r="M90" s="5"/>
      <c r="N90" s="5"/>
      <c r="O90" s="6"/>
      <c r="P90" s="7"/>
      <c r="Q90" s="5"/>
      <c r="R90" s="4"/>
      <c r="S90" s="5"/>
      <c r="T90" s="4"/>
      <c r="U90" s="5"/>
      <c r="V90" s="10"/>
      <c r="W90" s="4"/>
      <c r="X90" s="5"/>
      <c r="Z90" s="1">
        <f t="shared" si="12"/>
        <v>0</v>
      </c>
      <c r="AA90" t="str">
        <f t="shared" si="12"/>
        <v>KOM-TZ8637</v>
      </c>
      <c r="AB90" s="12">
        <f t="shared" si="13"/>
        <v>236.19363694020601</v>
      </c>
      <c r="AC90" s="11">
        <f t="shared" si="14"/>
        <v>1.7979267484220598</v>
      </c>
    </row>
    <row r="91" spans="5:29" x14ac:dyDescent="0.3">
      <c r="E91" s="1">
        <v>8</v>
      </c>
      <c r="G91" s="1" t="s">
        <v>80</v>
      </c>
      <c r="H91" s="1">
        <v>200</v>
      </c>
      <c r="I91" s="4"/>
      <c r="J91" s="5"/>
      <c r="K91" s="5"/>
      <c r="L91" s="5"/>
      <c r="M91" s="5"/>
      <c r="N91" s="5"/>
      <c r="O91" s="6"/>
      <c r="P91" s="7"/>
      <c r="Q91" s="5"/>
      <c r="R91" s="4"/>
      <c r="S91" s="5"/>
      <c r="T91" s="4"/>
      <c r="U91" s="5"/>
      <c r="V91" s="10"/>
      <c r="W91" s="4"/>
      <c r="X91" s="5"/>
      <c r="Z91" s="1">
        <f t="shared" si="12"/>
        <v>0</v>
      </c>
      <c r="AA91" t="str">
        <f t="shared" si="12"/>
        <v>KOM-SV5921</v>
      </c>
      <c r="AB91" s="12">
        <f t="shared" si="13"/>
        <v>359.58534968441194</v>
      </c>
      <c r="AC91" s="11">
        <f t="shared" si="14"/>
        <v>1.7979267484220598</v>
      </c>
    </row>
    <row r="92" spans="5:29" x14ac:dyDescent="0.3">
      <c r="E92" s="1">
        <v>3</v>
      </c>
      <c r="G92" s="1" t="s">
        <v>85</v>
      </c>
      <c r="H92" s="1">
        <v>131.37</v>
      </c>
      <c r="I92" s="4"/>
      <c r="J92" s="5"/>
      <c r="K92" s="5"/>
      <c r="L92" s="5"/>
      <c r="M92" s="5"/>
      <c r="N92" s="5"/>
      <c r="O92" s="6"/>
      <c r="P92" s="7"/>
      <c r="Q92" s="5"/>
      <c r="R92" s="4"/>
      <c r="S92" s="5"/>
      <c r="T92" s="4"/>
      <c r="U92" s="5"/>
      <c r="V92" s="10"/>
      <c r="W92" s="4"/>
      <c r="X92" s="5"/>
      <c r="Z92" s="1">
        <f t="shared" si="12"/>
        <v>0</v>
      </c>
      <c r="AA92" t="str">
        <f t="shared" si="12"/>
        <v>KOM-TZ8637</v>
      </c>
      <c r="AB92" s="12">
        <f t="shared" si="13"/>
        <v>236.19363694020601</v>
      </c>
      <c r="AC92" s="11">
        <f t="shared" si="14"/>
        <v>1.7979267484220598</v>
      </c>
    </row>
    <row r="93" spans="5:29" x14ac:dyDescent="0.3">
      <c r="E93" s="1">
        <v>2</v>
      </c>
      <c r="G93" s="1" t="s">
        <v>97</v>
      </c>
      <c r="H93" s="1">
        <v>301.2</v>
      </c>
      <c r="I93" s="4"/>
      <c r="J93" s="5"/>
      <c r="K93" s="5"/>
      <c r="L93" s="5"/>
      <c r="M93" s="5"/>
      <c r="N93" s="5"/>
      <c r="O93" s="6"/>
      <c r="P93" s="7"/>
      <c r="Q93" s="5"/>
      <c r="R93" s="4"/>
      <c r="S93" s="5"/>
      <c r="T93" s="4"/>
      <c r="U93" s="5"/>
      <c r="V93" s="10"/>
      <c r="W93" s="4"/>
      <c r="X93" s="5"/>
      <c r="Z93" s="1">
        <f t="shared" si="12"/>
        <v>0</v>
      </c>
      <c r="AA93" t="str">
        <f t="shared" si="12"/>
        <v>CAT-1722848</v>
      </c>
      <c r="AB93" s="12">
        <f t="shared" si="13"/>
        <v>541.53553662472439</v>
      </c>
      <c r="AC93" s="11">
        <f t="shared" si="14"/>
        <v>1.7979267484220598</v>
      </c>
    </row>
    <row r="94" spans="5:29" x14ac:dyDescent="0.3">
      <c r="W94" s="22"/>
      <c r="X94" s="22"/>
      <c r="AB94" s="12"/>
      <c r="AC94" s="11"/>
    </row>
    <row r="95" spans="5:29" x14ac:dyDescent="0.3">
      <c r="E95" s="1">
        <v>1</v>
      </c>
      <c r="F95" s="1" t="s">
        <v>120</v>
      </c>
      <c r="G95" s="19" t="s">
        <v>121</v>
      </c>
      <c r="H95" s="19">
        <f>685*1.06</f>
        <v>726.1</v>
      </c>
      <c r="I95" s="4">
        <v>2124658270</v>
      </c>
      <c r="J95" s="5">
        <v>21</v>
      </c>
      <c r="K95" s="5">
        <f>10*10*10</f>
        <v>1000</v>
      </c>
      <c r="L95" s="5">
        <v>452.16</v>
      </c>
      <c r="M95" s="6">
        <v>45729</v>
      </c>
      <c r="N95" s="6">
        <v>45736</v>
      </c>
      <c r="O95" s="6">
        <v>45734</v>
      </c>
      <c r="P95" s="7">
        <f>O95-M95</f>
        <v>5</v>
      </c>
      <c r="Q95" s="5"/>
      <c r="R95" s="4" t="s">
        <v>122</v>
      </c>
      <c r="S95" s="5">
        <v>149.12</v>
      </c>
      <c r="T95" s="4" t="s">
        <v>123</v>
      </c>
      <c r="U95" s="9">
        <v>919</v>
      </c>
      <c r="V95" s="9"/>
      <c r="W95" s="4" t="s">
        <v>124</v>
      </c>
      <c r="X95" s="5">
        <v>394.35</v>
      </c>
      <c r="Z95" s="1" t="str">
        <f t="shared" si="12"/>
        <v>Bushing</v>
      </c>
      <c r="AA95" t="str">
        <f t="shared" si="12"/>
        <v xml:space="preserve">07137-06010 </v>
      </c>
      <c r="AB95" s="12">
        <f>H95+($S$95+$U$95)*H95/SUM($H$95:$H$99)/3.74+$X$95*H95/SUM($H$95:$H$99)</f>
        <v>1242.0475748873691</v>
      </c>
      <c r="AC95" s="11">
        <f>AB95/H95</f>
        <v>1.7105737155865157</v>
      </c>
    </row>
    <row r="96" spans="5:29" x14ac:dyDescent="0.3">
      <c r="E96" s="1">
        <v>2</v>
      </c>
      <c r="F96" s="1" t="s">
        <v>125</v>
      </c>
      <c r="G96" s="1" t="s">
        <v>126</v>
      </c>
      <c r="H96" s="1">
        <f>29.88*1.06</f>
        <v>31.672800000000002</v>
      </c>
      <c r="I96" s="4"/>
      <c r="J96" s="5"/>
      <c r="K96" s="5"/>
      <c r="L96" s="5"/>
      <c r="M96" s="5"/>
      <c r="N96" s="5"/>
      <c r="O96" s="6"/>
      <c r="P96" s="7"/>
      <c r="Q96" s="5"/>
      <c r="R96" s="4"/>
      <c r="S96" s="5"/>
      <c r="T96" s="4"/>
      <c r="U96" s="5"/>
      <c r="V96" s="5"/>
      <c r="W96" s="4"/>
      <c r="X96" s="5"/>
      <c r="Z96" s="1" t="str">
        <f t="shared" si="12"/>
        <v>Ring</v>
      </c>
      <c r="AA96" t="str">
        <f t="shared" si="12"/>
        <v>WA0456</v>
      </c>
      <c r="AB96" s="12">
        <f>H96+($S$95+$U$95)*H96/SUM($H$95:$H$99)/3.74+$X$95*H96/SUM($H$95:$H$99)</f>
        <v>54.178659179028607</v>
      </c>
      <c r="AC96" s="11">
        <f>AB96/H96</f>
        <v>1.7105737155865159</v>
      </c>
    </row>
    <row r="97" spans="5:29" x14ac:dyDescent="0.3">
      <c r="E97" s="1">
        <v>6</v>
      </c>
      <c r="G97" s="1" t="s">
        <v>127</v>
      </c>
      <c r="H97" s="1">
        <f>65.76*1.06</f>
        <v>69.705600000000004</v>
      </c>
      <c r="I97" s="4"/>
      <c r="J97" s="5"/>
      <c r="K97" s="5"/>
      <c r="L97" s="5"/>
      <c r="M97" s="5"/>
      <c r="N97" s="5"/>
      <c r="O97" s="6"/>
      <c r="P97" s="7"/>
      <c r="Q97" s="5"/>
      <c r="R97" s="4"/>
      <c r="S97" s="5"/>
      <c r="T97" s="4"/>
      <c r="U97" s="5"/>
      <c r="V97" s="5"/>
      <c r="W97" s="4"/>
      <c r="X97" s="5"/>
      <c r="Z97" s="1">
        <f t="shared" si="12"/>
        <v>0</v>
      </c>
      <c r="AA97" t="str">
        <f t="shared" si="12"/>
        <v>ED3755</v>
      </c>
      <c r="AB97" s="12">
        <f>H97+($S$95+$U$95)*H97/SUM($H$95:$H$99)/3.74+$X$95*H97/SUM($H$95:$H$99)</f>
        <v>119.23656718918744</v>
      </c>
      <c r="AC97" s="11">
        <f>AB97/H97</f>
        <v>1.7105737155865157</v>
      </c>
    </row>
    <row r="98" spans="5:29" x14ac:dyDescent="0.3">
      <c r="E98" s="1">
        <v>3</v>
      </c>
      <c r="F98" s="1" t="s">
        <v>128</v>
      </c>
      <c r="G98" s="1" t="s">
        <v>129</v>
      </c>
      <c r="H98" s="1">
        <f>54.09*1.06</f>
        <v>57.335400000000007</v>
      </c>
      <c r="I98" s="4"/>
      <c r="J98" s="5"/>
      <c r="K98" s="5"/>
      <c r="L98" s="5"/>
      <c r="M98" s="5"/>
      <c r="N98" s="5"/>
      <c r="O98" s="6"/>
      <c r="P98" s="7"/>
      <c r="Q98" s="5"/>
      <c r="R98" s="4"/>
      <c r="S98" s="5"/>
      <c r="T98" s="4"/>
      <c r="U98" s="5"/>
      <c r="V98" s="5"/>
      <c r="W98" s="4"/>
      <c r="X98" s="5"/>
      <c r="Z98" s="1" t="str">
        <f t="shared" si="12"/>
        <v>Bolt</v>
      </c>
      <c r="AA98" t="str">
        <f t="shared" si="12"/>
        <v>01011-82710</v>
      </c>
      <c r="AB98" s="12">
        <f>H98+($S$95+$U$95)*H98/SUM($H$95:$H$99)/3.74+$X$95*H98/SUM($H$95:$H$99)</f>
        <v>98.076428212639129</v>
      </c>
      <c r="AC98" s="11">
        <f>AB98/H98</f>
        <v>1.7105737155865157</v>
      </c>
    </row>
    <row r="99" spans="5:29" x14ac:dyDescent="0.3">
      <c r="E99" s="1">
        <v>8</v>
      </c>
      <c r="F99" s="1" t="s">
        <v>130</v>
      </c>
      <c r="G99" s="1" t="s">
        <v>131</v>
      </c>
      <c r="H99" s="1">
        <f>68*1.06</f>
        <v>72.08</v>
      </c>
      <c r="I99" s="4"/>
      <c r="J99" s="5"/>
      <c r="K99" s="5"/>
      <c r="L99" s="5"/>
      <c r="M99" s="5"/>
      <c r="N99" s="5"/>
      <c r="O99" s="6"/>
      <c r="P99" s="7"/>
      <c r="Q99" s="5"/>
      <c r="R99" s="4"/>
      <c r="S99" s="5"/>
      <c r="T99" s="4"/>
      <c r="U99" s="5"/>
      <c r="V99" s="5"/>
      <c r="W99" s="4"/>
      <c r="X99" s="5"/>
      <c r="Z99" s="1" t="str">
        <f t="shared" si="12"/>
        <v>Arandela</v>
      </c>
      <c r="AA99" t="str">
        <f t="shared" si="12"/>
        <v>01643-32780</v>
      </c>
      <c r="AB99" s="12">
        <f>H99+($S$95+$U$95)*H99/SUM($H$95:$H$99)/3.74+$X$95*H99/SUM($H$95:$H$99)</f>
        <v>123.29815341947607</v>
      </c>
      <c r="AC99" s="11">
        <f>AB99/H99</f>
        <v>1.7105737155865159</v>
      </c>
    </row>
    <row r="100" spans="5:29" x14ac:dyDescent="0.3">
      <c r="W100" s="22"/>
      <c r="X100" s="22"/>
      <c r="AB100" s="12"/>
      <c r="AC100" s="11"/>
    </row>
    <row r="101" spans="5:29" x14ac:dyDescent="0.3">
      <c r="E101" s="2">
        <v>2</v>
      </c>
      <c r="F101" s="2" t="s">
        <v>132</v>
      </c>
      <c r="G101" s="2" t="s">
        <v>133</v>
      </c>
      <c r="H101" s="2">
        <v>29</v>
      </c>
      <c r="I101" s="4">
        <v>9629792664</v>
      </c>
      <c r="J101" s="5">
        <v>22</v>
      </c>
      <c r="K101" s="5">
        <f>10*10*5+14*14*11</f>
        <v>2656</v>
      </c>
      <c r="L101" s="5">
        <v>478.51</v>
      </c>
      <c r="M101" s="6">
        <v>45733</v>
      </c>
      <c r="N101" s="6">
        <v>45737</v>
      </c>
      <c r="O101" s="6">
        <v>45737</v>
      </c>
      <c r="P101" s="7">
        <f>O101-M101</f>
        <v>4</v>
      </c>
      <c r="Q101" s="5"/>
      <c r="R101" s="4" t="s">
        <v>134</v>
      </c>
      <c r="S101" s="5">
        <v>147.61000000000001</v>
      </c>
      <c r="T101" s="4" t="s">
        <v>135</v>
      </c>
      <c r="U101" s="5">
        <v>870</v>
      </c>
      <c r="V101" s="5"/>
      <c r="W101" s="4" t="s">
        <v>116</v>
      </c>
      <c r="X101" s="5">
        <v>427.86</v>
      </c>
      <c r="Z101" s="1" t="str">
        <f t="shared" si="12"/>
        <v>Bearing</v>
      </c>
      <c r="AA101" t="str">
        <f t="shared" si="12"/>
        <v>CAT-1353161</v>
      </c>
      <c r="AB101" s="12">
        <f t="shared" ref="AB101:AB109" si="15">H101+($S$101+$U$101)*H101/SUM($H$101:$H$109)/3.74+$X$101*H101/SUM($H$101:$H$109)</f>
        <v>51.140837949289811</v>
      </c>
      <c r="AC101" s="11">
        <f t="shared" ref="AC101:AC109" si="16">AB101/H101</f>
        <v>1.763477170665166</v>
      </c>
    </row>
    <row r="102" spans="5:29" x14ac:dyDescent="0.3">
      <c r="E102" s="2">
        <v>1</v>
      </c>
      <c r="F102" s="2" t="s">
        <v>136</v>
      </c>
      <c r="G102" s="2" t="s">
        <v>137</v>
      </c>
      <c r="H102" s="17">
        <v>6.8</v>
      </c>
      <c r="I102" s="4"/>
      <c r="J102" s="5"/>
      <c r="K102" s="5"/>
      <c r="L102" s="5"/>
      <c r="M102" s="5"/>
      <c r="N102" s="5"/>
      <c r="O102" s="6"/>
      <c r="P102" s="7"/>
      <c r="Q102" s="5"/>
      <c r="R102" s="4"/>
      <c r="S102" s="5"/>
      <c r="T102" s="4"/>
      <c r="U102" s="5"/>
      <c r="V102" s="5"/>
      <c r="W102" s="4"/>
      <c r="X102" s="5"/>
      <c r="Z102" s="1" t="str">
        <f t="shared" si="12"/>
        <v>BALL</v>
      </c>
      <c r="AA102" t="str">
        <f t="shared" si="12"/>
        <v>KOM-04260/01270</v>
      </c>
      <c r="AB102" s="12">
        <f t="shared" si="15"/>
        <v>11.991644760523128</v>
      </c>
      <c r="AC102" s="11">
        <f t="shared" si="16"/>
        <v>1.763477170665166</v>
      </c>
    </row>
    <row r="103" spans="5:29" x14ac:dyDescent="0.3">
      <c r="E103" s="2">
        <v>10</v>
      </c>
      <c r="F103" s="2" t="s">
        <v>136</v>
      </c>
      <c r="G103" s="2" t="s">
        <v>137</v>
      </c>
      <c r="H103" s="12">
        <v>68</v>
      </c>
      <c r="I103" s="4"/>
      <c r="J103" s="5"/>
      <c r="K103" s="5"/>
      <c r="L103" s="5"/>
      <c r="M103" s="5"/>
      <c r="N103" s="5"/>
      <c r="O103" s="6"/>
      <c r="P103" s="7"/>
      <c r="Q103" s="5"/>
      <c r="R103" s="4"/>
      <c r="S103" s="5"/>
      <c r="T103" s="4"/>
      <c r="U103" s="5"/>
      <c r="V103" s="5"/>
      <c r="W103" s="4"/>
      <c r="X103" s="5"/>
      <c r="Z103" s="1" t="str">
        <f t="shared" si="12"/>
        <v>BALL</v>
      </c>
      <c r="AA103" t="str">
        <f t="shared" si="12"/>
        <v>KOM-04260/01270</v>
      </c>
      <c r="AB103" s="12">
        <f t="shared" si="15"/>
        <v>119.9164476052313</v>
      </c>
      <c r="AC103" s="11">
        <f t="shared" si="16"/>
        <v>1.7634771706651662</v>
      </c>
    </row>
    <row r="104" spans="5:29" x14ac:dyDescent="0.3">
      <c r="E104" s="2">
        <v>1</v>
      </c>
      <c r="F104" s="2" t="s">
        <v>138</v>
      </c>
      <c r="G104" s="2" t="s">
        <v>55</v>
      </c>
      <c r="H104" s="2">
        <v>162.83000000000001</v>
      </c>
      <c r="I104" s="4"/>
      <c r="J104" s="5"/>
      <c r="K104" s="5"/>
      <c r="L104" s="5"/>
      <c r="M104" s="5"/>
      <c r="N104" s="5"/>
      <c r="O104" s="6"/>
      <c r="P104" s="7"/>
      <c r="Q104" s="5"/>
      <c r="R104" s="4"/>
      <c r="S104" s="5"/>
      <c r="T104" s="4"/>
      <c r="U104" s="5"/>
      <c r="V104" s="5"/>
      <c r="W104" s="4"/>
      <c r="X104" s="5"/>
      <c r="Z104" s="1" t="str">
        <f t="shared" si="12"/>
        <v>Kit de sello</v>
      </c>
      <c r="AA104" t="str">
        <f t="shared" si="12"/>
        <v>KOM-707/99/72390</v>
      </c>
      <c r="AB104" s="12">
        <f t="shared" si="15"/>
        <v>287.14698769940901</v>
      </c>
      <c r="AC104" s="11">
        <f t="shared" si="16"/>
        <v>1.763477170665166</v>
      </c>
    </row>
    <row r="105" spans="5:29" x14ac:dyDescent="0.3">
      <c r="E105" s="2">
        <v>2</v>
      </c>
      <c r="F105" s="2" t="s">
        <v>138</v>
      </c>
      <c r="G105" s="2" t="s">
        <v>74</v>
      </c>
      <c r="H105" s="2">
        <v>195.24</v>
      </c>
      <c r="I105" s="4"/>
      <c r="J105" s="5"/>
      <c r="K105" s="5"/>
      <c r="L105" s="5"/>
      <c r="M105" s="5"/>
      <c r="N105" s="5"/>
      <c r="O105" s="6"/>
      <c r="P105" s="7"/>
      <c r="Q105" s="5"/>
      <c r="R105" s="4"/>
      <c r="S105" s="5"/>
      <c r="T105" s="4"/>
      <c r="U105" s="5"/>
      <c r="V105" s="5"/>
      <c r="W105" s="4"/>
      <c r="X105" s="5"/>
      <c r="Z105" s="1" t="str">
        <f t="shared" si="12"/>
        <v>Kit de sello</v>
      </c>
      <c r="AA105" t="str">
        <f t="shared" si="12"/>
        <v>CAT-2456835</v>
      </c>
      <c r="AB105" s="12">
        <f t="shared" si="15"/>
        <v>344.30128280066702</v>
      </c>
      <c r="AC105" s="11">
        <f t="shared" si="16"/>
        <v>1.763477170665166</v>
      </c>
    </row>
    <row r="106" spans="5:29" x14ac:dyDescent="0.3">
      <c r="E106" s="2">
        <v>4</v>
      </c>
      <c r="F106" s="2" t="s">
        <v>132</v>
      </c>
      <c r="G106" s="2" t="s">
        <v>139</v>
      </c>
      <c r="H106" s="2">
        <v>71.319999999999993</v>
      </c>
      <c r="I106" s="4"/>
      <c r="J106" s="5"/>
      <c r="K106" s="5"/>
      <c r="L106" s="5"/>
      <c r="M106" s="5"/>
      <c r="N106" s="5"/>
      <c r="O106" s="6"/>
      <c r="P106" s="7"/>
      <c r="Q106" s="5"/>
      <c r="R106" s="4"/>
      <c r="S106" s="5"/>
      <c r="T106" s="4"/>
      <c r="U106" s="5"/>
      <c r="V106" s="5"/>
      <c r="W106" s="4"/>
      <c r="X106" s="5"/>
      <c r="Z106" s="1" t="str">
        <f t="shared" si="12"/>
        <v>Bearing</v>
      </c>
      <c r="AA106" t="str">
        <f t="shared" si="12"/>
        <v>CAT-1U2182</v>
      </c>
      <c r="AB106" s="12">
        <f t="shared" si="15"/>
        <v>125.77119181183963</v>
      </c>
      <c r="AC106" s="11">
        <f t="shared" si="16"/>
        <v>1.763477170665166</v>
      </c>
    </row>
    <row r="107" spans="5:29" x14ac:dyDescent="0.3">
      <c r="E107" s="2">
        <v>4</v>
      </c>
      <c r="F107" s="2" t="s">
        <v>140</v>
      </c>
      <c r="G107" s="2" t="s">
        <v>141</v>
      </c>
      <c r="H107" s="2">
        <v>18</v>
      </c>
      <c r="I107" s="4"/>
      <c r="J107" s="5"/>
      <c r="K107" s="5"/>
      <c r="L107" s="5"/>
      <c r="M107" s="5"/>
      <c r="N107" s="5"/>
      <c r="O107" s="6"/>
      <c r="P107" s="7"/>
      <c r="Q107" s="5"/>
      <c r="R107" s="4"/>
      <c r="S107" s="5"/>
      <c r="T107" s="4"/>
      <c r="U107" s="5"/>
      <c r="V107" s="5"/>
      <c r="W107" s="4"/>
      <c r="X107" s="5"/>
      <c r="Z107" s="1" t="str">
        <f t="shared" si="12"/>
        <v>Limpiador</v>
      </c>
      <c r="AA107" t="str">
        <f t="shared" si="12"/>
        <v>CAT-7K9211</v>
      </c>
      <c r="AB107" s="12">
        <f t="shared" si="15"/>
        <v>31.74258907197299</v>
      </c>
      <c r="AC107" s="11">
        <f t="shared" si="16"/>
        <v>1.7634771706651662</v>
      </c>
    </row>
    <row r="108" spans="5:29" x14ac:dyDescent="0.3">
      <c r="E108" s="2">
        <v>4</v>
      </c>
      <c r="F108" s="2" t="s">
        <v>142</v>
      </c>
      <c r="G108" s="2" t="s">
        <v>143</v>
      </c>
      <c r="H108" s="2">
        <v>115.6</v>
      </c>
      <c r="I108" s="4"/>
      <c r="J108" s="5"/>
      <c r="K108" s="5"/>
      <c r="L108" s="5"/>
      <c r="M108" s="5"/>
      <c r="N108" s="5"/>
      <c r="O108" s="6"/>
      <c r="P108" s="7"/>
      <c r="Q108" s="5"/>
      <c r="R108" s="4"/>
      <c r="S108" s="5"/>
      <c r="T108" s="4"/>
      <c r="U108" s="5"/>
      <c r="V108" s="5"/>
      <c r="W108" s="4"/>
      <c r="X108" s="5"/>
      <c r="Z108" s="1" t="str">
        <f t="shared" si="12"/>
        <v>Cojinete</v>
      </c>
      <c r="AA108" t="str">
        <f t="shared" si="12"/>
        <v>CAT-9J1175</v>
      </c>
      <c r="AB108" s="12">
        <f t="shared" si="15"/>
        <v>203.85796092889319</v>
      </c>
      <c r="AC108" s="11">
        <f t="shared" si="16"/>
        <v>1.7634771706651662</v>
      </c>
    </row>
    <row r="109" spans="5:29" x14ac:dyDescent="0.3">
      <c r="E109" s="2">
        <v>2</v>
      </c>
      <c r="F109" s="2" t="s">
        <v>138</v>
      </c>
      <c r="G109" s="2" t="s">
        <v>144</v>
      </c>
      <c r="H109" s="2">
        <v>250</v>
      </c>
      <c r="I109" s="4"/>
      <c r="J109" s="5"/>
      <c r="K109" s="5"/>
      <c r="L109" s="5"/>
      <c r="M109" s="5"/>
      <c r="N109" s="5"/>
      <c r="O109" s="6"/>
      <c r="P109" s="7"/>
      <c r="Q109" s="5"/>
      <c r="R109" s="4"/>
      <c r="S109" s="5"/>
      <c r="T109" s="4"/>
      <c r="U109" s="5"/>
      <c r="V109" s="5"/>
      <c r="W109" s="4"/>
      <c r="X109" s="5"/>
      <c r="Z109" s="1" t="str">
        <f t="shared" si="12"/>
        <v>Kit de sello</v>
      </c>
      <c r="AA109" t="str">
        <f t="shared" si="12"/>
        <v>CAT-2459840</v>
      </c>
      <c r="AB109" s="12">
        <f t="shared" si="15"/>
        <v>440.86929266629153</v>
      </c>
      <c r="AC109" s="11">
        <f t="shared" si="16"/>
        <v>1.7634771706651662</v>
      </c>
    </row>
    <row r="110" spans="5:29" x14ac:dyDescent="0.3">
      <c r="AB110" s="12"/>
      <c r="AC110" s="11"/>
    </row>
    <row r="111" spans="5:29" x14ac:dyDescent="0.3">
      <c r="E111" s="1">
        <v>1</v>
      </c>
      <c r="F111" s="1" t="s">
        <v>120</v>
      </c>
      <c r="G111" s="1" t="s">
        <v>145</v>
      </c>
      <c r="H111" s="1">
        <v>726.1</v>
      </c>
      <c r="I111" s="23">
        <v>7827262096</v>
      </c>
      <c r="J111" s="1">
        <v>15</v>
      </c>
      <c r="K111" s="1">
        <f>6*6*6</f>
        <v>216</v>
      </c>
      <c r="L111" s="1">
        <v>356.32</v>
      </c>
      <c r="M111" s="24">
        <v>45740</v>
      </c>
      <c r="N111" s="24">
        <v>45744</v>
      </c>
      <c r="O111" s="24">
        <v>45748</v>
      </c>
      <c r="P111" s="3">
        <f>O111-M111</f>
        <v>8</v>
      </c>
      <c r="R111" s="23" t="s">
        <v>146</v>
      </c>
      <c r="S111" s="1">
        <v>148.76</v>
      </c>
      <c r="T111" s="23" t="s">
        <v>147</v>
      </c>
      <c r="U111" s="1">
        <v>647</v>
      </c>
      <c r="V111" s="1"/>
      <c r="W111" s="23" t="s">
        <v>148</v>
      </c>
      <c r="X111" s="1">
        <v>372.28</v>
      </c>
      <c r="Z111" s="1" t="str">
        <f t="shared" si="12"/>
        <v>Bushing</v>
      </c>
      <c r="AA111" t="str">
        <f t="shared" si="12"/>
        <v>07137-06010</v>
      </c>
      <c r="AB111" s="12">
        <f>H111+($S$111+$U$111)*H111/SUM($H$111)/3.74+$X$111*H111/SUM($H$111)</f>
        <v>1311.1500534759357</v>
      </c>
      <c r="AC111" s="11">
        <f>AB111/H111</f>
        <v>1.8057430842527691</v>
      </c>
    </row>
    <row r="112" spans="5:29" x14ac:dyDescent="0.3">
      <c r="AB112" s="12"/>
      <c r="AC112" s="11"/>
    </row>
    <row r="113" spans="5:29" x14ac:dyDescent="0.3">
      <c r="E113" s="1">
        <v>2</v>
      </c>
      <c r="F113" s="1" t="s">
        <v>149</v>
      </c>
      <c r="G113" s="1" t="s">
        <v>150</v>
      </c>
      <c r="H113" s="1">
        <v>100.92</v>
      </c>
      <c r="I113" s="4">
        <v>8410791465</v>
      </c>
      <c r="J113" s="5">
        <f>14+18+38</f>
        <v>70</v>
      </c>
      <c r="K113" s="5">
        <f>43*43*3+12*12*12+14*14*8</f>
        <v>8843</v>
      </c>
      <c r="L113" s="9">
        <v>1125.0899999999999</v>
      </c>
      <c r="M113" s="6">
        <v>45748</v>
      </c>
      <c r="N113" s="6">
        <v>45755</v>
      </c>
      <c r="O113" s="6">
        <v>45757</v>
      </c>
      <c r="P113" s="7">
        <f>O113-M113</f>
        <v>9</v>
      </c>
      <c r="Q113" s="5"/>
      <c r="R113" s="4" t="s">
        <v>151</v>
      </c>
      <c r="S113" s="5">
        <v>891.88</v>
      </c>
      <c r="T113" s="4" t="s">
        <v>152</v>
      </c>
      <c r="U113" s="9">
        <v>2354.29</v>
      </c>
      <c r="V113" s="5"/>
      <c r="W113" s="4" t="s">
        <v>153</v>
      </c>
      <c r="X113" s="9">
        <v>1024.2</v>
      </c>
      <c r="Z113" s="1" t="str">
        <f t="shared" si="12"/>
        <v>PISTON</v>
      </c>
      <c r="AA113" t="str">
        <f t="shared" si="12"/>
        <v>KOM-707/44/16910</v>
      </c>
      <c r="AB113" s="12">
        <f t="shared" ref="AB113:AB125" si="17">H113+($S$113+$U$113)*H113/SUM($H$113:$H$125)/3.74+$X$113*H113/SUM($H$113:$H$125)</f>
        <v>169.73771661095751</v>
      </c>
      <c r="AC113" s="11">
        <f t="shared" ref="AC113:AC125" si="18">AB113/H113</f>
        <v>1.6819036525065152</v>
      </c>
    </row>
    <row r="114" spans="5:29" x14ac:dyDescent="0.3">
      <c r="E114" s="1">
        <v>1</v>
      </c>
      <c r="F114" s="1" t="s">
        <v>154</v>
      </c>
      <c r="G114" s="1" t="s">
        <v>155</v>
      </c>
      <c r="H114" s="1">
        <v>65.81</v>
      </c>
      <c r="I114" s="4"/>
      <c r="J114" s="5"/>
      <c r="K114" s="5"/>
      <c r="L114" s="5"/>
      <c r="M114" s="5"/>
      <c r="N114" s="5"/>
      <c r="O114" s="6"/>
      <c r="P114" s="7"/>
      <c r="Q114" s="5"/>
      <c r="R114" s="4"/>
      <c r="S114" s="5"/>
      <c r="T114" s="4"/>
      <c r="U114" s="5"/>
      <c r="V114" s="5"/>
      <c r="W114" s="4"/>
      <c r="X114" s="5"/>
      <c r="Z114" s="1" t="str">
        <f t="shared" si="12"/>
        <v>KIT</v>
      </c>
      <c r="AA114" t="str">
        <f t="shared" si="12"/>
        <v>CAT-4710317</v>
      </c>
      <c r="AB114" s="12">
        <f t="shared" si="17"/>
        <v>110.68607937145377</v>
      </c>
      <c r="AC114" s="11">
        <f t="shared" si="18"/>
        <v>1.6819036525065152</v>
      </c>
    </row>
    <row r="115" spans="5:29" x14ac:dyDescent="0.3">
      <c r="E115" s="1">
        <v>6</v>
      </c>
      <c r="F115" s="1" t="s">
        <v>156</v>
      </c>
      <c r="G115" s="1" t="s">
        <v>90</v>
      </c>
      <c r="H115" s="1">
        <v>127.2</v>
      </c>
      <c r="I115" s="4"/>
      <c r="J115" s="5"/>
      <c r="K115" s="5"/>
      <c r="L115" s="5"/>
      <c r="M115" s="5"/>
      <c r="N115" s="5"/>
      <c r="O115" s="6"/>
      <c r="P115" s="7"/>
      <c r="Q115" s="5"/>
      <c r="R115" s="4"/>
      <c r="S115" s="5"/>
      <c r="T115" s="4"/>
      <c r="U115" s="5"/>
      <c r="V115" s="5"/>
      <c r="W115" s="4"/>
      <c r="X115" s="5"/>
      <c r="Z115" s="1" t="str">
        <f t="shared" si="12"/>
        <v>SEAGER</v>
      </c>
      <c r="AA115" t="str">
        <f t="shared" si="12"/>
        <v>KOM-VN9350</v>
      </c>
      <c r="AB115" s="12">
        <f t="shared" si="17"/>
        <v>213.93814459882876</v>
      </c>
      <c r="AC115" s="11">
        <f t="shared" si="18"/>
        <v>1.6819036525065154</v>
      </c>
    </row>
    <row r="116" spans="5:29" x14ac:dyDescent="0.3">
      <c r="E116" s="1">
        <v>6</v>
      </c>
      <c r="F116" s="1" t="s">
        <v>156</v>
      </c>
      <c r="G116" s="1" t="s">
        <v>94</v>
      </c>
      <c r="H116" s="1">
        <v>180</v>
      </c>
      <c r="I116" s="4"/>
      <c r="J116" s="5"/>
      <c r="K116" s="5"/>
      <c r="L116" s="5"/>
      <c r="M116" s="5"/>
      <c r="N116" s="5"/>
      <c r="O116" s="6"/>
      <c r="P116" s="7"/>
      <c r="Q116" s="5"/>
      <c r="R116" s="4"/>
      <c r="S116" s="5"/>
      <c r="T116" s="4"/>
      <c r="U116" s="5"/>
      <c r="V116" s="5"/>
      <c r="W116" s="4"/>
      <c r="X116" s="5"/>
      <c r="Z116" s="1" t="str">
        <f t="shared" si="12"/>
        <v>SEAGER</v>
      </c>
      <c r="AA116" t="str">
        <f t="shared" si="12"/>
        <v>KOM-VN9353</v>
      </c>
      <c r="AB116" s="12">
        <f t="shared" si="17"/>
        <v>302.74265745117276</v>
      </c>
      <c r="AC116" s="11">
        <f t="shared" si="18"/>
        <v>1.6819036525065154</v>
      </c>
    </row>
    <row r="117" spans="5:29" x14ac:dyDescent="0.3">
      <c r="E117" s="1">
        <v>8</v>
      </c>
      <c r="F117" s="1" t="s">
        <v>157</v>
      </c>
      <c r="G117" s="1" t="s">
        <v>158</v>
      </c>
      <c r="H117" s="1">
        <v>136</v>
      </c>
      <c r="I117" s="4"/>
      <c r="J117" s="5"/>
      <c r="K117" s="5"/>
      <c r="L117" s="5"/>
      <c r="M117" s="5"/>
      <c r="N117" s="5"/>
      <c r="O117" s="6"/>
      <c r="P117" s="7"/>
      <c r="Q117" s="5"/>
      <c r="R117" s="4"/>
      <c r="S117" s="5"/>
      <c r="T117" s="4"/>
      <c r="U117" s="5"/>
      <c r="V117" s="5"/>
      <c r="W117" s="4"/>
      <c r="X117" s="5"/>
      <c r="Z117" s="1" t="str">
        <f t="shared" si="12"/>
        <v>PIN</v>
      </c>
      <c r="AA117" t="str">
        <f t="shared" si="12"/>
        <v>CAT-1661495</v>
      </c>
      <c r="AB117" s="12">
        <f t="shared" si="17"/>
        <v>228.73889674088608</v>
      </c>
      <c r="AC117" s="11">
        <f t="shared" si="18"/>
        <v>1.6819036525065152</v>
      </c>
    </row>
    <row r="118" spans="5:29" x14ac:dyDescent="0.3">
      <c r="E118" s="1">
        <v>2</v>
      </c>
      <c r="F118" s="1" t="s">
        <v>154</v>
      </c>
      <c r="G118" s="1" t="s">
        <v>159</v>
      </c>
      <c r="H118" s="1">
        <v>125</v>
      </c>
      <c r="I118" s="4"/>
      <c r="J118" s="5"/>
      <c r="K118" s="5"/>
      <c r="L118" s="5"/>
      <c r="M118" s="5"/>
      <c r="N118" s="5"/>
      <c r="O118" s="6"/>
      <c r="P118" s="7"/>
      <c r="Q118" s="5"/>
      <c r="R118" s="4"/>
      <c r="S118" s="5"/>
      <c r="T118" s="4"/>
      <c r="U118" s="5"/>
      <c r="V118" s="5"/>
      <c r="W118" s="4"/>
      <c r="X118" s="5"/>
      <c r="Z118" s="1" t="str">
        <f t="shared" si="12"/>
        <v>KIT</v>
      </c>
      <c r="AA118" t="str">
        <f t="shared" si="12"/>
        <v>CAT-2297188</v>
      </c>
      <c r="AB118" s="12">
        <f t="shared" si="17"/>
        <v>210.23795656331441</v>
      </c>
      <c r="AC118" s="11">
        <f t="shared" si="18"/>
        <v>1.6819036525065152</v>
      </c>
    </row>
    <row r="119" spans="5:29" x14ac:dyDescent="0.3">
      <c r="E119" s="1">
        <v>1</v>
      </c>
      <c r="F119" s="1" t="s">
        <v>154</v>
      </c>
      <c r="G119" s="1" t="s">
        <v>159</v>
      </c>
      <c r="H119" s="1">
        <v>62.5</v>
      </c>
      <c r="I119" s="4"/>
      <c r="J119" s="5"/>
      <c r="K119" s="5"/>
      <c r="L119" s="5"/>
      <c r="M119" s="5"/>
      <c r="N119" s="5"/>
      <c r="O119" s="6"/>
      <c r="P119" s="7"/>
      <c r="Q119" s="5"/>
      <c r="R119" s="4"/>
      <c r="S119" s="5"/>
      <c r="T119" s="4"/>
      <c r="U119" s="5"/>
      <c r="V119" s="5"/>
      <c r="W119" s="4"/>
      <c r="X119" s="5"/>
      <c r="Z119" s="1" t="str">
        <f t="shared" si="12"/>
        <v>KIT</v>
      </c>
      <c r="AA119" t="str">
        <f t="shared" si="12"/>
        <v>CAT-2297188</v>
      </c>
      <c r="AB119" s="12">
        <f t="shared" si="17"/>
        <v>105.11897828165721</v>
      </c>
      <c r="AC119" s="11">
        <f t="shared" si="18"/>
        <v>1.6819036525065152</v>
      </c>
    </row>
    <row r="120" spans="5:29" x14ac:dyDescent="0.3">
      <c r="E120" s="1">
        <v>1</v>
      </c>
      <c r="F120" s="1" t="s">
        <v>160</v>
      </c>
      <c r="G120" s="1" t="s">
        <v>161</v>
      </c>
      <c r="H120" s="1">
        <v>14.69</v>
      </c>
      <c r="I120" s="4"/>
      <c r="J120" s="5"/>
      <c r="K120" s="5"/>
      <c r="L120" s="5"/>
      <c r="M120" s="5"/>
      <c r="N120" s="5"/>
      <c r="O120" s="6"/>
      <c r="P120" s="7"/>
      <c r="Q120" s="5"/>
      <c r="R120" s="4"/>
      <c r="S120" s="5"/>
      <c r="T120" s="4"/>
      <c r="U120" s="5"/>
      <c r="V120" s="5"/>
      <c r="W120" s="4"/>
      <c r="X120" s="5"/>
      <c r="Z120" s="1" t="str">
        <f t="shared" si="12"/>
        <v>ROD BUSHING</v>
      </c>
      <c r="AA120" t="str">
        <f t="shared" si="12"/>
        <v>KOM-707/52/90560</v>
      </c>
      <c r="AB120" s="12">
        <f t="shared" si="17"/>
        <v>24.70716465532071</v>
      </c>
      <c r="AC120" s="11">
        <f t="shared" si="18"/>
        <v>1.6819036525065154</v>
      </c>
    </row>
    <row r="121" spans="5:29" x14ac:dyDescent="0.3">
      <c r="E121" s="1">
        <v>4</v>
      </c>
      <c r="F121" s="1" t="s">
        <v>162</v>
      </c>
      <c r="G121" s="1" t="s">
        <v>163</v>
      </c>
      <c r="H121" s="1">
        <v>192</v>
      </c>
      <c r="I121" s="4"/>
      <c r="J121" s="5"/>
      <c r="K121" s="5"/>
      <c r="L121" s="5"/>
      <c r="M121" s="5"/>
      <c r="N121" s="5"/>
      <c r="O121" s="6"/>
      <c r="P121" s="7"/>
      <c r="Q121" s="5"/>
      <c r="R121" s="4"/>
      <c r="S121" s="5"/>
      <c r="T121" s="4"/>
      <c r="U121" s="5"/>
      <c r="V121" s="5"/>
      <c r="W121" s="4"/>
      <c r="X121" s="5"/>
      <c r="Z121" s="1" t="str">
        <f t="shared" si="12"/>
        <v>BEARING</v>
      </c>
      <c r="AA121" t="str">
        <f t="shared" si="12"/>
        <v xml:space="preserve">CAT-6E0804 </v>
      </c>
      <c r="AB121" s="12">
        <f t="shared" si="17"/>
        <v>322.92550128125094</v>
      </c>
      <c r="AC121" s="11">
        <f t="shared" si="18"/>
        <v>1.6819036525065154</v>
      </c>
    </row>
    <row r="122" spans="5:29" x14ac:dyDescent="0.3">
      <c r="E122" s="1">
        <v>1</v>
      </c>
      <c r="F122" s="1" t="s">
        <v>164</v>
      </c>
      <c r="G122" s="1" t="s">
        <v>165</v>
      </c>
      <c r="H122" s="1">
        <v>900</v>
      </c>
      <c r="I122" s="4"/>
      <c r="J122" s="5"/>
      <c r="K122" s="5"/>
      <c r="L122" s="5"/>
      <c r="M122" s="5"/>
      <c r="N122" s="5"/>
      <c r="O122" s="6"/>
      <c r="P122" s="7"/>
      <c r="Q122" s="5"/>
      <c r="R122" s="4"/>
      <c r="S122" s="5"/>
      <c r="T122" s="4"/>
      <c r="U122" s="5"/>
      <c r="V122" s="5"/>
      <c r="W122" s="4"/>
      <c r="X122" s="5"/>
      <c r="Z122" s="1" t="str">
        <f t="shared" si="12"/>
        <v>BLADDER</v>
      </c>
      <c r="AA122" t="str">
        <f t="shared" si="12"/>
        <v>CAT-6271042</v>
      </c>
      <c r="AB122" s="12">
        <f t="shared" si="17"/>
        <v>1513.7132872558636</v>
      </c>
      <c r="AC122" s="11">
        <f t="shared" si="18"/>
        <v>1.6819036525065152</v>
      </c>
    </row>
    <row r="123" spans="5:29" x14ac:dyDescent="0.3">
      <c r="E123" s="1">
        <v>2</v>
      </c>
      <c r="F123" s="1" t="s">
        <v>166</v>
      </c>
      <c r="G123" s="1" t="s">
        <v>107</v>
      </c>
      <c r="H123" s="1">
        <v>190</v>
      </c>
      <c r="I123" s="4"/>
      <c r="J123" s="5"/>
      <c r="K123" s="5"/>
      <c r="L123" s="5"/>
      <c r="M123" s="5"/>
      <c r="N123" s="5"/>
      <c r="O123" s="6"/>
      <c r="P123" s="7"/>
      <c r="Q123" s="5"/>
      <c r="R123" s="4"/>
      <c r="S123" s="5"/>
      <c r="T123" s="4"/>
      <c r="U123" s="5"/>
      <c r="V123" s="5"/>
      <c r="W123" s="4"/>
      <c r="X123" s="5"/>
      <c r="Z123" s="1" t="str">
        <f t="shared" si="12"/>
        <v>TUERCA</v>
      </c>
      <c r="AA123" t="str">
        <f t="shared" si="12"/>
        <v>CAT-7J9250</v>
      </c>
      <c r="AB123" s="12">
        <f t="shared" si="17"/>
        <v>319.5616939762379</v>
      </c>
      <c r="AC123" s="11">
        <f t="shared" si="18"/>
        <v>1.6819036525065152</v>
      </c>
    </row>
    <row r="124" spans="5:29" x14ac:dyDescent="0.3">
      <c r="E124" s="1">
        <v>1</v>
      </c>
      <c r="F124" s="1" t="s">
        <v>166</v>
      </c>
      <c r="G124" s="1" t="s">
        <v>167</v>
      </c>
      <c r="H124" s="1">
        <v>120</v>
      </c>
      <c r="I124" s="4"/>
      <c r="J124" s="5"/>
      <c r="K124" s="5"/>
      <c r="L124" s="5"/>
      <c r="M124" s="5"/>
      <c r="N124" s="5"/>
      <c r="O124" s="6"/>
      <c r="P124" s="7"/>
      <c r="Q124" s="5"/>
      <c r="R124" s="4"/>
      <c r="S124" s="5"/>
      <c r="T124" s="4"/>
      <c r="U124" s="5"/>
      <c r="V124" s="5"/>
      <c r="W124" s="4"/>
      <c r="X124" s="5"/>
      <c r="Z124" s="1" t="str">
        <f t="shared" si="12"/>
        <v>TUERCA</v>
      </c>
      <c r="AA124" t="str">
        <f t="shared" si="12"/>
        <v>CAT-3J9449</v>
      </c>
      <c r="AB124" s="12">
        <f t="shared" si="17"/>
        <v>201.82843830078184</v>
      </c>
      <c r="AC124" s="11">
        <f t="shared" si="18"/>
        <v>1.6819036525065154</v>
      </c>
    </row>
    <row r="125" spans="5:29" x14ac:dyDescent="0.3">
      <c r="E125" s="1">
        <v>1</v>
      </c>
      <c r="F125" s="1" t="s">
        <v>168</v>
      </c>
      <c r="G125" s="1" t="s">
        <v>53</v>
      </c>
      <c r="H125" s="1">
        <v>560.70000000000005</v>
      </c>
      <c r="I125" s="4"/>
      <c r="J125" s="5"/>
      <c r="K125" s="5"/>
      <c r="L125" s="5"/>
      <c r="M125" s="5"/>
      <c r="N125" s="5"/>
      <c r="O125" s="6"/>
      <c r="P125" s="7"/>
      <c r="Q125" s="5"/>
      <c r="R125" s="4"/>
      <c r="S125" s="5"/>
      <c r="T125" s="4"/>
      <c r="U125" s="5"/>
      <c r="V125" s="5"/>
      <c r="W125" s="4"/>
      <c r="X125" s="5"/>
      <c r="Z125" s="1" t="str">
        <f t="shared" si="12"/>
        <v>SELLO DE ACEITE</v>
      </c>
      <c r="AA125" t="str">
        <f t="shared" si="12"/>
        <v>KOM-PC1431</v>
      </c>
      <c r="AB125" s="12">
        <f t="shared" si="17"/>
        <v>943.04337796040318</v>
      </c>
      <c r="AC125" s="11">
        <f t="shared" si="18"/>
        <v>1.6819036525065152</v>
      </c>
    </row>
    <row r="126" spans="5:29" x14ac:dyDescent="0.3">
      <c r="W126" s="2"/>
      <c r="X126" s="2"/>
      <c r="AB126" s="12"/>
    </row>
    <row r="127" spans="5:29" x14ac:dyDescent="0.3">
      <c r="E127" s="1">
        <v>3</v>
      </c>
      <c r="F127" s="1" t="s">
        <v>169</v>
      </c>
      <c r="G127" s="1" t="s">
        <v>170</v>
      </c>
      <c r="H127" s="1">
        <v>74.400000000000006</v>
      </c>
      <c r="I127" s="4">
        <v>1179221315</v>
      </c>
      <c r="J127" s="5">
        <v>21</v>
      </c>
      <c r="K127" s="5">
        <f>17*17*10</f>
        <v>2890</v>
      </c>
      <c r="L127" s="5">
        <v>447.7</v>
      </c>
      <c r="M127" s="6">
        <v>45756</v>
      </c>
      <c r="N127" s="6">
        <v>45762</v>
      </c>
      <c r="O127" s="6">
        <v>45761</v>
      </c>
      <c r="P127" s="7">
        <f>O127-M127</f>
        <v>5</v>
      </c>
      <c r="Q127" s="10"/>
      <c r="R127" s="4" t="s">
        <v>171</v>
      </c>
      <c r="S127" s="5">
        <v>152.02000000000001</v>
      </c>
      <c r="T127" s="4" t="s">
        <v>172</v>
      </c>
      <c r="U127" s="9">
        <v>1001</v>
      </c>
      <c r="V127" s="10"/>
      <c r="W127" s="4" t="s">
        <v>153</v>
      </c>
      <c r="X127" s="5">
        <v>401.51</v>
      </c>
      <c r="Z127" s="1" t="str">
        <f>F127</f>
        <v>SHIM</v>
      </c>
      <c r="AA127" t="str">
        <f t="shared" ref="AA127:AA190" si="19">G127</f>
        <v>KOM-EL2876</v>
      </c>
      <c r="AB127" s="12">
        <f t="shared" ref="AB127:AB134" si="20">H127+($S$127+$U$127)*H127/SUM($H$127:$H$134)/3.74+$X$127*H127/SUM($H$127:$H$134)</f>
        <v>125.05992570526671</v>
      </c>
      <c r="AC127" s="11">
        <f t="shared" ref="AC127:AC134" si="21">AB127/H127</f>
        <v>1.6809129799094986</v>
      </c>
    </row>
    <row r="128" spans="5:29" x14ac:dyDescent="0.3">
      <c r="E128" s="1">
        <v>4</v>
      </c>
      <c r="F128" s="1" t="s">
        <v>169</v>
      </c>
      <c r="G128" s="1" t="s">
        <v>173</v>
      </c>
      <c r="H128" s="1">
        <v>95.76</v>
      </c>
      <c r="I128" s="4"/>
      <c r="J128" s="5"/>
      <c r="K128" s="5"/>
      <c r="L128" s="5"/>
      <c r="M128" s="5"/>
      <c r="N128" s="5"/>
      <c r="O128" s="6"/>
      <c r="P128" s="7"/>
      <c r="Q128" s="10"/>
      <c r="R128" s="4"/>
      <c r="S128" s="5"/>
      <c r="T128" s="4"/>
      <c r="U128" s="5"/>
      <c r="V128" s="10"/>
      <c r="W128" s="4"/>
      <c r="X128" s="5"/>
      <c r="Z128" s="1" t="str">
        <f t="shared" ref="Z128:Z134" si="22">F128</f>
        <v>SHIM</v>
      </c>
      <c r="AA128" t="str">
        <f t="shared" si="19"/>
        <v>KOM-EL2877</v>
      </c>
      <c r="AB128" s="12">
        <f t="shared" si="20"/>
        <v>160.96422695613361</v>
      </c>
      <c r="AC128" s="11">
        <f t="shared" si="21"/>
        <v>1.6809129799094988</v>
      </c>
    </row>
    <row r="129" spans="5:29" x14ac:dyDescent="0.3">
      <c r="E129" s="1">
        <v>6</v>
      </c>
      <c r="F129" s="1" t="s">
        <v>169</v>
      </c>
      <c r="G129" s="1" t="s">
        <v>174</v>
      </c>
      <c r="H129" s="1">
        <v>325.08</v>
      </c>
      <c r="I129" s="4"/>
      <c r="J129" s="5"/>
      <c r="K129" s="5"/>
      <c r="L129" s="5"/>
      <c r="M129" s="5"/>
      <c r="N129" s="5"/>
      <c r="O129" s="6"/>
      <c r="P129" s="7"/>
      <c r="Q129" s="10"/>
      <c r="R129" s="4"/>
      <c r="S129" s="5"/>
      <c r="T129" s="4"/>
      <c r="U129" s="5"/>
      <c r="V129" s="10"/>
      <c r="W129" s="4"/>
      <c r="X129" s="5"/>
      <c r="Z129" s="1" t="str">
        <f t="shared" si="22"/>
        <v>SHIM</v>
      </c>
      <c r="AA129" t="str">
        <f t="shared" si="19"/>
        <v xml:space="preserve">KOM-EL2878 </v>
      </c>
      <c r="AB129" s="12">
        <f t="shared" si="20"/>
        <v>546.43119150897985</v>
      </c>
      <c r="AC129" s="11">
        <f t="shared" si="21"/>
        <v>1.6809129799094988</v>
      </c>
    </row>
    <row r="130" spans="5:29" x14ac:dyDescent="0.3">
      <c r="E130" s="1">
        <v>1</v>
      </c>
      <c r="F130" s="1" t="s">
        <v>175</v>
      </c>
      <c r="G130" s="1" t="s">
        <v>176</v>
      </c>
      <c r="H130" s="1">
        <v>64.260000000000005</v>
      </c>
      <c r="I130" s="4"/>
      <c r="J130" s="5"/>
      <c r="K130" s="5"/>
      <c r="L130" s="5"/>
      <c r="M130" s="5"/>
      <c r="N130" s="5"/>
      <c r="O130" s="6"/>
      <c r="P130" s="7"/>
      <c r="Q130" s="10"/>
      <c r="R130" s="4"/>
      <c r="S130" s="5"/>
      <c r="T130" s="4"/>
      <c r="U130" s="5"/>
      <c r="V130" s="10"/>
      <c r="W130" s="4"/>
      <c r="X130" s="5"/>
      <c r="Z130" s="1" t="str">
        <f t="shared" si="22"/>
        <v>PLUG</v>
      </c>
      <c r="AA130" t="str">
        <f t="shared" si="19"/>
        <v>KOM-WB1199</v>
      </c>
      <c r="AB130" s="12">
        <f t="shared" si="20"/>
        <v>108.01546808898439</v>
      </c>
      <c r="AC130" s="11">
        <f t="shared" si="21"/>
        <v>1.6809129799094986</v>
      </c>
    </row>
    <row r="131" spans="5:29" x14ac:dyDescent="0.3">
      <c r="E131" s="1">
        <v>12</v>
      </c>
      <c r="F131" s="1" t="s">
        <v>177</v>
      </c>
      <c r="G131" s="1" t="s">
        <v>178</v>
      </c>
      <c r="H131" s="1">
        <v>360</v>
      </c>
      <c r="I131" s="4"/>
      <c r="J131" s="5"/>
      <c r="K131" s="5"/>
      <c r="L131" s="5"/>
      <c r="M131" s="5"/>
      <c r="N131" s="5"/>
      <c r="O131" s="6"/>
      <c r="P131" s="7"/>
      <c r="Q131" s="10"/>
      <c r="R131" s="4"/>
      <c r="S131" s="5"/>
      <c r="T131" s="4"/>
      <c r="U131" s="5"/>
      <c r="V131" s="10"/>
      <c r="W131" s="4"/>
      <c r="X131" s="5"/>
      <c r="Z131" s="1" t="str">
        <f t="shared" si="22"/>
        <v>SPRING</v>
      </c>
      <c r="AA131" t="str">
        <f t="shared" si="19"/>
        <v xml:space="preserve">KOM-PB8864 </v>
      </c>
      <c r="AB131" s="12">
        <f t="shared" si="20"/>
        <v>605.12867276741963</v>
      </c>
      <c r="AC131" s="11">
        <f t="shared" si="21"/>
        <v>1.6809129799094991</v>
      </c>
    </row>
    <row r="132" spans="5:29" x14ac:dyDescent="0.3">
      <c r="E132" s="1">
        <v>1</v>
      </c>
      <c r="F132" s="1" t="s">
        <v>179</v>
      </c>
      <c r="G132" s="1" t="s">
        <v>180</v>
      </c>
      <c r="H132" s="1">
        <v>20.58</v>
      </c>
      <c r="I132" s="4"/>
      <c r="J132" s="5"/>
      <c r="K132" s="5"/>
      <c r="L132" s="5"/>
      <c r="M132" s="5"/>
      <c r="N132" s="5"/>
      <c r="O132" s="6"/>
      <c r="P132" s="7"/>
      <c r="Q132" s="10"/>
      <c r="R132" s="4"/>
      <c r="S132" s="5"/>
      <c r="T132" s="4"/>
      <c r="U132" s="5"/>
      <c r="V132" s="10"/>
      <c r="W132" s="4"/>
      <c r="X132" s="5"/>
      <c r="Z132" s="1" t="str">
        <f t="shared" si="22"/>
        <v>BUSHING</v>
      </c>
      <c r="AA132" t="str">
        <f t="shared" si="19"/>
        <v>KOM-TY1503</v>
      </c>
      <c r="AB132" s="12">
        <f t="shared" si="20"/>
        <v>34.593189126537482</v>
      </c>
      <c r="AC132" s="11">
        <f t="shared" si="21"/>
        <v>1.6809129799094988</v>
      </c>
    </row>
    <row r="133" spans="5:29" x14ac:dyDescent="0.3">
      <c r="E133" s="1">
        <v>1</v>
      </c>
      <c r="F133" s="1" t="s">
        <v>181</v>
      </c>
      <c r="G133" s="1" t="s">
        <v>182</v>
      </c>
      <c r="H133" s="1">
        <v>87.15</v>
      </c>
      <c r="I133" s="4"/>
      <c r="J133" s="5"/>
      <c r="K133" s="5"/>
      <c r="L133" s="5"/>
      <c r="M133" s="5"/>
      <c r="N133" s="5"/>
      <c r="O133" s="6"/>
      <c r="P133" s="7"/>
      <c r="Q133" s="10"/>
      <c r="R133" s="4"/>
      <c r="S133" s="5"/>
      <c r="T133" s="4"/>
      <c r="U133" s="5"/>
      <c r="V133" s="10"/>
      <c r="W133" s="4"/>
      <c r="X133" s="5"/>
      <c r="Z133" s="1" t="str">
        <f t="shared" si="22"/>
        <v>BUMPER RING</v>
      </c>
      <c r="AA133" t="str">
        <f t="shared" si="19"/>
        <v>KOM-EK7088</v>
      </c>
      <c r="AB133" s="12">
        <f t="shared" si="20"/>
        <v>146.49156619911281</v>
      </c>
      <c r="AC133" s="11">
        <f t="shared" si="21"/>
        <v>1.6809129799094986</v>
      </c>
    </row>
    <row r="134" spans="5:29" x14ac:dyDescent="0.3">
      <c r="E134" s="1">
        <v>8</v>
      </c>
      <c r="F134" s="1" t="s">
        <v>136</v>
      </c>
      <c r="G134" s="1" t="s">
        <v>33</v>
      </c>
      <c r="H134" s="1">
        <v>15.2</v>
      </c>
      <c r="I134" s="4"/>
      <c r="J134" s="5"/>
      <c r="K134" s="5"/>
      <c r="L134" s="5"/>
      <c r="M134" s="5"/>
      <c r="N134" s="5"/>
      <c r="O134" s="6"/>
      <c r="P134" s="7"/>
      <c r="Q134" s="10"/>
      <c r="R134" s="4"/>
      <c r="S134" s="5"/>
      <c r="T134" s="4"/>
      <c r="U134" s="5"/>
      <c r="V134" s="10"/>
      <c r="W134" s="4"/>
      <c r="X134" s="5"/>
      <c r="Z134" s="1" t="str">
        <f t="shared" si="22"/>
        <v>BALL</v>
      </c>
      <c r="AA134" t="str">
        <f t="shared" si="19"/>
        <v>KOM-H2981</v>
      </c>
      <c r="AB134" s="12">
        <f t="shared" si="20"/>
        <v>25.549877294624377</v>
      </c>
      <c r="AC134" s="11">
        <f t="shared" si="21"/>
        <v>1.6809129799094986</v>
      </c>
    </row>
    <row r="135" spans="5:29" x14ac:dyDescent="0.3">
      <c r="AB135" s="12"/>
    </row>
    <row r="136" spans="5:29" x14ac:dyDescent="0.3">
      <c r="E136" s="1">
        <v>1</v>
      </c>
      <c r="F136" s="1" t="s">
        <v>120</v>
      </c>
      <c r="G136" s="2" t="s">
        <v>39</v>
      </c>
      <c r="H136" s="2">
        <f>180*1.06</f>
        <v>190.8</v>
      </c>
      <c r="I136" s="4">
        <v>2763907230</v>
      </c>
      <c r="J136" s="5">
        <v>10</v>
      </c>
      <c r="K136" s="5">
        <f>7*8*9</f>
        <v>504</v>
      </c>
      <c r="L136" s="5">
        <v>293.91000000000003</v>
      </c>
      <c r="M136" s="6">
        <v>45769</v>
      </c>
      <c r="N136" s="6">
        <v>45776</v>
      </c>
      <c r="O136" s="6">
        <v>45775</v>
      </c>
      <c r="P136" s="7">
        <f>O136-M136</f>
        <v>6</v>
      </c>
      <c r="Q136" s="5"/>
      <c r="R136" s="4" t="s">
        <v>183</v>
      </c>
      <c r="S136" s="5">
        <v>149.93</v>
      </c>
      <c r="T136" s="4" t="s">
        <v>184</v>
      </c>
      <c r="U136" s="5">
        <v>394</v>
      </c>
      <c r="V136" s="5"/>
      <c r="W136" s="4" t="s">
        <v>185</v>
      </c>
      <c r="X136" s="5">
        <v>233.1</v>
      </c>
      <c r="Z136" s="1" t="str">
        <f>F136</f>
        <v>Bushing</v>
      </c>
      <c r="AA136" t="str">
        <f t="shared" si="19"/>
        <v>707-76-10130</v>
      </c>
      <c r="AB136" s="12">
        <f>H136+($S$136+$U$136)*H136/SUM($H$136:$H$137)/3.74+$X$136*H136/SUM($H$136:$H$137)</f>
        <v>373.9624978437123</v>
      </c>
      <c r="AC136" s="11">
        <f>AB136/H136</f>
        <v>1.9599711627028946</v>
      </c>
    </row>
    <row r="137" spans="5:29" x14ac:dyDescent="0.3">
      <c r="E137" s="1">
        <v>1</v>
      </c>
      <c r="F137" s="1" t="s">
        <v>120</v>
      </c>
      <c r="G137" s="2" t="s">
        <v>64</v>
      </c>
      <c r="H137" s="2">
        <f>192*1.06</f>
        <v>203.52</v>
      </c>
      <c r="I137" s="4"/>
      <c r="J137" s="5"/>
      <c r="K137" s="5"/>
      <c r="L137" s="5"/>
      <c r="M137" s="5"/>
      <c r="N137" s="5"/>
      <c r="O137" s="6"/>
      <c r="P137" s="7"/>
      <c r="Q137" s="5"/>
      <c r="R137" s="4"/>
      <c r="S137" s="5"/>
      <c r="T137" s="4"/>
      <c r="U137" s="5"/>
      <c r="V137" s="5"/>
      <c r="W137" s="4"/>
      <c r="X137" s="5"/>
      <c r="Z137" s="1" t="str">
        <f>F137</f>
        <v>Bushing</v>
      </c>
      <c r="AA137" t="str">
        <f>G137</f>
        <v>707-76-10140</v>
      </c>
      <c r="AB137" s="12">
        <f>H137+($S$136+$U$136)*H137/SUM($H$136:$H$137)/3.74+$X$136*H137/SUM($H$136:$H$137)</f>
        <v>398.89333103329312</v>
      </c>
      <c r="AC137" s="11">
        <f>AB137/H137</f>
        <v>1.9599711627028946</v>
      </c>
    </row>
    <row r="138" spans="5:29" x14ac:dyDescent="0.3">
      <c r="AB138" s="12"/>
    </row>
    <row r="139" spans="5:29" x14ac:dyDescent="0.3">
      <c r="E139" s="1">
        <v>1</v>
      </c>
      <c r="F139" s="1" t="s">
        <v>154</v>
      </c>
      <c r="G139" s="1" t="s">
        <v>186</v>
      </c>
      <c r="H139" s="16">
        <f>70+5</f>
        <v>75</v>
      </c>
      <c r="I139" s="4">
        <v>6169542411</v>
      </c>
      <c r="J139" s="5">
        <v>9.9207999999999998</v>
      </c>
      <c r="K139" s="14">
        <f>16.5354*12.5984*9.05512</f>
        <v>1886.3588256748033</v>
      </c>
      <c r="L139" s="5">
        <v>462.03</v>
      </c>
      <c r="M139" s="6">
        <v>45771</v>
      </c>
      <c r="N139" s="6">
        <v>45779</v>
      </c>
      <c r="O139" s="6">
        <v>45776</v>
      </c>
      <c r="P139" s="7">
        <f>O139-M139</f>
        <v>5</v>
      </c>
      <c r="Q139" s="10"/>
      <c r="R139" s="4" t="s">
        <v>187</v>
      </c>
      <c r="S139" s="5">
        <v>149.49</v>
      </c>
      <c r="T139" s="4" t="s">
        <v>188</v>
      </c>
      <c r="U139" s="5">
        <v>334</v>
      </c>
      <c r="V139" s="10"/>
      <c r="W139" s="4" t="s">
        <v>185</v>
      </c>
      <c r="X139" s="5">
        <v>344.7</v>
      </c>
      <c r="Z139" s="1" t="str">
        <f>F139</f>
        <v>KIT</v>
      </c>
      <c r="AA139" t="str">
        <f>G139</f>
        <v>707-99-84200</v>
      </c>
      <c r="AB139" s="12">
        <f t="shared" ref="AB139:AB144" si="23">H139+($S$139+$U$139)*H139/SUM($H$139:$H$144)/3.74+$X$139*H139/SUM($H$139:$H$144)</f>
        <v>194.16914207245694</v>
      </c>
      <c r="AC139" s="11">
        <f t="shared" ref="AC139:AC144" si="24">AB139/H139</f>
        <v>2.5889218942994257</v>
      </c>
    </row>
    <row r="140" spans="5:29" x14ac:dyDescent="0.3">
      <c r="E140" s="1">
        <v>1</v>
      </c>
      <c r="F140" s="1" t="s">
        <v>154</v>
      </c>
      <c r="G140" s="1" t="s">
        <v>189</v>
      </c>
      <c r="H140" s="16">
        <f>35+5</f>
        <v>40</v>
      </c>
      <c r="I140" s="4"/>
      <c r="J140" s="5"/>
      <c r="K140" s="14"/>
      <c r="L140" s="5"/>
      <c r="M140" s="6"/>
      <c r="N140" s="6"/>
      <c r="O140" s="6"/>
      <c r="P140" s="7"/>
      <c r="Q140" s="10"/>
      <c r="R140" s="4"/>
      <c r="S140" s="5"/>
      <c r="T140" s="4"/>
      <c r="U140" s="5"/>
      <c r="V140" s="10"/>
      <c r="W140" s="4"/>
      <c r="X140" s="5"/>
      <c r="Z140" s="1" t="str">
        <f>F140</f>
        <v>KIT</v>
      </c>
      <c r="AA140" t="str">
        <f t="shared" ref="AA140:AA160" si="25">G140</f>
        <v>707-99-67640</v>
      </c>
      <c r="AB140" s="12">
        <f t="shared" si="23"/>
        <v>103.55687577197702</v>
      </c>
      <c r="AC140" s="11">
        <f t="shared" si="24"/>
        <v>2.5889218942994257</v>
      </c>
    </row>
    <row r="141" spans="5:29" x14ac:dyDescent="0.3">
      <c r="E141" s="1">
        <v>1</v>
      </c>
      <c r="F141" s="1" t="s">
        <v>154</v>
      </c>
      <c r="G141" s="1" t="s">
        <v>190</v>
      </c>
      <c r="H141" s="16">
        <f>63+5</f>
        <v>68</v>
      </c>
      <c r="I141" s="4"/>
      <c r="J141" s="5"/>
      <c r="K141" s="14"/>
      <c r="L141" s="5"/>
      <c r="M141" s="6"/>
      <c r="N141" s="6"/>
      <c r="O141" s="6"/>
      <c r="P141" s="7"/>
      <c r="Q141" s="10"/>
      <c r="R141" s="4"/>
      <c r="S141" s="5"/>
      <c r="T141" s="4"/>
      <c r="U141" s="5"/>
      <c r="V141" s="10"/>
      <c r="W141" s="4"/>
      <c r="X141" s="5"/>
      <c r="Z141" s="1" t="str">
        <f>F141</f>
        <v>KIT</v>
      </c>
      <c r="AA141" t="str">
        <f t="shared" si="25"/>
        <v>707-99-77620</v>
      </c>
      <c r="AB141" s="12">
        <f t="shared" si="23"/>
        <v>176.04668881236094</v>
      </c>
      <c r="AC141" s="11">
        <f t="shared" si="24"/>
        <v>2.5889218942994257</v>
      </c>
    </row>
    <row r="142" spans="5:29" x14ac:dyDescent="0.3">
      <c r="E142" s="1">
        <v>1</v>
      </c>
      <c r="F142" s="1" t="s">
        <v>179</v>
      </c>
      <c r="G142" s="1" t="s">
        <v>191</v>
      </c>
      <c r="H142" s="16">
        <f>2.3+5</f>
        <v>7.3</v>
      </c>
      <c r="I142" s="4"/>
      <c r="J142" s="5"/>
      <c r="K142" s="14"/>
      <c r="L142" s="5"/>
      <c r="M142" s="6"/>
      <c r="N142" s="6"/>
      <c r="O142" s="6"/>
      <c r="P142" s="7"/>
      <c r="Q142" s="10"/>
      <c r="R142" s="4"/>
      <c r="S142" s="5"/>
      <c r="T142" s="4"/>
      <c r="U142" s="5"/>
      <c r="V142" s="10"/>
      <c r="W142" s="4"/>
      <c r="X142" s="5"/>
      <c r="Z142" s="1" t="str">
        <f>F142</f>
        <v>BUSHING</v>
      </c>
      <c r="AA142" t="str">
        <f t="shared" si="25"/>
        <v>707-52-90560</v>
      </c>
      <c r="AB142" s="12">
        <f t="shared" si="23"/>
        <v>18.899129828385806</v>
      </c>
      <c r="AC142" s="11">
        <f t="shared" si="24"/>
        <v>2.5889218942994257</v>
      </c>
    </row>
    <row r="143" spans="5:29" x14ac:dyDescent="0.3">
      <c r="E143" s="1">
        <v>1</v>
      </c>
      <c r="F143" s="1" t="s">
        <v>154</v>
      </c>
      <c r="G143" s="1" t="s">
        <v>189</v>
      </c>
      <c r="H143" s="16">
        <f>32+5</f>
        <v>37</v>
      </c>
      <c r="I143" s="4"/>
      <c r="J143" s="5"/>
      <c r="K143" s="14"/>
      <c r="L143" s="5"/>
      <c r="M143" s="6"/>
      <c r="N143" s="6"/>
      <c r="O143" s="6"/>
      <c r="P143" s="7"/>
      <c r="Q143" s="10"/>
      <c r="R143" s="4"/>
      <c r="S143" s="5"/>
      <c r="T143" s="4"/>
      <c r="U143" s="5"/>
      <c r="V143" s="10"/>
      <c r="W143" s="4"/>
      <c r="X143" s="5"/>
      <c r="Z143" s="1" t="str">
        <f>F143</f>
        <v>KIT</v>
      </c>
      <c r="AA143" t="str">
        <f t="shared" si="25"/>
        <v>707-99-67640</v>
      </c>
      <c r="AB143" s="12">
        <f t="shared" si="23"/>
        <v>95.790110089078752</v>
      </c>
      <c r="AC143" s="11">
        <f t="shared" si="24"/>
        <v>2.5889218942994257</v>
      </c>
    </row>
    <row r="144" spans="5:29" x14ac:dyDescent="0.3">
      <c r="E144" s="1">
        <v>2</v>
      </c>
      <c r="F144" s="1" t="s">
        <v>154</v>
      </c>
      <c r="G144" s="1" t="s">
        <v>192</v>
      </c>
      <c r="H144" s="16">
        <f>66+5</f>
        <v>71</v>
      </c>
      <c r="I144" s="4"/>
      <c r="J144" s="5"/>
      <c r="K144" s="14"/>
      <c r="L144" s="5"/>
      <c r="M144" s="6"/>
      <c r="N144" s="6"/>
      <c r="O144" s="6"/>
      <c r="P144" s="7"/>
      <c r="Q144" s="10"/>
      <c r="R144" s="4"/>
      <c r="S144" s="5"/>
      <c r="T144" s="4"/>
      <c r="U144" s="5"/>
      <c r="V144" s="10"/>
      <c r="W144" s="4"/>
      <c r="X144" s="5"/>
      <c r="Z144" s="1" t="str">
        <f>F144</f>
        <v>KIT</v>
      </c>
      <c r="AA144" t="str">
        <f t="shared" si="25"/>
        <v>707-99-67430</v>
      </c>
      <c r="AB144" s="12">
        <f t="shared" si="23"/>
        <v>183.81345449525924</v>
      </c>
      <c r="AC144" s="11">
        <f t="shared" si="24"/>
        <v>2.5889218942994257</v>
      </c>
    </row>
    <row r="145" spans="4:29" x14ac:dyDescent="0.3">
      <c r="AB145" s="12"/>
    </row>
    <row r="146" spans="4:29" x14ac:dyDescent="0.3">
      <c r="E146" s="1">
        <v>1</v>
      </c>
      <c r="F146" s="1" t="s">
        <v>193</v>
      </c>
      <c r="G146" s="1" t="s">
        <v>194</v>
      </c>
      <c r="H146" s="19">
        <v>2838.36</v>
      </c>
      <c r="I146" s="23">
        <v>7962936225</v>
      </c>
      <c r="J146" s="1">
        <v>24</v>
      </c>
      <c r="K146" s="1">
        <f>12*12*10</f>
        <v>1440</v>
      </c>
      <c r="L146" s="1">
        <v>496.69</v>
      </c>
      <c r="M146" s="24">
        <v>45772</v>
      </c>
      <c r="N146" s="24">
        <v>45779</v>
      </c>
      <c r="O146" s="24">
        <v>45776</v>
      </c>
      <c r="P146" s="3">
        <f>O146-M146</f>
        <v>4</v>
      </c>
      <c r="R146" s="25" t="s">
        <v>195</v>
      </c>
      <c r="S146" s="2">
        <v>784.26</v>
      </c>
      <c r="T146" s="25" t="s">
        <v>196</v>
      </c>
      <c r="U146" s="17">
        <v>1990</v>
      </c>
      <c r="W146" s="23" t="s">
        <v>185</v>
      </c>
      <c r="X146" s="1">
        <v>562.02</v>
      </c>
      <c r="Z146" s="1" t="str">
        <f t="shared" ref="Z146:Z160" si="26">F146</f>
        <v>Piston Assy</v>
      </c>
      <c r="AA146" t="str">
        <f t="shared" si="25"/>
        <v>198-63-15510</v>
      </c>
      <c r="AB146" s="12">
        <f>H146+($S$146+$U$146)*H146/SUM($H$146)/3.74+$X$146*H146/SUM($H$146)</f>
        <v>4142.1607486631019</v>
      </c>
      <c r="AC146" s="11">
        <f>AB146/H146</f>
        <v>1.4593500291235437</v>
      </c>
    </row>
    <row r="147" spans="4:29" x14ac:dyDescent="0.3">
      <c r="AB147" s="12"/>
    </row>
    <row r="148" spans="4:29" x14ac:dyDescent="0.3">
      <c r="D148" s="1" t="s">
        <v>197</v>
      </c>
      <c r="E148" s="1">
        <v>2</v>
      </c>
      <c r="F148" s="1" t="s">
        <v>198</v>
      </c>
      <c r="G148" s="1" t="s">
        <v>103</v>
      </c>
      <c r="H148" s="1">
        <v>2.34</v>
      </c>
      <c r="I148" s="4">
        <v>4636291251</v>
      </c>
      <c r="J148" s="5">
        <v>12</v>
      </c>
      <c r="K148" s="5">
        <f>14*14*12</f>
        <v>2352</v>
      </c>
      <c r="L148" s="5">
        <v>241.01</v>
      </c>
      <c r="M148" s="6">
        <v>45776</v>
      </c>
      <c r="N148" s="6">
        <v>45783</v>
      </c>
      <c r="O148" s="6">
        <v>45789</v>
      </c>
      <c r="P148" s="7">
        <f>O148-M148</f>
        <v>13</v>
      </c>
      <c r="Q148" s="10"/>
      <c r="R148" s="4" t="s">
        <v>199</v>
      </c>
      <c r="S148" s="5">
        <v>526.61</v>
      </c>
      <c r="T148" s="4" t="s">
        <v>200</v>
      </c>
      <c r="U148" s="5">
        <v>955</v>
      </c>
      <c r="V148" s="10"/>
      <c r="W148" s="4" t="s">
        <v>201</v>
      </c>
      <c r="X148" s="5">
        <v>212.05</v>
      </c>
      <c r="Z148" s="1" t="str">
        <f t="shared" si="26"/>
        <v>O'RING</v>
      </c>
      <c r="AA148" t="str">
        <f t="shared" si="25"/>
        <v>KOM-WA0443</v>
      </c>
      <c r="AB148" s="12">
        <f t="shared" ref="AB148:AB160" si="27">H148+($S$148+$U$148)*H148/SUM($H$148:$H$160)/3.74+$X$148*H148/SUM($H$148:$H$160)</f>
        <v>3.6521103673188309</v>
      </c>
      <c r="AC148" s="11">
        <f t="shared" ref="AC148:AC160" si="28">AB148/H148</f>
        <v>1.5607309262046287</v>
      </c>
    </row>
    <row r="149" spans="4:29" x14ac:dyDescent="0.3">
      <c r="D149" s="1" t="s">
        <v>197</v>
      </c>
      <c r="E149" s="1">
        <v>2</v>
      </c>
      <c r="F149" s="1" t="s">
        <v>202</v>
      </c>
      <c r="G149" s="1" t="s">
        <v>102</v>
      </c>
      <c r="H149" s="1">
        <v>1.9</v>
      </c>
      <c r="I149" s="4"/>
      <c r="J149" s="5"/>
      <c r="K149" s="5"/>
      <c r="L149" s="5"/>
      <c r="M149" s="5"/>
      <c r="N149" s="5"/>
      <c r="O149" s="6"/>
      <c r="P149" s="7"/>
      <c r="Q149" s="10"/>
      <c r="R149" s="4"/>
      <c r="S149" s="5"/>
      <c r="T149" s="4"/>
      <c r="U149" s="5"/>
      <c r="V149" s="10"/>
      <c r="W149" s="4"/>
      <c r="X149" s="5"/>
      <c r="Z149" s="1" t="str">
        <f t="shared" si="26"/>
        <v>B/UP</v>
      </c>
      <c r="AA149" t="str">
        <f t="shared" si="25"/>
        <v>KOM-WA1443</v>
      </c>
      <c r="AB149" s="12">
        <f t="shared" si="27"/>
        <v>2.9653887597887945</v>
      </c>
      <c r="AC149" s="11">
        <f t="shared" si="28"/>
        <v>1.5607309262046287</v>
      </c>
    </row>
    <row r="150" spans="4:29" x14ac:dyDescent="0.3">
      <c r="D150" s="1" t="s">
        <v>203</v>
      </c>
      <c r="E150" s="1">
        <v>3</v>
      </c>
      <c r="F150" s="1" t="s">
        <v>198</v>
      </c>
      <c r="G150" s="1" t="s">
        <v>28</v>
      </c>
      <c r="H150" s="1">
        <v>90</v>
      </c>
      <c r="I150" s="4"/>
      <c r="J150" s="5"/>
      <c r="K150" s="5"/>
      <c r="L150" s="5"/>
      <c r="M150" s="5"/>
      <c r="N150" s="5"/>
      <c r="O150" s="6"/>
      <c r="P150" s="7"/>
      <c r="Q150" s="10"/>
      <c r="R150" s="4"/>
      <c r="S150" s="5"/>
      <c r="T150" s="4"/>
      <c r="U150" s="5"/>
      <c r="V150" s="10"/>
      <c r="W150" s="4"/>
      <c r="X150" s="5"/>
      <c r="Z150" s="1" t="str">
        <f t="shared" si="26"/>
        <v>O'RING</v>
      </c>
      <c r="AA150" t="str">
        <f t="shared" si="25"/>
        <v>KOM-EH7192</v>
      </c>
      <c r="AB150" s="12">
        <f t="shared" si="27"/>
        <v>140.46578335841656</v>
      </c>
      <c r="AC150" s="11">
        <f t="shared" si="28"/>
        <v>1.5607309262046285</v>
      </c>
    </row>
    <row r="151" spans="4:29" x14ac:dyDescent="0.3">
      <c r="D151" s="1" t="s">
        <v>203</v>
      </c>
      <c r="E151" s="1">
        <v>3</v>
      </c>
      <c r="F151" s="1" t="s">
        <v>198</v>
      </c>
      <c r="G151" s="1" t="s">
        <v>29</v>
      </c>
      <c r="H151" s="1">
        <v>119.94</v>
      </c>
      <c r="I151" s="4"/>
      <c r="J151" s="5"/>
      <c r="K151" s="5"/>
      <c r="L151" s="5"/>
      <c r="M151" s="5"/>
      <c r="N151" s="5"/>
      <c r="O151" s="6"/>
      <c r="P151" s="7"/>
      <c r="Q151" s="10"/>
      <c r="R151" s="4"/>
      <c r="S151" s="5"/>
      <c r="T151" s="4"/>
      <c r="U151" s="5"/>
      <c r="V151" s="10"/>
      <c r="W151" s="4"/>
      <c r="X151" s="5"/>
      <c r="Z151" s="1" t="str">
        <f t="shared" si="26"/>
        <v>O'RING</v>
      </c>
      <c r="AA151" t="str">
        <f t="shared" si="25"/>
        <v>KOM-EH7194</v>
      </c>
      <c r="AB151" s="12">
        <f t="shared" si="27"/>
        <v>187.19406728898315</v>
      </c>
      <c r="AC151" s="11">
        <f t="shared" si="28"/>
        <v>1.5607309262046285</v>
      </c>
    </row>
    <row r="152" spans="4:29" x14ac:dyDescent="0.3">
      <c r="D152" s="1" t="s">
        <v>203</v>
      </c>
      <c r="E152" s="1">
        <v>3</v>
      </c>
      <c r="F152" s="1" t="s">
        <v>198</v>
      </c>
      <c r="G152" s="1" t="s">
        <v>30</v>
      </c>
      <c r="H152" s="1">
        <v>14.61</v>
      </c>
      <c r="I152" s="4"/>
      <c r="J152" s="5"/>
      <c r="K152" s="5"/>
      <c r="L152" s="5"/>
      <c r="M152" s="5"/>
      <c r="N152" s="5"/>
      <c r="O152" s="6"/>
      <c r="P152" s="7"/>
      <c r="Q152" s="10"/>
      <c r="R152" s="4"/>
      <c r="S152" s="5"/>
      <c r="T152" s="4"/>
      <c r="U152" s="5"/>
      <c r="V152" s="10"/>
      <c r="W152" s="4"/>
      <c r="X152" s="5"/>
      <c r="Z152" s="1" t="str">
        <f t="shared" si="26"/>
        <v>O'RING</v>
      </c>
      <c r="AA152" t="str">
        <f t="shared" si="25"/>
        <v>KOM-EH7190</v>
      </c>
      <c r="AB152" s="12">
        <f t="shared" si="27"/>
        <v>22.80227883184962</v>
      </c>
      <c r="AC152" s="11">
        <f t="shared" si="28"/>
        <v>1.5607309262046283</v>
      </c>
    </row>
    <row r="153" spans="4:29" x14ac:dyDescent="0.3">
      <c r="D153" s="1" t="s">
        <v>203</v>
      </c>
      <c r="E153" s="1">
        <v>3</v>
      </c>
      <c r="F153" s="1" t="s">
        <v>198</v>
      </c>
      <c r="G153" s="1" t="s">
        <v>31</v>
      </c>
      <c r="H153" s="1">
        <v>148.41</v>
      </c>
      <c r="I153" s="4"/>
      <c r="J153" s="5"/>
      <c r="K153" s="5"/>
      <c r="L153" s="5"/>
      <c r="M153" s="5"/>
      <c r="N153" s="5"/>
      <c r="O153" s="6"/>
      <c r="P153" s="7"/>
      <c r="Q153" s="10"/>
      <c r="R153" s="4"/>
      <c r="S153" s="5"/>
      <c r="T153" s="4"/>
      <c r="U153" s="5"/>
      <c r="V153" s="10"/>
      <c r="W153" s="4"/>
      <c r="X153" s="5"/>
      <c r="Z153" s="1" t="str">
        <f t="shared" si="26"/>
        <v>O'RING</v>
      </c>
      <c r="AA153" t="str">
        <f t="shared" si="25"/>
        <v>KOM-EH7195</v>
      </c>
      <c r="AB153" s="12">
        <f t="shared" si="27"/>
        <v>231.62807675802893</v>
      </c>
      <c r="AC153" s="11">
        <f t="shared" si="28"/>
        <v>1.5607309262046285</v>
      </c>
    </row>
    <row r="154" spans="4:29" x14ac:dyDescent="0.3">
      <c r="D154" s="1" t="s">
        <v>204</v>
      </c>
      <c r="E154" s="1">
        <v>3</v>
      </c>
      <c r="F154" s="1" t="s">
        <v>154</v>
      </c>
      <c r="G154" s="1" t="s">
        <v>77</v>
      </c>
      <c r="H154" s="1">
        <v>144</v>
      </c>
      <c r="I154" s="4"/>
      <c r="J154" s="5"/>
      <c r="K154" s="5"/>
      <c r="L154" s="5"/>
      <c r="M154" s="5"/>
      <c r="N154" s="5"/>
      <c r="O154" s="6"/>
      <c r="P154" s="7"/>
      <c r="Q154" s="10"/>
      <c r="R154" s="4"/>
      <c r="S154" s="5"/>
      <c r="T154" s="4"/>
      <c r="U154" s="5"/>
      <c r="V154" s="10"/>
      <c r="W154" s="4"/>
      <c r="X154" s="5"/>
      <c r="Z154" s="1" t="str">
        <f t="shared" si="26"/>
        <v>KIT</v>
      </c>
      <c r="AA154" t="str">
        <f t="shared" si="25"/>
        <v>CAT-4388593</v>
      </c>
      <c r="AB154" s="12">
        <f t="shared" si="27"/>
        <v>224.74525337346651</v>
      </c>
      <c r="AC154" s="11">
        <f t="shared" si="28"/>
        <v>1.5607309262046285</v>
      </c>
    </row>
    <row r="155" spans="4:29" x14ac:dyDescent="0.3">
      <c r="D155" s="1">
        <v>323725</v>
      </c>
      <c r="E155" s="1">
        <v>2</v>
      </c>
      <c r="F155" s="1" t="s">
        <v>205</v>
      </c>
      <c r="G155" s="1" t="s">
        <v>75</v>
      </c>
      <c r="H155" s="1">
        <v>255.88</v>
      </c>
      <c r="I155" s="4"/>
      <c r="J155" s="5"/>
      <c r="K155" s="5"/>
      <c r="L155" s="5"/>
      <c r="M155" s="5"/>
      <c r="N155" s="5"/>
      <c r="O155" s="6"/>
      <c r="P155" s="7"/>
      <c r="Q155" s="10"/>
      <c r="R155" s="4"/>
      <c r="S155" s="5"/>
      <c r="T155" s="4"/>
      <c r="U155" s="5"/>
      <c r="V155" s="10"/>
      <c r="W155" s="4"/>
      <c r="X155" s="5"/>
      <c r="Z155" s="1" t="str">
        <f t="shared" si="26"/>
        <v xml:space="preserve">KIT </v>
      </c>
      <c r="AA155" t="str">
        <f t="shared" si="25"/>
        <v>CAT-2460649</v>
      </c>
      <c r="AB155" s="12">
        <f t="shared" si="27"/>
        <v>399.35982939724033</v>
      </c>
      <c r="AC155" s="11">
        <f t="shared" si="28"/>
        <v>1.5607309262046285</v>
      </c>
    </row>
    <row r="156" spans="4:29" x14ac:dyDescent="0.3">
      <c r="D156" s="1">
        <v>322325</v>
      </c>
      <c r="E156" s="1">
        <v>1</v>
      </c>
      <c r="F156" s="1" t="s">
        <v>206</v>
      </c>
      <c r="G156" s="1" t="s">
        <v>207</v>
      </c>
      <c r="H156" s="1">
        <v>204.12</v>
      </c>
      <c r="I156" s="4"/>
      <c r="J156" s="5"/>
      <c r="K156" s="5"/>
      <c r="L156" s="5"/>
      <c r="M156" s="5"/>
      <c r="N156" s="5"/>
      <c r="O156" s="6"/>
      <c r="P156" s="7"/>
      <c r="Q156" s="10"/>
      <c r="R156" s="4"/>
      <c r="S156" s="5"/>
      <c r="T156" s="4"/>
      <c r="U156" s="5"/>
      <c r="V156" s="10"/>
      <c r="W156" s="4"/>
      <c r="X156" s="5"/>
      <c r="Z156" s="1" t="str">
        <f t="shared" si="26"/>
        <v xml:space="preserve"> RETAINER</v>
      </c>
      <c r="AA156" t="str">
        <f t="shared" si="25"/>
        <v>KOM-198/63/13871</v>
      </c>
      <c r="AB156" s="12">
        <f t="shared" si="27"/>
        <v>318.57639665688879</v>
      </c>
      <c r="AC156" s="11">
        <f t="shared" si="28"/>
        <v>1.5607309262046285</v>
      </c>
    </row>
    <row r="157" spans="4:29" x14ac:dyDescent="0.3">
      <c r="D157" s="1" t="s">
        <v>208</v>
      </c>
      <c r="E157" s="1">
        <v>2</v>
      </c>
      <c r="F157" s="1" t="s">
        <v>209</v>
      </c>
      <c r="G157" s="1" t="s">
        <v>210</v>
      </c>
      <c r="H157" s="1">
        <v>45.36</v>
      </c>
      <c r="I157" s="4"/>
      <c r="J157" s="5"/>
      <c r="K157" s="5"/>
      <c r="L157" s="5"/>
      <c r="M157" s="5"/>
      <c r="N157" s="5"/>
      <c r="O157" s="6"/>
      <c r="P157" s="7"/>
      <c r="Q157" s="10"/>
      <c r="R157" s="4"/>
      <c r="S157" s="5"/>
      <c r="T157" s="4"/>
      <c r="U157" s="5"/>
      <c r="V157" s="10"/>
      <c r="W157" s="4"/>
      <c r="X157" s="5"/>
      <c r="Z157" s="1" t="str">
        <f t="shared" si="26"/>
        <v>RING</v>
      </c>
      <c r="AA157" t="str">
        <f t="shared" si="25"/>
        <v>*KOM-707/75/11512</v>
      </c>
      <c r="AB157" s="12">
        <f t="shared" si="27"/>
        <v>70.794754812641955</v>
      </c>
      <c r="AC157" s="11">
        <f t="shared" si="28"/>
        <v>1.5607309262046287</v>
      </c>
    </row>
    <row r="158" spans="4:29" x14ac:dyDescent="0.3">
      <c r="D158" s="1" t="s">
        <v>208</v>
      </c>
      <c r="E158" s="1">
        <v>2</v>
      </c>
      <c r="F158" s="1" t="s">
        <v>211</v>
      </c>
      <c r="G158" s="1" t="s">
        <v>212</v>
      </c>
      <c r="H158" s="1">
        <v>42.84</v>
      </c>
      <c r="I158" s="4"/>
      <c r="J158" s="5"/>
      <c r="K158" s="5"/>
      <c r="L158" s="5"/>
      <c r="M158" s="5"/>
      <c r="N158" s="5"/>
      <c r="O158" s="6"/>
      <c r="P158" s="7"/>
      <c r="Q158" s="10"/>
      <c r="R158" s="4"/>
      <c r="S158" s="5"/>
      <c r="T158" s="4"/>
      <c r="U158" s="5"/>
      <c r="V158" s="10"/>
      <c r="W158" s="4"/>
      <c r="X158" s="5"/>
      <c r="Z158" s="1" t="str">
        <f t="shared" si="26"/>
        <v>Ring, Snap</v>
      </c>
      <c r="AA158" t="str">
        <f t="shared" si="25"/>
        <v>*KOM-707/75/10512</v>
      </c>
      <c r="AB158" s="12">
        <f t="shared" si="27"/>
        <v>66.861712878606284</v>
      </c>
      <c r="AC158" s="11">
        <f t="shared" si="28"/>
        <v>1.5607309262046283</v>
      </c>
    </row>
    <row r="159" spans="4:29" x14ac:dyDescent="0.3">
      <c r="D159" s="1" t="s">
        <v>208</v>
      </c>
      <c r="E159" s="1">
        <v>2</v>
      </c>
      <c r="F159" s="1" t="s">
        <v>213</v>
      </c>
      <c r="G159" s="1" t="s">
        <v>214</v>
      </c>
      <c r="H159" s="1">
        <v>8.26</v>
      </c>
      <c r="I159" s="4"/>
      <c r="J159" s="5"/>
      <c r="K159" s="5"/>
      <c r="L159" s="5"/>
      <c r="M159" s="5"/>
      <c r="N159" s="5"/>
      <c r="O159" s="6"/>
      <c r="P159" s="7"/>
      <c r="Q159" s="10"/>
      <c r="R159" s="4"/>
      <c r="S159" s="5"/>
      <c r="T159" s="4"/>
      <c r="U159" s="5"/>
      <c r="V159" s="10"/>
      <c r="W159" s="4"/>
      <c r="X159" s="5"/>
      <c r="Z159" s="1" t="str">
        <f t="shared" si="26"/>
        <v>BOLT</v>
      </c>
      <c r="AA159" t="str">
        <f t="shared" si="25"/>
        <v>*KOM-01010/81865</v>
      </c>
      <c r="AB159" s="12">
        <f t="shared" si="27"/>
        <v>12.891637450450233</v>
      </c>
      <c r="AC159" s="11">
        <f t="shared" si="28"/>
        <v>1.5607309262046287</v>
      </c>
    </row>
    <row r="160" spans="4:29" x14ac:dyDescent="0.3">
      <c r="D160" s="1" t="s">
        <v>208</v>
      </c>
      <c r="E160" s="1">
        <v>2</v>
      </c>
      <c r="F160" s="1" t="s">
        <v>215</v>
      </c>
      <c r="G160" s="1" t="s">
        <v>216</v>
      </c>
      <c r="H160" s="1">
        <v>7</v>
      </c>
      <c r="I160" s="4"/>
      <c r="J160" s="5"/>
      <c r="K160" s="5"/>
      <c r="L160" s="5"/>
      <c r="M160" s="5"/>
      <c r="N160" s="5"/>
      <c r="O160" s="6"/>
      <c r="P160" s="7"/>
      <c r="Q160" s="10"/>
      <c r="R160" s="4"/>
      <c r="S160" s="5"/>
      <c r="T160" s="4"/>
      <c r="U160" s="5"/>
      <c r="V160" s="10"/>
      <c r="W160" s="4"/>
      <c r="X160" s="5"/>
      <c r="Z160" s="1" t="str">
        <f t="shared" si="26"/>
        <v>WASHER</v>
      </c>
      <c r="AA160" t="str">
        <f t="shared" si="25"/>
        <v>*KOM-01643/31845</v>
      </c>
      <c r="AB160" s="12">
        <f t="shared" si="27"/>
        <v>10.925116483432401</v>
      </c>
      <c r="AC160" s="11">
        <f t="shared" si="28"/>
        <v>1.5607309262046287</v>
      </c>
    </row>
    <row r="161" spans="4:29" x14ac:dyDescent="0.3">
      <c r="AB161" s="12"/>
    </row>
    <row r="162" spans="4:29" x14ac:dyDescent="0.3">
      <c r="D162" s="1" t="s">
        <v>217</v>
      </c>
      <c r="E162" s="1">
        <v>8</v>
      </c>
      <c r="F162" s="1" t="s">
        <v>218</v>
      </c>
      <c r="G162" s="1" t="s">
        <v>219</v>
      </c>
      <c r="H162" s="2">
        <v>504</v>
      </c>
      <c r="I162" s="4">
        <v>5001336384</v>
      </c>
      <c r="J162" s="5">
        <f>60+50</f>
        <v>110</v>
      </c>
      <c r="K162" s="5">
        <f>18*18*18*2</f>
        <v>11664</v>
      </c>
      <c r="L162" s="5">
        <v>779.7</v>
      </c>
      <c r="M162" s="6">
        <v>45779</v>
      </c>
      <c r="N162" s="6">
        <v>45785</v>
      </c>
      <c r="O162" s="6">
        <v>45784</v>
      </c>
      <c r="P162" s="7">
        <f>O162-M162</f>
        <v>5</v>
      </c>
      <c r="Q162" s="10"/>
      <c r="R162" s="4" t="s">
        <v>220</v>
      </c>
      <c r="S162" s="5">
        <v>882.24</v>
      </c>
      <c r="T162" s="4" t="s">
        <v>221</v>
      </c>
      <c r="U162" s="9">
        <v>7050</v>
      </c>
      <c r="V162" s="5" t="s">
        <v>222</v>
      </c>
      <c r="W162" s="4" t="s">
        <v>223</v>
      </c>
      <c r="X162" s="5">
        <v>586.19000000000005</v>
      </c>
      <c r="Z162" s="1" t="str">
        <f t="shared" ref="Z162:AA177" si="29">F162</f>
        <v>REPLACEMENT SNAP RING</v>
      </c>
      <c r="AA162" t="str">
        <f t="shared" si="29"/>
        <v>CAT-3402381</v>
      </c>
      <c r="AB162" s="12">
        <f t="shared" ref="AB162:AB172" si="30">H162+($S$162+$U$162)*H162/SUM($H$162:$H$173)/3.74+$X$162*H162/SUM($H$162:$H$173)</f>
        <v>702.46557243449331</v>
      </c>
      <c r="AC162" s="11">
        <f t="shared" ref="AC162:AC225" si="31">AB162/H162</f>
        <v>1.3937808976874868</v>
      </c>
    </row>
    <row r="163" spans="4:29" x14ac:dyDescent="0.3">
      <c r="D163" s="1" t="s">
        <v>217</v>
      </c>
      <c r="E163" s="1">
        <v>4</v>
      </c>
      <c r="F163" s="1" t="s">
        <v>224</v>
      </c>
      <c r="G163" s="1" t="s">
        <v>225</v>
      </c>
      <c r="H163" s="2">
        <v>261.56</v>
      </c>
      <c r="I163" s="4"/>
      <c r="J163" s="5"/>
      <c r="K163" s="5"/>
      <c r="L163" s="5"/>
      <c r="M163" s="5"/>
      <c r="N163" s="5"/>
      <c r="O163" s="6"/>
      <c r="P163" s="7"/>
      <c r="Q163" s="10"/>
      <c r="R163" s="4"/>
      <c r="S163" s="5"/>
      <c r="T163" s="4"/>
      <c r="U163" s="5"/>
      <c r="V163" s="5"/>
      <c r="W163" s="4"/>
      <c r="X163" s="5"/>
      <c r="Z163" s="1" t="str">
        <f t="shared" si="29"/>
        <v>REPLACEMENT VALVE ASSEMBLY</v>
      </c>
      <c r="AA163" t="str">
        <f t="shared" si="29"/>
        <v>CAT-4402667</v>
      </c>
      <c r="AB163" s="12">
        <f t="shared" si="30"/>
        <v>364.55733159913899</v>
      </c>
      <c r="AC163" s="11">
        <f t="shared" si="31"/>
        <v>1.3937808976874866</v>
      </c>
    </row>
    <row r="164" spans="4:29" x14ac:dyDescent="0.3">
      <c r="D164" s="1" t="s">
        <v>217</v>
      </c>
      <c r="E164" s="1">
        <v>4</v>
      </c>
      <c r="F164" s="1" t="s">
        <v>218</v>
      </c>
      <c r="G164" s="1" t="s">
        <v>226</v>
      </c>
      <c r="H164" s="2">
        <v>126</v>
      </c>
      <c r="I164" s="4"/>
      <c r="J164" s="5"/>
      <c r="K164" s="5"/>
      <c r="L164" s="5"/>
      <c r="M164" s="5"/>
      <c r="N164" s="5"/>
      <c r="O164" s="6"/>
      <c r="P164" s="7"/>
      <c r="Q164" s="10"/>
      <c r="R164" s="4"/>
      <c r="S164" s="5"/>
      <c r="T164" s="4"/>
      <c r="U164" s="5"/>
      <c r="V164" s="5"/>
      <c r="W164" s="4"/>
      <c r="X164" s="5"/>
      <c r="Z164" s="1" t="str">
        <f t="shared" si="29"/>
        <v>REPLACEMENT SNAP RING</v>
      </c>
      <c r="AA164" t="str">
        <f t="shared" si="29"/>
        <v xml:space="preserve">KOM-VN9351 </v>
      </c>
      <c r="AB164" s="12">
        <f t="shared" si="30"/>
        <v>175.61639310862333</v>
      </c>
      <c r="AC164" s="11">
        <f t="shared" si="31"/>
        <v>1.3937808976874868</v>
      </c>
    </row>
    <row r="165" spans="4:29" x14ac:dyDescent="0.3">
      <c r="D165" s="1" t="s">
        <v>217</v>
      </c>
      <c r="E165" s="1">
        <v>4</v>
      </c>
      <c r="F165" s="1" t="s">
        <v>218</v>
      </c>
      <c r="G165" s="1" t="s">
        <v>90</v>
      </c>
      <c r="H165" s="2">
        <v>84.8</v>
      </c>
      <c r="I165" s="4"/>
      <c r="J165" s="5"/>
      <c r="K165" s="5"/>
      <c r="L165" s="5"/>
      <c r="M165" s="5"/>
      <c r="N165" s="5"/>
      <c r="O165" s="6"/>
      <c r="P165" s="7"/>
      <c r="Q165" s="10"/>
      <c r="R165" s="4"/>
      <c r="S165" s="5"/>
      <c r="T165" s="4"/>
      <c r="U165" s="5"/>
      <c r="V165" s="5"/>
      <c r="W165" s="4"/>
      <c r="X165" s="5"/>
      <c r="Z165" s="1" t="str">
        <f t="shared" si="29"/>
        <v>REPLACEMENT SNAP RING</v>
      </c>
      <c r="AA165" t="str">
        <f t="shared" si="29"/>
        <v>KOM-VN9350</v>
      </c>
      <c r="AB165" s="12">
        <f t="shared" si="30"/>
        <v>118.19262012389886</v>
      </c>
      <c r="AC165" s="11">
        <f t="shared" si="31"/>
        <v>1.3937808976874866</v>
      </c>
    </row>
    <row r="166" spans="4:29" x14ac:dyDescent="0.3">
      <c r="D166" s="1" t="s">
        <v>227</v>
      </c>
      <c r="E166" s="1">
        <v>2</v>
      </c>
      <c r="F166" s="1" t="s">
        <v>228</v>
      </c>
      <c r="G166" s="1" t="s">
        <v>229</v>
      </c>
      <c r="H166" s="2">
        <v>1970.66</v>
      </c>
      <c r="I166" s="4"/>
      <c r="J166" s="5"/>
      <c r="K166" s="5"/>
      <c r="L166" s="5"/>
      <c r="M166" s="5"/>
      <c r="N166" s="5"/>
      <c r="O166" s="6"/>
      <c r="P166" s="7"/>
      <c r="Q166" s="10"/>
      <c r="R166" s="4"/>
      <c r="S166" s="5"/>
      <c r="T166" s="4"/>
      <c r="U166" s="5"/>
      <c r="V166" s="5"/>
      <c r="W166" s="4"/>
      <c r="X166" s="5"/>
      <c r="Z166" s="1" t="str">
        <f t="shared" si="29"/>
        <v>930/960/980E REAR SEAL KIT</v>
      </c>
      <c r="AA166" t="str">
        <f t="shared" si="29"/>
        <v>KOM-58F/RS/AK031</v>
      </c>
      <c r="AB166" s="12">
        <f t="shared" si="30"/>
        <v>2746.6682638368225</v>
      </c>
      <c r="AC166" s="11">
        <f t="shared" si="31"/>
        <v>1.3937808976874866</v>
      </c>
    </row>
    <row r="167" spans="4:29" x14ac:dyDescent="0.3">
      <c r="D167" s="1" t="s">
        <v>230</v>
      </c>
      <c r="E167" s="1">
        <v>15</v>
      </c>
      <c r="F167" s="1" t="s">
        <v>231</v>
      </c>
      <c r="G167" s="1" t="s">
        <v>232</v>
      </c>
      <c r="H167" s="2">
        <v>2520</v>
      </c>
      <c r="I167" s="4"/>
      <c r="J167" s="5"/>
      <c r="K167" s="5"/>
      <c r="L167" s="5"/>
      <c r="M167" s="5"/>
      <c r="N167" s="5"/>
      <c r="O167" s="6"/>
      <c r="P167" s="7"/>
      <c r="Q167" s="10"/>
      <c r="R167" s="4"/>
      <c r="S167" s="5"/>
      <c r="T167" s="4"/>
      <c r="U167" s="5"/>
      <c r="V167" s="5"/>
      <c r="W167" s="4"/>
      <c r="X167" s="5"/>
      <c r="Z167" s="1" t="str">
        <f t="shared" si="29"/>
        <v>830/930E STEERING SEAL KIT</v>
      </c>
      <c r="AA167" t="str">
        <f t="shared" si="29"/>
        <v>KOM-58F/SC/AK020</v>
      </c>
      <c r="AB167" s="12">
        <f t="shared" si="30"/>
        <v>3512.3278621724662</v>
      </c>
      <c r="AC167" s="11">
        <f t="shared" si="31"/>
        <v>1.3937808976874866</v>
      </c>
    </row>
    <row r="168" spans="4:29" x14ac:dyDescent="0.3">
      <c r="D168" s="1" t="s">
        <v>233</v>
      </c>
      <c r="E168" s="1">
        <v>20</v>
      </c>
      <c r="F168" s="1" t="s">
        <v>218</v>
      </c>
      <c r="G168" s="1" t="s">
        <v>80</v>
      </c>
      <c r="H168" s="2">
        <v>500</v>
      </c>
      <c r="I168" s="4"/>
      <c r="J168" s="5"/>
      <c r="K168" s="5"/>
      <c r="L168" s="5"/>
      <c r="M168" s="5"/>
      <c r="N168" s="5"/>
      <c r="O168" s="6"/>
      <c r="P168" s="7"/>
      <c r="Q168" s="10"/>
      <c r="R168" s="4"/>
      <c r="S168" s="5"/>
      <c r="T168" s="4"/>
      <c r="U168" s="5"/>
      <c r="V168" s="5"/>
      <c r="W168" s="4"/>
      <c r="X168" s="5"/>
      <c r="Z168" s="1" t="str">
        <f t="shared" si="29"/>
        <v>REPLACEMENT SNAP RING</v>
      </c>
      <c r="AA168" t="str">
        <f t="shared" si="29"/>
        <v>KOM-SV5921</v>
      </c>
      <c r="AB168" s="12">
        <f t="shared" si="30"/>
        <v>696.89044884374334</v>
      </c>
      <c r="AC168" s="11">
        <f t="shared" si="31"/>
        <v>1.3937808976874866</v>
      </c>
    </row>
    <row r="169" spans="4:29" x14ac:dyDescent="0.3">
      <c r="D169" s="1" t="s">
        <v>233</v>
      </c>
      <c r="E169" s="1">
        <v>4</v>
      </c>
      <c r="F169" s="1" t="s">
        <v>234</v>
      </c>
      <c r="G169" s="1" t="s">
        <v>85</v>
      </c>
      <c r="H169" s="2">
        <v>175.16</v>
      </c>
      <c r="I169" s="4"/>
      <c r="J169" s="5"/>
      <c r="K169" s="5"/>
      <c r="L169" s="5"/>
      <c r="M169" s="5"/>
      <c r="N169" s="5"/>
      <c r="O169" s="6"/>
      <c r="P169" s="7"/>
      <c r="Q169" s="10"/>
      <c r="R169" s="4"/>
      <c r="S169" s="5"/>
      <c r="T169" s="4"/>
      <c r="U169" s="5"/>
      <c r="V169" s="5"/>
      <c r="W169" s="4"/>
      <c r="X169" s="5"/>
      <c r="Z169" s="1" t="str">
        <f t="shared" si="29"/>
        <v>TAPONES</v>
      </c>
      <c r="AA169" t="str">
        <f t="shared" si="29"/>
        <v>KOM-TZ8637</v>
      </c>
      <c r="AB169" s="12">
        <f t="shared" si="30"/>
        <v>244.13466203894015</v>
      </c>
      <c r="AC169" s="11">
        <f t="shared" si="31"/>
        <v>1.3937808976874866</v>
      </c>
    </row>
    <row r="170" spans="4:29" x14ac:dyDescent="0.3">
      <c r="D170" s="1" t="s">
        <v>235</v>
      </c>
      <c r="E170" s="1">
        <v>3</v>
      </c>
      <c r="F170" s="1" t="s">
        <v>236</v>
      </c>
      <c r="G170" s="1" t="s">
        <v>75</v>
      </c>
      <c r="H170" s="2">
        <v>383.82</v>
      </c>
      <c r="I170" s="4"/>
      <c r="J170" s="5"/>
      <c r="K170" s="5"/>
      <c r="L170" s="5"/>
      <c r="M170" s="5"/>
      <c r="N170" s="5"/>
      <c r="O170" s="6"/>
      <c r="P170" s="7"/>
      <c r="Q170" s="10"/>
      <c r="R170" s="4"/>
      <c r="S170" s="5"/>
      <c r="T170" s="4"/>
      <c r="U170" s="5"/>
      <c r="V170" s="5"/>
      <c r="W170" s="4"/>
      <c r="X170" s="5"/>
      <c r="Z170" s="1" t="str">
        <f t="shared" si="29"/>
        <v>SEAL KIT 10.500 X 4.000"</v>
      </c>
      <c r="AA170" t="str">
        <f t="shared" si="29"/>
        <v>CAT-2460649</v>
      </c>
      <c r="AB170" s="12">
        <f t="shared" si="30"/>
        <v>534.96098415041115</v>
      </c>
      <c r="AC170" s="11">
        <f t="shared" si="31"/>
        <v>1.3937808976874868</v>
      </c>
    </row>
    <row r="171" spans="4:29" x14ac:dyDescent="0.3">
      <c r="D171" s="1" t="s">
        <v>237</v>
      </c>
      <c r="E171" s="1">
        <v>8</v>
      </c>
      <c r="F171" s="1" t="s">
        <v>238</v>
      </c>
      <c r="G171" s="1" t="s">
        <v>239</v>
      </c>
      <c r="H171" s="2">
        <v>110.88</v>
      </c>
      <c r="I171" s="4"/>
      <c r="J171" s="5"/>
      <c r="K171" s="5"/>
      <c r="L171" s="5"/>
      <c r="M171" s="5"/>
      <c r="N171" s="5"/>
      <c r="O171" s="6"/>
      <c r="P171" s="7"/>
      <c r="Q171" s="10"/>
      <c r="R171" s="4"/>
      <c r="S171" s="5"/>
      <c r="T171" s="4"/>
      <c r="U171" s="5"/>
      <c r="V171" s="5"/>
      <c r="W171" s="4"/>
      <c r="X171" s="5"/>
      <c r="Z171" s="1" t="str">
        <f t="shared" si="29"/>
        <v>REPLACEMENT PIN WIPER</v>
      </c>
      <c r="AA171" t="str">
        <f t="shared" si="29"/>
        <v>CAT-7K9212</v>
      </c>
      <c r="AB171" s="12">
        <f t="shared" si="30"/>
        <v>154.54242593558851</v>
      </c>
      <c r="AC171" s="11">
        <f t="shared" si="31"/>
        <v>1.3937808976874866</v>
      </c>
    </row>
    <row r="172" spans="4:29" x14ac:dyDescent="0.3">
      <c r="D172" s="1" t="s">
        <v>237</v>
      </c>
      <c r="E172" s="1">
        <v>2</v>
      </c>
      <c r="F172" s="1" t="s">
        <v>240</v>
      </c>
      <c r="G172" s="1" t="s">
        <v>241</v>
      </c>
      <c r="H172" s="2">
        <v>92</v>
      </c>
      <c r="I172" s="4"/>
      <c r="J172" s="5"/>
      <c r="K172" s="5"/>
      <c r="L172" s="5"/>
      <c r="M172" s="5"/>
      <c r="N172" s="5"/>
      <c r="O172" s="6"/>
      <c r="P172" s="7"/>
      <c r="Q172" s="10"/>
      <c r="R172" s="4"/>
      <c r="S172" s="5"/>
      <c r="T172" s="4"/>
      <c r="U172" s="5"/>
      <c r="V172" s="5"/>
      <c r="W172" s="4"/>
      <c r="X172" s="5"/>
      <c r="Z172" s="1" t="str">
        <f t="shared" si="29"/>
        <v>REPLACEMENT BEARING SLEEVE</v>
      </c>
      <c r="AA172" t="str">
        <f t="shared" si="29"/>
        <v>CAT-1V8242</v>
      </c>
      <c r="AB172" s="12">
        <f t="shared" si="30"/>
        <v>128.22784258724877</v>
      </c>
      <c r="AC172" s="11">
        <f t="shared" si="31"/>
        <v>1.3937808976874866</v>
      </c>
    </row>
    <row r="173" spans="4:29" x14ac:dyDescent="0.3">
      <c r="D173" s="1" t="s">
        <v>237</v>
      </c>
      <c r="E173" s="1">
        <v>2</v>
      </c>
      <c r="F173" s="1" t="s">
        <v>242</v>
      </c>
      <c r="G173" s="1" t="s">
        <v>243</v>
      </c>
      <c r="H173" s="2">
        <v>145.78</v>
      </c>
      <c r="I173" s="4"/>
      <c r="J173" s="5"/>
      <c r="K173" s="5"/>
      <c r="L173" s="5"/>
      <c r="M173" s="5"/>
      <c r="N173" s="5"/>
      <c r="O173" s="6"/>
      <c r="P173" s="7"/>
      <c r="Q173" s="10"/>
      <c r="R173" s="4"/>
      <c r="S173" s="5"/>
      <c r="T173" s="4"/>
      <c r="U173" s="5"/>
      <c r="V173" s="5"/>
      <c r="W173" s="4"/>
      <c r="X173" s="5"/>
      <c r="Z173" s="1" t="str">
        <f t="shared" si="29"/>
        <v>SEAL KIT 6.250 X 2.750"</v>
      </c>
      <c r="AA173" t="str">
        <f t="shared" si="29"/>
        <v>CAT-4527462</v>
      </c>
      <c r="AB173" s="12">
        <f>H173+($S$162+$U$162)*H173/SUM($H$162:$H$173)/3.74+$X$162*H173/SUM($H$162:$H$173)</f>
        <v>203.18537926488179</v>
      </c>
      <c r="AC173" s="11">
        <f t="shared" si="31"/>
        <v>1.3937808976874866</v>
      </c>
    </row>
    <row r="174" spans="4:29" x14ac:dyDescent="0.3">
      <c r="R174" s="2"/>
      <c r="S174" s="2"/>
      <c r="T174" s="22"/>
      <c r="U174" s="22"/>
      <c r="V174" s="22"/>
      <c r="W174" s="22"/>
      <c r="X174" s="22"/>
    </row>
    <row r="175" spans="4:29" x14ac:dyDescent="0.3">
      <c r="D175" s="1" t="s">
        <v>244</v>
      </c>
      <c r="E175" s="1">
        <v>18</v>
      </c>
      <c r="F175" s="1" t="s">
        <v>245</v>
      </c>
      <c r="G175" s="1" t="s">
        <v>246</v>
      </c>
      <c r="H175" s="16">
        <f>993.78*1.06</f>
        <v>1053.4068</v>
      </c>
      <c r="I175" s="4">
        <v>5460325721</v>
      </c>
      <c r="J175" s="5">
        <f>19+23</f>
        <v>42</v>
      </c>
      <c r="K175" s="5">
        <f>42*40*1+18*18*12</f>
        <v>5568</v>
      </c>
      <c r="L175" s="5">
        <v>490.99</v>
      </c>
      <c r="M175" s="6">
        <v>45790</v>
      </c>
      <c r="N175" s="6">
        <v>45797</v>
      </c>
      <c r="O175" s="6">
        <v>45796</v>
      </c>
      <c r="P175" s="7">
        <f>O175-M175</f>
        <v>6</v>
      </c>
      <c r="Q175" s="5"/>
      <c r="R175" s="4" t="s">
        <v>247</v>
      </c>
      <c r="S175" s="5">
        <v>786.4</v>
      </c>
      <c r="T175" s="4" t="s">
        <v>248</v>
      </c>
      <c r="U175" s="9">
        <v>2341</v>
      </c>
      <c r="V175" s="5"/>
      <c r="W175" s="4" t="s">
        <v>249</v>
      </c>
      <c r="X175" s="5">
        <v>429.59</v>
      </c>
      <c r="Z175" s="1" t="str">
        <f t="shared" si="29"/>
        <v>Shim</v>
      </c>
      <c r="AA175" t="str">
        <f t="shared" si="29"/>
        <v>EL2878</v>
      </c>
      <c r="AB175" s="12">
        <f>H175+($S$175+$U$175)*H175/SUM($H$175:$H$179)/3.74+$X$175*H175/SUM($H$175:$H$179)</f>
        <v>1512.4652967707304</v>
      </c>
      <c r="AC175" s="11">
        <f>AB175/H175</f>
        <v>1.4357846339806526</v>
      </c>
    </row>
    <row r="176" spans="4:29" x14ac:dyDescent="0.3">
      <c r="D176" s="1" t="s">
        <v>244</v>
      </c>
      <c r="E176" s="1">
        <v>3</v>
      </c>
      <c r="F176" s="1" t="s">
        <v>250</v>
      </c>
      <c r="G176" s="1" t="s">
        <v>251</v>
      </c>
      <c r="H176" s="16">
        <f>187.5*1.06</f>
        <v>198.75</v>
      </c>
      <c r="I176" s="4"/>
      <c r="J176" s="5"/>
      <c r="K176" s="5"/>
      <c r="L176" s="5"/>
      <c r="M176" s="5"/>
      <c r="N176" s="5"/>
      <c r="O176" s="5"/>
      <c r="P176" s="7"/>
      <c r="Q176" s="5"/>
      <c r="R176" s="4"/>
      <c r="S176" s="5"/>
      <c r="T176" s="4"/>
      <c r="U176" s="5"/>
      <c r="V176" s="5"/>
      <c r="W176" s="4"/>
      <c r="X176" s="5"/>
      <c r="Z176" s="1" t="str">
        <f t="shared" si="29"/>
        <v>Plug,Magnetic</v>
      </c>
      <c r="AA176" t="str">
        <f t="shared" si="29"/>
        <v>WB1199</v>
      </c>
      <c r="AB176" s="12">
        <f>H176+($S$175+$U$175)*H176/SUM($H$175:$H$179)/3.74+$X$175*H176/SUM($H$175:$H$179)</f>
        <v>285.36219600365467</v>
      </c>
      <c r="AC176" s="11">
        <f t="shared" si="31"/>
        <v>1.4357846339806524</v>
      </c>
    </row>
    <row r="177" spans="4:29" x14ac:dyDescent="0.3">
      <c r="D177" s="1">
        <v>325125</v>
      </c>
      <c r="E177" s="1">
        <v>3</v>
      </c>
      <c r="F177" s="1" t="s">
        <v>252</v>
      </c>
      <c r="G177" s="1" t="s">
        <v>253</v>
      </c>
      <c r="H177" s="16">
        <f>75.15*1.06</f>
        <v>79.659000000000006</v>
      </c>
      <c r="I177" s="4"/>
      <c r="J177" s="5"/>
      <c r="K177" s="5"/>
      <c r="L177" s="5"/>
      <c r="M177" s="5"/>
      <c r="N177" s="5"/>
      <c r="O177" s="5"/>
      <c r="P177" s="7"/>
      <c r="Q177" s="5"/>
      <c r="R177" s="4"/>
      <c r="S177" s="5"/>
      <c r="T177" s="4"/>
      <c r="U177" s="5"/>
      <c r="V177" s="5"/>
      <c r="W177" s="4"/>
      <c r="X177" s="5"/>
      <c r="Z177" s="1" t="str">
        <f t="shared" si="29"/>
        <v>Bolt, CS</v>
      </c>
      <c r="AA177" t="str">
        <f t="shared" si="29"/>
        <v>WA1589</v>
      </c>
      <c r="AB177" s="12">
        <f>H177+($S$175+$U$175)*H177/SUM($H$175:$H$179)/3.74+$X$175*H177/SUM($H$175:$H$179)</f>
        <v>114.37316815826482</v>
      </c>
      <c r="AC177" s="11">
        <f t="shared" si="31"/>
        <v>1.4357846339806526</v>
      </c>
    </row>
    <row r="178" spans="4:29" x14ac:dyDescent="0.3">
      <c r="D178" s="1">
        <v>325125</v>
      </c>
      <c r="E178" s="1">
        <v>6</v>
      </c>
      <c r="F178" s="1" t="s">
        <v>245</v>
      </c>
      <c r="G178" s="1" t="s">
        <v>127</v>
      </c>
      <c r="H178" s="16">
        <f>69.24*1.06</f>
        <v>73.394400000000005</v>
      </c>
      <c r="I178" s="4"/>
      <c r="J178" s="5"/>
      <c r="K178" s="5"/>
      <c r="L178" s="5"/>
      <c r="M178" s="5"/>
      <c r="N178" s="5"/>
      <c r="O178" s="5"/>
      <c r="P178" s="7"/>
      <c r="Q178" s="5"/>
      <c r="R178" s="4"/>
      <c r="S178" s="5"/>
      <c r="T178" s="4"/>
      <c r="U178" s="5"/>
      <c r="V178" s="5"/>
      <c r="W178" s="4"/>
      <c r="X178" s="5"/>
      <c r="Z178" s="1" t="str">
        <f t="shared" ref="Z178:AA193" si="32">F178</f>
        <v>Shim</v>
      </c>
      <c r="AA178" t="str">
        <f t="shared" si="32"/>
        <v>ED3755</v>
      </c>
      <c r="AB178" s="12">
        <f>H178+($S$175+$U$175)*H178/SUM($H$175:$H$179)/3.74+$X$175*H178/SUM($H$175:$H$179)</f>
        <v>105.37855174022961</v>
      </c>
      <c r="AC178" s="11">
        <f t="shared" si="31"/>
        <v>1.4357846339806526</v>
      </c>
    </row>
    <row r="179" spans="4:29" x14ac:dyDescent="0.3">
      <c r="D179" s="1">
        <v>325125</v>
      </c>
      <c r="E179" s="1">
        <v>1</v>
      </c>
      <c r="F179" s="1" t="s">
        <v>254</v>
      </c>
      <c r="G179" s="1" t="s">
        <v>62</v>
      </c>
      <c r="H179" s="19">
        <v>1499.42</v>
      </c>
      <c r="I179" s="4"/>
      <c r="J179" s="5"/>
      <c r="K179" s="5"/>
      <c r="L179" s="5"/>
      <c r="M179" s="5"/>
      <c r="N179" s="5"/>
      <c r="O179" s="5"/>
      <c r="P179" s="7"/>
      <c r="Q179" s="5"/>
      <c r="R179" s="4"/>
      <c r="S179" s="5"/>
      <c r="T179" s="4"/>
      <c r="U179" s="5"/>
      <c r="V179" s="5"/>
      <c r="W179" s="4"/>
      <c r="X179" s="5"/>
      <c r="Z179" s="1" t="str">
        <f t="shared" si="32"/>
        <v>Gear</v>
      </c>
      <c r="AA179" t="str">
        <f t="shared" si="32"/>
        <v>EJ7475</v>
      </c>
      <c r="AB179" s="12">
        <f>H179+($S$175+$U$175)*H179/SUM($H$175:$H$179)/3.74+$X$175*H179/SUM($H$175:$H$179)</f>
        <v>2152.8441958832705</v>
      </c>
      <c r="AC179" s="11">
        <f t="shared" si="31"/>
        <v>1.4357846339806528</v>
      </c>
    </row>
    <row r="180" spans="4:29" x14ac:dyDescent="0.3">
      <c r="H180" s="19"/>
    </row>
    <row r="181" spans="4:29" x14ac:dyDescent="0.3">
      <c r="D181" s="1" t="s">
        <v>227</v>
      </c>
      <c r="E181" s="1">
        <v>5</v>
      </c>
      <c r="F181" s="1" t="s">
        <v>255</v>
      </c>
      <c r="G181" s="1" t="s">
        <v>85</v>
      </c>
      <c r="H181" s="16">
        <v>218.95</v>
      </c>
      <c r="I181" s="4">
        <v>4090234422</v>
      </c>
      <c r="J181" s="5">
        <v>34</v>
      </c>
      <c r="K181" s="5">
        <f>20*20*18</f>
        <v>7200</v>
      </c>
      <c r="L181" s="5">
        <v>471.13</v>
      </c>
      <c r="M181" s="6">
        <v>45796</v>
      </c>
      <c r="N181" s="6">
        <v>45800</v>
      </c>
      <c r="O181" s="6">
        <v>45800</v>
      </c>
      <c r="P181" s="7">
        <f>O181-M181</f>
        <v>4</v>
      </c>
      <c r="Q181" s="5"/>
      <c r="R181" s="4" t="s">
        <v>256</v>
      </c>
      <c r="S181" s="5">
        <v>889.95</v>
      </c>
      <c r="T181" s="4" t="s">
        <v>257</v>
      </c>
      <c r="U181" s="9">
        <v>3967.74</v>
      </c>
      <c r="V181" s="5"/>
      <c r="W181" s="4" t="s">
        <v>258</v>
      </c>
      <c r="X181" s="5">
        <v>500.14</v>
      </c>
      <c r="Z181" s="1" t="str">
        <f t="shared" si="32"/>
        <v>TAPON</v>
      </c>
      <c r="AA181" t="str">
        <f t="shared" si="32"/>
        <v>KOM-TZ8637</v>
      </c>
      <c r="AB181" s="12">
        <f>H181+($S$181+$U$181)*H181/SUM($H$181:$H$190)/3.74+$X$181*H181/SUM($H$181:$H$190)</f>
        <v>331.22199576294577</v>
      </c>
      <c r="AC181" s="11">
        <f t="shared" si="31"/>
        <v>1.5127745867227484</v>
      </c>
    </row>
    <row r="182" spans="4:29" x14ac:dyDescent="0.3">
      <c r="D182" s="1" t="s">
        <v>259</v>
      </c>
      <c r="E182" s="1">
        <v>8</v>
      </c>
      <c r="F182" s="1" t="s">
        <v>260</v>
      </c>
      <c r="G182" s="1" t="s">
        <v>261</v>
      </c>
      <c r="H182" s="1">
        <v>36</v>
      </c>
      <c r="I182" s="4"/>
      <c r="J182" s="5"/>
      <c r="K182" s="5"/>
      <c r="L182" s="5"/>
      <c r="M182" s="5"/>
      <c r="N182" s="5"/>
      <c r="O182" s="5"/>
      <c r="P182" s="7"/>
      <c r="Q182" s="5"/>
      <c r="R182" s="4"/>
      <c r="S182" s="5"/>
      <c r="T182" s="4"/>
      <c r="U182" s="5"/>
      <c r="V182" s="5"/>
      <c r="W182" s="4"/>
      <c r="X182" s="5"/>
      <c r="Z182" s="1" t="str">
        <f t="shared" si="32"/>
        <v>LIMPIADOR</v>
      </c>
      <c r="AA182" t="str">
        <f t="shared" si="32"/>
        <v xml:space="preserve">CAT-7K9211 </v>
      </c>
      <c r="AB182" s="12">
        <f t="shared" ref="AB182:AB189" si="33">H182+($S$181+$U$181)*H182/SUM($H$181:$H$190)/3.74+$X$181*H182/SUM($H$181:$H$190)</f>
        <v>54.459885122018946</v>
      </c>
      <c r="AC182" s="11">
        <f t="shared" si="31"/>
        <v>1.5127745867227484</v>
      </c>
    </row>
    <row r="183" spans="4:29" x14ac:dyDescent="0.3">
      <c r="D183" s="1" t="s">
        <v>259</v>
      </c>
      <c r="E183" s="1">
        <v>8</v>
      </c>
      <c r="F183" s="1" t="s">
        <v>262</v>
      </c>
      <c r="G183" s="1" t="s">
        <v>143</v>
      </c>
      <c r="H183" s="1">
        <v>231.2</v>
      </c>
      <c r="I183" s="4"/>
      <c r="J183" s="5"/>
      <c r="K183" s="5"/>
      <c r="L183" s="5"/>
      <c r="M183" s="5"/>
      <c r="N183" s="5"/>
      <c r="O183" s="5"/>
      <c r="P183" s="7"/>
      <c r="Q183" s="5"/>
      <c r="R183" s="4"/>
      <c r="S183" s="5"/>
      <c r="T183" s="4"/>
      <c r="U183" s="5"/>
      <c r="V183" s="5"/>
      <c r="W183" s="4"/>
      <c r="X183" s="5"/>
      <c r="Z183" s="1" t="str">
        <f t="shared" si="32"/>
        <v>COJINETE</v>
      </c>
      <c r="AA183" t="str">
        <f t="shared" si="32"/>
        <v>CAT-9J1175</v>
      </c>
      <c r="AB183" s="12">
        <f t="shared" si="33"/>
        <v>349.75348445029948</v>
      </c>
      <c r="AC183" s="11">
        <f t="shared" si="31"/>
        <v>1.5127745867227487</v>
      </c>
    </row>
    <row r="184" spans="4:29" x14ac:dyDescent="0.3">
      <c r="D184" s="1" t="s">
        <v>259</v>
      </c>
      <c r="E184" s="1">
        <v>2</v>
      </c>
      <c r="F184" s="1" t="s">
        <v>263</v>
      </c>
      <c r="G184" s="1" t="s">
        <v>144</v>
      </c>
      <c r="H184" s="1">
        <v>250</v>
      </c>
      <c r="I184" s="4"/>
      <c r="J184" s="5"/>
      <c r="K184" s="5"/>
      <c r="L184" s="5"/>
      <c r="M184" s="5"/>
      <c r="N184" s="5"/>
      <c r="O184" s="5"/>
      <c r="P184" s="7"/>
      <c r="Q184" s="5"/>
      <c r="R184" s="4"/>
      <c r="S184" s="5"/>
      <c r="T184" s="4"/>
      <c r="U184" s="5"/>
      <c r="V184" s="5"/>
      <c r="W184" s="4"/>
      <c r="X184" s="5"/>
      <c r="Z184" s="1" t="str">
        <f t="shared" si="32"/>
        <v>JUEGO DE SELLOS</v>
      </c>
      <c r="AA184" t="str">
        <f t="shared" si="32"/>
        <v>CAT-2459840</v>
      </c>
      <c r="AB184" s="12">
        <f t="shared" si="33"/>
        <v>378.19364668068715</v>
      </c>
      <c r="AC184" s="11">
        <f t="shared" si="31"/>
        <v>1.5127745867227487</v>
      </c>
    </row>
    <row r="185" spans="4:29" x14ac:dyDescent="0.3">
      <c r="D185" s="1">
        <v>332225</v>
      </c>
      <c r="E185" s="1">
        <v>1</v>
      </c>
      <c r="F185" s="1" t="s">
        <v>264</v>
      </c>
      <c r="G185" s="1" t="s">
        <v>265</v>
      </c>
      <c r="H185" s="1">
        <v>22.8</v>
      </c>
      <c r="I185" s="4"/>
      <c r="J185" s="5"/>
      <c r="K185" s="5"/>
      <c r="L185" s="5"/>
      <c r="M185" s="5"/>
      <c r="N185" s="5"/>
      <c r="O185" s="5"/>
      <c r="P185" s="7"/>
      <c r="Q185" s="5"/>
      <c r="R185" s="4"/>
      <c r="S185" s="5"/>
      <c r="T185" s="4"/>
      <c r="U185" s="5"/>
      <c r="V185" s="5"/>
      <c r="W185" s="4"/>
      <c r="X185" s="5"/>
      <c r="Z185" s="1" t="str">
        <f t="shared" si="32"/>
        <v>SELLO</v>
      </c>
      <c r="AA185" t="str">
        <f t="shared" si="32"/>
        <v>KOM-VL7694</v>
      </c>
      <c r="AB185" s="12">
        <f t="shared" si="33"/>
        <v>34.491260577278666</v>
      </c>
      <c r="AC185" s="11">
        <f t="shared" si="31"/>
        <v>1.5127745867227484</v>
      </c>
    </row>
    <row r="186" spans="4:29" x14ac:dyDescent="0.3">
      <c r="D186" s="1">
        <v>333325</v>
      </c>
      <c r="E186" s="1">
        <v>3</v>
      </c>
      <c r="F186" s="1" t="s">
        <v>266</v>
      </c>
      <c r="G186" s="1" t="s">
        <v>111</v>
      </c>
      <c r="H186" s="1">
        <v>94.5</v>
      </c>
      <c r="I186" s="4"/>
      <c r="J186" s="5"/>
      <c r="K186" s="5"/>
      <c r="L186" s="5"/>
      <c r="M186" s="5"/>
      <c r="N186" s="5"/>
      <c r="O186" s="5"/>
      <c r="P186" s="7"/>
      <c r="Q186" s="5"/>
      <c r="R186" s="4"/>
      <c r="S186" s="5"/>
      <c r="T186" s="4"/>
      <c r="U186" s="5"/>
      <c r="V186" s="5"/>
      <c r="W186" s="4"/>
      <c r="X186" s="5"/>
      <c r="Z186" s="1" t="str">
        <f t="shared" si="32"/>
        <v>ANILLO DE RETENCIÓN</v>
      </c>
      <c r="AA186" t="str">
        <f t="shared" si="32"/>
        <v>KOM-VN9351</v>
      </c>
      <c r="AB186" s="12">
        <f t="shared" si="33"/>
        <v>142.95719844529975</v>
      </c>
      <c r="AC186" s="11">
        <f t="shared" si="31"/>
        <v>1.5127745867227487</v>
      </c>
    </row>
    <row r="187" spans="4:29" x14ac:dyDescent="0.3">
      <c r="D187" s="1">
        <v>333325</v>
      </c>
      <c r="E187" s="1">
        <v>1</v>
      </c>
      <c r="F187" s="1" t="s">
        <v>267</v>
      </c>
      <c r="G187" s="1" t="s">
        <v>268</v>
      </c>
      <c r="H187" s="1">
        <v>546.01</v>
      </c>
      <c r="I187" s="4"/>
      <c r="J187" s="5"/>
      <c r="K187" s="5"/>
      <c r="L187" s="5"/>
      <c r="M187" s="5"/>
      <c r="N187" s="5"/>
      <c r="O187" s="5"/>
      <c r="P187" s="7"/>
      <c r="Q187" s="5"/>
      <c r="R187" s="4"/>
      <c r="S187" s="5"/>
      <c r="T187" s="4"/>
      <c r="U187" s="5"/>
      <c r="V187" s="5"/>
      <c r="W187" s="4"/>
      <c r="X187" s="5"/>
      <c r="Z187" s="1" t="str">
        <f t="shared" si="32"/>
        <v>ANILLO DE DESGASTE</v>
      </c>
      <c r="AA187" t="str">
        <f t="shared" si="32"/>
        <v>KOM-PC2584</v>
      </c>
      <c r="AB187" s="12">
        <f t="shared" si="33"/>
        <v>825.99005209648783</v>
      </c>
      <c r="AC187" s="11">
        <f t="shared" si="31"/>
        <v>1.5127745867227484</v>
      </c>
    </row>
    <row r="188" spans="4:29" x14ac:dyDescent="0.3">
      <c r="D188" s="1">
        <v>333325</v>
      </c>
      <c r="E188" s="1">
        <v>1</v>
      </c>
      <c r="F188" s="1" t="s">
        <v>267</v>
      </c>
      <c r="G188" s="1" t="s">
        <v>269</v>
      </c>
      <c r="H188" s="1">
        <v>509.7</v>
      </c>
      <c r="I188" s="4"/>
      <c r="J188" s="5"/>
      <c r="K188" s="5"/>
      <c r="L188" s="5"/>
      <c r="M188" s="5"/>
      <c r="N188" s="5"/>
      <c r="O188" s="5"/>
      <c r="P188" s="7"/>
      <c r="Q188" s="5"/>
      <c r="R188" s="4"/>
      <c r="S188" s="5"/>
      <c r="T188" s="4"/>
      <c r="U188" s="5"/>
      <c r="V188" s="5"/>
      <c r="W188" s="4"/>
      <c r="X188" s="5"/>
      <c r="Z188" s="1" t="str">
        <f t="shared" si="32"/>
        <v>ANILLO DE DESGASTE</v>
      </c>
      <c r="AA188" t="str">
        <f t="shared" si="32"/>
        <v>KOM-PC2585</v>
      </c>
      <c r="AB188" s="12">
        <f t="shared" si="33"/>
        <v>771.06120685258486</v>
      </c>
      <c r="AC188" s="11">
        <f t="shared" si="31"/>
        <v>1.5127745867227484</v>
      </c>
    </row>
    <row r="189" spans="4:29" x14ac:dyDescent="0.3">
      <c r="D189" s="1">
        <v>333325</v>
      </c>
      <c r="E189" s="1">
        <v>1</v>
      </c>
      <c r="F189" s="1" t="s">
        <v>263</v>
      </c>
      <c r="G189" s="1" t="s">
        <v>270</v>
      </c>
      <c r="H189" s="1">
        <v>827.05</v>
      </c>
      <c r="I189" s="4"/>
      <c r="J189" s="5"/>
      <c r="K189" s="5"/>
      <c r="L189" s="5"/>
      <c r="M189" s="5"/>
      <c r="N189" s="5"/>
      <c r="O189" s="5"/>
      <c r="P189" s="7"/>
      <c r="Q189" s="5"/>
      <c r="R189" s="4"/>
      <c r="S189" s="5"/>
      <c r="T189" s="4"/>
      <c r="U189" s="5"/>
      <c r="V189" s="5"/>
      <c r="W189" s="4"/>
      <c r="X189" s="5"/>
      <c r="Z189" s="1" t="str">
        <f t="shared" si="32"/>
        <v>JUEGO DE SELLOS</v>
      </c>
      <c r="AA189" t="str">
        <f t="shared" si="32"/>
        <v>KOM-58E/RS/AK011</v>
      </c>
      <c r="AB189" s="12">
        <f t="shared" si="33"/>
        <v>1251.1402219490492</v>
      </c>
      <c r="AC189" s="11">
        <f t="shared" si="31"/>
        <v>1.5127745867227487</v>
      </c>
    </row>
    <row r="190" spans="4:29" x14ac:dyDescent="0.3">
      <c r="D190" s="1">
        <v>326925</v>
      </c>
      <c r="E190" s="1">
        <v>1</v>
      </c>
      <c r="F190" s="1" t="s">
        <v>263</v>
      </c>
      <c r="G190" s="1" t="s">
        <v>271</v>
      </c>
      <c r="H190" s="1">
        <v>772.13</v>
      </c>
      <c r="I190" s="4"/>
      <c r="J190" s="5"/>
      <c r="K190" s="5"/>
      <c r="L190" s="5"/>
      <c r="M190" s="5"/>
      <c r="N190" s="5"/>
      <c r="O190" s="5"/>
      <c r="P190" s="7"/>
      <c r="Q190" s="5"/>
      <c r="R190" s="4"/>
      <c r="S190" s="5"/>
      <c r="T190" s="4"/>
      <c r="U190" s="5"/>
      <c r="V190" s="5"/>
      <c r="W190" s="4"/>
      <c r="X190" s="5"/>
      <c r="Z190" s="1" t="str">
        <f t="shared" si="32"/>
        <v>JUEGO DE SELLOS</v>
      </c>
      <c r="AA190" t="str">
        <f t="shared" si="32"/>
        <v>KOM-58B/98/01320</v>
      </c>
      <c r="AB190" s="12">
        <f>H190+($S$181+$U$181)*H190/SUM($H$181:$H$190)/3.74+$X$181*H190/SUM($H$181:$H$190)</f>
        <v>1168.0586416462359</v>
      </c>
      <c r="AC190" s="11">
        <f t="shared" si="31"/>
        <v>1.5127745867227487</v>
      </c>
    </row>
    <row r="191" spans="4:29" x14ac:dyDescent="0.3">
      <c r="W191" s="22"/>
      <c r="AC191" s="11"/>
    </row>
    <row r="192" spans="4:29" x14ac:dyDescent="0.3">
      <c r="D192" s="1" t="s">
        <v>272</v>
      </c>
      <c r="E192" s="1">
        <v>8</v>
      </c>
      <c r="F192" s="1" t="s">
        <v>273</v>
      </c>
      <c r="G192" s="1" t="s">
        <v>274</v>
      </c>
      <c r="H192" s="16">
        <f>49.6*1.06</f>
        <v>52.576000000000008</v>
      </c>
      <c r="I192" s="4">
        <v>4775927903</v>
      </c>
      <c r="J192" s="5">
        <v>15</v>
      </c>
      <c r="K192" s="5">
        <f>7*7*6</f>
        <v>294</v>
      </c>
      <c r="L192" s="5">
        <v>212.23</v>
      </c>
      <c r="M192" s="6">
        <v>45797</v>
      </c>
      <c r="N192" s="6">
        <v>45804</v>
      </c>
      <c r="O192" s="6">
        <v>45803</v>
      </c>
      <c r="P192" s="7">
        <f>O192-M192</f>
        <v>6</v>
      </c>
      <c r="Q192" s="10"/>
      <c r="R192" s="4" t="s">
        <v>275</v>
      </c>
      <c r="S192" s="5">
        <v>149.38</v>
      </c>
      <c r="T192" s="4" t="s">
        <v>276</v>
      </c>
      <c r="U192" s="5">
        <v>506</v>
      </c>
      <c r="V192" s="10"/>
      <c r="W192" s="4" t="s">
        <v>258</v>
      </c>
      <c r="X192" s="5">
        <v>179.85</v>
      </c>
      <c r="Z192" s="1" t="str">
        <f t="shared" si="32"/>
        <v>Washer</v>
      </c>
      <c r="AA192" t="str">
        <f t="shared" si="32"/>
        <v>WA5659</v>
      </c>
      <c r="AB192" s="12">
        <f>H192+($S$192+$U$192)*H192/SUM($H$192:$H$196)/3.74+$X$192*H192/SUM($H$192:$H$196)</f>
        <v>88.654807334143101</v>
      </c>
      <c r="AC192" s="11">
        <f t="shared" si="31"/>
        <v>1.6862219897699158</v>
      </c>
    </row>
    <row r="193" spans="4:29" x14ac:dyDescent="0.3">
      <c r="D193" s="1" t="s">
        <v>272</v>
      </c>
      <c r="E193" s="1">
        <v>4</v>
      </c>
      <c r="F193" s="1" t="s">
        <v>277</v>
      </c>
      <c r="G193" s="1" t="s">
        <v>278</v>
      </c>
      <c r="H193" s="16">
        <f>135.12*1.06</f>
        <v>143.22720000000001</v>
      </c>
      <c r="I193" s="4"/>
      <c r="J193" s="5"/>
      <c r="K193" s="5"/>
      <c r="L193" s="5"/>
      <c r="M193" s="5"/>
      <c r="N193" s="5"/>
      <c r="O193" s="5"/>
      <c r="P193" s="7"/>
      <c r="Q193" s="10"/>
      <c r="R193" s="4"/>
      <c r="S193" s="5"/>
      <c r="T193" s="4"/>
      <c r="U193" s="5"/>
      <c r="V193" s="10"/>
      <c r="W193" s="4"/>
      <c r="X193" s="5"/>
      <c r="Z193" s="1" t="str">
        <f t="shared" si="32"/>
        <v>Cap Screw</v>
      </c>
      <c r="AA193" t="str">
        <f t="shared" si="32"/>
        <v>WA0961</v>
      </c>
      <c r="AB193" s="12">
        <f>H193+($S$192+$U$192)*H193/SUM($H$192:$H$196)/3.74+$X$192*H193/SUM($H$192:$H$196)</f>
        <v>241.51285417317371</v>
      </c>
      <c r="AC193" s="11">
        <f t="shared" si="31"/>
        <v>1.6862219897699158</v>
      </c>
    </row>
    <row r="194" spans="4:29" x14ac:dyDescent="0.3">
      <c r="D194" s="1" t="s">
        <v>272</v>
      </c>
      <c r="E194" s="1">
        <v>8</v>
      </c>
      <c r="F194" s="1" t="s">
        <v>279</v>
      </c>
      <c r="G194" s="1" t="s">
        <v>280</v>
      </c>
      <c r="H194" s="16">
        <f>36.56*1.06</f>
        <v>38.753600000000006</v>
      </c>
      <c r="I194" s="4"/>
      <c r="J194" s="5"/>
      <c r="K194" s="5"/>
      <c r="L194" s="5"/>
      <c r="M194" s="5"/>
      <c r="N194" s="5"/>
      <c r="O194" s="5"/>
      <c r="P194" s="7"/>
      <c r="Q194" s="10"/>
      <c r="R194" s="4"/>
      <c r="S194" s="5"/>
      <c r="T194" s="4"/>
      <c r="U194" s="5"/>
      <c r="V194" s="10"/>
      <c r="W194" s="4"/>
      <c r="X194" s="5"/>
      <c r="Z194" s="1" t="str">
        <f t="shared" ref="Z194:AA209" si="34">F194</f>
        <v>Screw</v>
      </c>
      <c r="AA194" t="str">
        <f t="shared" si="34"/>
        <v>01643-31845</v>
      </c>
      <c r="AB194" s="12">
        <f>H194+($S$192+$U$192)*H194/SUM($H$192:$H$196)/3.74+$X$192*H194/SUM($H$192:$H$196)</f>
        <v>65.347172502747412</v>
      </c>
      <c r="AC194" s="11">
        <f t="shared" si="31"/>
        <v>1.6862219897699156</v>
      </c>
    </row>
    <row r="195" spans="4:29" x14ac:dyDescent="0.3">
      <c r="D195" s="1" t="s">
        <v>272</v>
      </c>
      <c r="E195" s="1">
        <v>8</v>
      </c>
      <c r="F195" s="1" t="s">
        <v>128</v>
      </c>
      <c r="G195" s="1" t="s">
        <v>281</v>
      </c>
      <c r="H195" s="16">
        <f>49.76*1.06</f>
        <v>52.745600000000003</v>
      </c>
      <c r="I195" s="4"/>
      <c r="J195" s="5"/>
      <c r="K195" s="5"/>
      <c r="L195" s="5"/>
      <c r="M195" s="5"/>
      <c r="N195" s="5"/>
      <c r="O195" s="5"/>
      <c r="P195" s="7"/>
      <c r="Q195" s="10"/>
      <c r="R195" s="4"/>
      <c r="S195" s="5"/>
      <c r="T195" s="4"/>
      <c r="U195" s="5"/>
      <c r="V195" s="10"/>
      <c r="W195" s="4"/>
      <c r="X195" s="5"/>
      <c r="Z195" s="1" t="str">
        <f t="shared" si="34"/>
        <v>Bolt</v>
      </c>
      <c r="AA195" t="str">
        <f t="shared" si="34"/>
        <v>01010-81865</v>
      </c>
      <c r="AB195" s="12">
        <f>H195+($S$192+$U$192)*H195/SUM($H$192:$H$196)/3.74+$X$192*H195/SUM($H$192:$H$196)</f>
        <v>88.940790583608077</v>
      </c>
      <c r="AC195" s="11">
        <f t="shared" si="31"/>
        <v>1.6862219897699158</v>
      </c>
    </row>
    <row r="196" spans="4:29" x14ac:dyDescent="0.3">
      <c r="D196" s="1" t="s">
        <v>282</v>
      </c>
      <c r="E196" s="1">
        <v>4</v>
      </c>
      <c r="F196" s="1" t="s">
        <v>283</v>
      </c>
      <c r="G196" s="1" t="s">
        <v>284</v>
      </c>
      <c r="H196" s="16">
        <f>217.12*1.06</f>
        <v>230.14720000000003</v>
      </c>
      <c r="I196" s="4"/>
      <c r="J196" s="5"/>
      <c r="K196" s="5"/>
      <c r="L196" s="5"/>
      <c r="M196" s="5"/>
      <c r="N196" s="5"/>
      <c r="O196" s="5"/>
      <c r="P196" s="7"/>
      <c r="Q196" s="10"/>
      <c r="R196" s="4"/>
      <c r="S196" s="5"/>
      <c r="T196" s="4"/>
      <c r="U196" s="5"/>
      <c r="V196" s="10"/>
      <c r="W196" s="4"/>
      <c r="X196" s="5"/>
      <c r="Z196" s="1" t="str">
        <f t="shared" si="34"/>
        <v>Imp. Sockt, 1"Drive x 3/4" Deep-12 Poin</v>
      </c>
      <c r="AA196" t="str">
        <f t="shared" si="34"/>
        <v>4224D</v>
      </c>
      <c r="AB196" s="12">
        <f>H196+($S$192+$U$192)*H196/SUM($H$192:$H$196)/3.74+$X$192*H196/SUM($H$192:$H$196)</f>
        <v>388.07926952397486</v>
      </c>
      <c r="AC196" s="11">
        <f t="shared" si="31"/>
        <v>1.686221989769916</v>
      </c>
    </row>
    <row r="197" spans="4:29" x14ac:dyDescent="0.3">
      <c r="W197" s="22"/>
    </row>
    <row r="198" spans="4:29" x14ac:dyDescent="0.3">
      <c r="D198" s="1" t="s">
        <v>285</v>
      </c>
      <c r="E198" s="1">
        <v>3</v>
      </c>
      <c r="F198" s="1" t="s">
        <v>286</v>
      </c>
      <c r="G198" s="1" t="s">
        <v>101</v>
      </c>
      <c r="H198" s="1">
        <v>105.36</v>
      </c>
      <c r="I198" s="4">
        <v>7789800616</v>
      </c>
      <c r="J198" s="5">
        <v>56</v>
      </c>
      <c r="K198" s="5">
        <f>18*18*13</f>
        <v>4212</v>
      </c>
      <c r="L198" s="5">
        <v>492.69</v>
      </c>
      <c r="M198" s="6">
        <v>45803</v>
      </c>
      <c r="N198" s="6">
        <v>45807</v>
      </c>
      <c r="O198" s="6">
        <v>45806</v>
      </c>
      <c r="P198" s="5">
        <f>O198-M198</f>
        <v>3</v>
      </c>
      <c r="Q198" s="5"/>
      <c r="R198" s="4" t="s">
        <v>287</v>
      </c>
      <c r="S198" s="5">
        <v>149.19999999999999</v>
      </c>
      <c r="T198" s="4" t="s">
        <v>288</v>
      </c>
      <c r="U198" s="9">
        <v>1396</v>
      </c>
      <c r="V198" s="5"/>
      <c r="W198" s="4" t="s">
        <v>258</v>
      </c>
      <c r="X198" s="5">
        <v>420.92</v>
      </c>
      <c r="Z198" s="1" t="str">
        <f t="shared" si="34"/>
        <v>SEAL KIT</v>
      </c>
      <c r="AA198" t="str">
        <f t="shared" si="34"/>
        <v>CAT-2341948</v>
      </c>
      <c r="AB198" s="12">
        <f>H198+($S$198+$U$198)*H198/SUM($H$198:$H$213)/3.74+$X$198*H198/SUM($H$198:$H$213)</f>
        <v>165.28373027707937</v>
      </c>
      <c r="AC198" s="11">
        <f t="shared" si="31"/>
        <v>1.5687521856214823</v>
      </c>
    </row>
    <row r="199" spans="4:29" x14ac:dyDescent="0.3">
      <c r="D199" s="1" t="s">
        <v>289</v>
      </c>
      <c r="E199" s="1">
        <v>4</v>
      </c>
      <c r="F199" s="1" t="s">
        <v>240</v>
      </c>
      <c r="G199" s="1" t="s">
        <v>290</v>
      </c>
      <c r="H199" s="1">
        <v>68</v>
      </c>
      <c r="I199" s="4"/>
      <c r="J199" s="5"/>
      <c r="K199" s="5"/>
      <c r="L199" s="5"/>
      <c r="M199" s="5"/>
      <c r="N199" s="5"/>
      <c r="O199" s="5"/>
      <c r="P199" s="5"/>
      <c r="Q199" s="5"/>
      <c r="R199" s="4"/>
      <c r="S199" s="5"/>
      <c r="T199" s="4"/>
      <c r="U199" s="5"/>
      <c r="V199" s="5"/>
      <c r="W199" s="4"/>
      <c r="X199" s="5"/>
      <c r="Z199" s="1" t="str">
        <f t="shared" si="34"/>
        <v>REPLACEMENT BEARING SLEEVE</v>
      </c>
      <c r="AA199" t="str">
        <f t="shared" si="34"/>
        <v>CAT-7J9694</v>
      </c>
      <c r="AB199" s="12">
        <f>H199+($S$198+$U$198)*H199/SUM($H$198:$H$213)/3.74+$X$198*H199/SUM($H$198:$H$213)</f>
        <v>106.67514862226079</v>
      </c>
      <c r="AC199" s="11">
        <f t="shared" si="31"/>
        <v>1.5687521856214823</v>
      </c>
    </row>
    <row r="200" spans="4:29" x14ac:dyDescent="0.3">
      <c r="D200" s="1">
        <v>333525</v>
      </c>
      <c r="E200" s="1">
        <v>1</v>
      </c>
      <c r="F200" s="1" t="s">
        <v>286</v>
      </c>
      <c r="G200" s="1" t="s">
        <v>77</v>
      </c>
      <c r="H200" s="1">
        <v>48.34</v>
      </c>
      <c r="I200" s="4"/>
      <c r="J200" s="5"/>
      <c r="K200" s="5"/>
      <c r="L200" s="5"/>
      <c r="M200" s="5"/>
      <c r="N200" s="5"/>
      <c r="O200" s="5"/>
      <c r="P200" s="5"/>
      <c r="Q200" s="5"/>
      <c r="R200" s="4"/>
      <c r="S200" s="5"/>
      <c r="T200" s="4"/>
      <c r="U200" s="5"/>
      <c r="V200" s="5"/>
      <c r="W200" s="4"/>
      <c r="X200" s="5"/>
      <c r="Z200" s="1" t="str">
        <f t="shared" si="34"/>
        <v>SEAL KIT</v>
      </c>
      <c r="AA200" t="str">
        <f t="shared" si="34"/>
        <v>CAT-4388593</v>
      </c>
      <c r="AB200" s="12">
        <f t="shared" ref="AB200:AB213" si="35">H200+($S$198+$U$198)*H200/SUM($H$198:$H$213)/3.74+$X$198*H200/SUM($H$198:$H$213)</f>
        <v>75.833480652942455</v>
      </c>
      <c r="AC200" s="11">
        <f t="shared" si="31"/>
        <v>1.5687521856214821</v>
      </c>
    </row>
    <row r="201" spans="4:29" x14ac:dyDescent="0.3">
      <c r="D201" s="1">
        <v>333425</v>
      </c>
      <c r="E201" s="1">
        <v>2</v>
      </c>
      <c r="F201" s="1" t="s">
        <v>291</v>
      </c>
      <c r="G201" s="1" t="s">
        <v>292</v>
      </c>
      <c r="H201" s="1">
        <v>12.2</v>
      </c>
      <c r="I201" s="4"/>
      <c r="J201" s="5"/>
      <c r="K201" s="5"/>
      <c r="L201" s="5"/>
      <c r="M201" s="5"/>
      <c r="N201" s="5"/>
      <c r="O201" s="5"/>
      <c r="P201" s="5"/>
      <c r="Q201" s="5"/>
      <c r="R201" s="4"/>
      <c r="S201" s="5"/>
      <c r="T201" s="4"/>
      <c r="U201" s="5"/>
      <c r="V201" s="5"/>
      <c r="W201" s="4"/>
      <c r="X201" s="5"/>
      <c r="Z201" s="1" t="str">
        <f t="shared" si="34"/>
        <v>PIN WIPER</v>
      </c>
      <c r="AA201" t="str">
        <f t="shared" si="34"/>
        <v>CAT-8T7535</v>
      </c>
      <c r="AB201" s="12">
        <f t="shared" si="35"/>
        <v>19.138776664582082</v>
      </c>
      <c r="AC201" s="11">
        <f t="shared" si="31"/>
        <v>1.5687521856214821</v>
      </c>
    </row>
    <row r="202" spans="4:29" x14ac:dyDescent="0.3">
      <c r="D202" s="1">
        <v>329825</v>
      </c>
      <c r="E202" s="1">
        <v>4</v>
      </c>
      <c r="F202" s="1" t="s">
        <v>218</v>
      </c>
      <c r="G202" s="1" t="s">
        <v>90</v>
      </c>
      <c r="H202" s="1">
        <v>84.8</v>
      </c>
      <c r="I202" s="4"/>
      <c r="J202" s="5"/>
      <c r="K202" s="5"/>
      <c r="L202" s="5"/>
      <c r="M202" s="5"/>
      <c r="N202" s="5"/>
      <c r="O202" s="5"/>
      <c r="P202" s="5"/>
      <c r="Q202" s="5"/>
      <c r="R202" s="4"/>
      <c r="S202" s="5"/>
      <c r="T202" s="4"/>
      <c r="U202" s="5"/>
      <c r="V202" s="5"/>
      <c r="W202" s="4"/>
      <c r="X202" s="5"/>
      <c r="Z202" s="1" t="str">
        <f t="shared" si="34"/>
        <v>REPLACEMENT SNAP RING</v>
      </c>
      <c r="AA202" t="str">
        <f t="shared" si="34"/>
        <v>KOM-VN9350</v>
      </c>
      <c r="AB202" s="12">
        <f t="shared" si="35"/>
        <v>133.03018534070168</v>
      </c>
      <c r="AC202" s="11">
        <f t="shared" si="31"/>
        <v>1.5687521856214821</v>
      </c>
    </row>
    <row r="203" spans="4:29" x14ac:dyDescent="0.3">
      <c r="D203" s="1">
        <v>329825</v>
      </c>
      <c r="E203" s="1">
        <v>4</v>
      </c>
      <c r="F203" s="1" t="s">
        <v>218</v>
      </c>
      <c r="G203" s="1" t="s">
        <v>94</v>
      </c>
      <c r="H203" s="1">
        <v>120</v>
      </c>
      <c r="I203" s="4"/>
      <c r="J203" s="5"/>
      <c r="K203" s="5"/>
      <c r="L203" s="5"/>
      <c r="M203" s="5"/>
      <c r="N203" s="5"/>
      <c r="O203" s="5"/>
      <c r="P203" s="5"/>
      <c r="Q203" s="5"/>
      <c r="R203" s="4"/>
      <c r="S203" s="5"/>
      <c r="T203" s="4"/>
      <c r="U203" s="5"/>
      <c r="V203" s="5"/>
      <c r="W203" s="4"/>
      <c r="X203" s="5"/>
      <c r="Z203" s="1" t="str">
        <f t="shared" si="34"/>
        <v>REPLACEMENT SNAP RING</v>
      </c>
      <c r="AA203" t="str">
        <f t="shared" si="34"/>
        <v>KOM-VN9353</v>
      </c>
      <c r="AB203" s="12">
        <f t="shared" si="35"/>
        <v>188.25026227457786</v>
      </c>
      <c r="AC203" s="11">
        <f t="shared" si="31"/>
        <v>1.5687521856214821</v>
      </c>
    </row>
    <row r="204" spans="4:29" x14ac:dyDescent="0.3">
      <c r="D204" s="1">
        <v>334425</v>
      </c>
      <c r="E204" s="1">
        <v>1</v>
      </c>
      <c r="F204" s="1" t="s">
        <v>240</v>
      </c>
      <c r="G204" s="1" t="s">
        <v>293</v>
      </c>
      <c r="H204" s="1">
        <v>25.32</v>
      </c>
      <c r="I204" s="4"/>
      <c r="J204" s="5"/>
      <c r="K204" s="5"/>
      <c r="L204" s="5"/>
      <c r="M204" s="5"/>
      <c r="N204" s="5"/>
      <c r="O204" s="5"/>
      <c r="P204" s="5"/>
      <c r="Q204" s="5"/>
      <c r="R204" s="4"/>
      <c r="S204" s="5"/>
      <c r="T204" s="4"/>
      <c r="U204" s="5"/>
      <c r="V204" s="5"/>
      <c r="W204" s="4"/>
      <c r="X204" s="5"/>
      <c r="Z204" s="1" t="str">
        <f t="shared" si="34"/>
        <v>REPLACEMENT BEARING SLEEVE</v>
      </c>
      <c r="AA204" t="str">
        <f t="shared" si="34"/>
        <v>CAT-2K4507</v>
      </c>
      <c r="AB204" s="12">
        <f t="shared" si="35"/>
        <v>39.720805339935929</v>
      </c>
      <c r="AC204" s="11">
        <f t="shared" si="31"/>
        <v>1.5687521856214821</v>
      </c>
    </row>
    <row r="205" spans="4:29" x14ac:dyDescent="0.3">
      <c r="D205" s="1">
        <v>334425</v>
      </c>
      <c r="E205" s="1">
        <v>2</v>
      </c>
      <c r="F205" s="1" t="s">
        <v>240</v>
      </c>
      <c r="G205" s="1" t="s">
        <v>294</v>
      </c>
      <c r="H205" s="1">
        <v>51.44</v>
      </c>
      <c r="I205" s="4"/>
      <c r="J205" s="5"/>
      <c r="K205" s="5"/>
      <c r="L205" s="5"/>
      <c r="M205" s="5"/>
      <c r="N205" s="5"/>
      <c r="O205" s="5"/>
      <c r="P205" s="5"/>
      <c r="Q205" s="5"/>
      <c r="R205" s="4"/>
      <c r="S205" s="5"/>
      <c r="T205" s="4"/>
      <c r="U205" s="5"/>
      <c r="V205" s="5"/>
      <c r="W205" s="4"/>
      <c r="X205" s="5"/>
      <c r="Z205" s="1" t="str">
        <f t="shared" si="34"/>
        <v>REPLACEMENT BEARING SLEEVE</v>
      </c>
      <c r="AA205" t="str">
        <f t="shared" si="34"/>
        <v>CAT-4K3128</v>
      </c>
      <c r="AB205" s="12">
        <f t="shared" si="35"/>
        <v>80.69661242836905</v>
      </c>
      <c r="AC205" s="11">
        <f t="shared" si="31"/>
        <v>1.5687521856214823</v>
      </c>
    </row>
    <row r="206" spans="4:29" x14ac:dyDescent="0.3">
      <c r="D206" s="1">
        <v>333425</v>
      </c>
      <c r="E206" s="1">
        <v>2</v>
      </c>
      <c r="F206" s="1" t="s">
        <v>240</v>
      </c>
      <c r="G206" s="1" t="s">
        <v>133</v>
      </c>
      <c r="H206" s="1">
        <v>29</v>
      </c>
      <c r="I206" s="4"/>
      <c r="J206" s="5"/>
      <c r="K206" s="5"/>
      <c r="L206" s="5"/>
      <c r="M206" s="5"/>
      <c r="N206" s="5"/>
      <c r="O206" s="5"/>
      <c r="P206" s="5"/>
      <c r="Q206" s="5"/>
      <c r="R206" s="4"/>
      <c r="S206" s="5"/>
      <c r="T206" s="4"/>
      <c r="U206" s="5"/>
      <c r="V206" s="5"/>
      <c r="W206" s="4"/>
      <c r="X206" s="5"/>
      <c r="Z206" s="1" t="str">
        <f t="shared" si="34"/>
        <v>REPLACEMENT BEARING SLEEVE</v>
      </c>
      <c r="AA206" t="str">
        <f t="shared" si="34"/>
        <v>CAT-1353161</v>
      </c>
      <c r="AB206" s="12">
        <f t="shared" si="35"/>
        <v>45.493813383022982</v>
      </c>
      <c r="AC206" s="11">
        <f t="shared" si="31"/>
        <v>1.5687521856214821</v>
      </c>
    </row>
    <row r="207" spans="4:29" x14ac:dyDescent="0.3">
      <c r="D207" s="1" t="s">
        <v>295</v>
      </c>
      <c r="E207" s="1">
        <v>8</v>
      </c>
      <c r="F207" s="1" t="s">
        <v>296</v>
      </c>
      <c r="G207" s="1" t="s">
        <v>158</v>
      </c>
      <c r="H207" s="1">
        <v>136</v>
      </c>
      <c r="I207" s="4"/>
      <c r="J207" s="5"/>
      <c r="K207" s="5"/>
      <c r="L207" s="5"/>
      <c r="M207" s="5"/>
      <c r="N207" s="5"/>
      <c r="O207" s="5"/>
      <c r="P207" s="5"/>
      <c r="Q207" s="5"/>
      <c r="R207" s="4"/>
      <c r="S207" s="5"/>
      <c r="T207" s="4"/>
      <c r="U207" s="5"/>
      <c r="V207" s="5"/>
      <c r="W207" s="4"/>
      <c r="X207" s="5"/>
      <c r="Z207" s="1" t="str">
        <f t="shared" si="34"/>
        <v>PIN SEAL</v>
      </c>
      <c r="AA207" t="str">
        <f t="shared" si="34"/>
        <v>CAT-1661495</v>
      </c>
      <c r="AB207" s="12">
        <f t="shared" si="35"/>
        <v>213.35029724452158</v>
      </c>
      <c r="AC207" s="11">
        <f t="shared" si="31"/>
        <v>1.5687521856214823</v>
      </c>
    </row>
    <row r="208" spans="4:29" x14ac:dyDescent="0.3">
      <c r="D208" s="1" t="s">
        <v>295</v>
      </c>
      <c r="E208" s="1">
        <v>4</v>
      </c>
      <c r="F208" s="1" t="s">
        <v>240</v>
      </c>
      <c r="G208" s="1" t="s">
        <v>297</v>
      </c>
      <c r="H208" s="1">
        <v>192</v>
      </c>
      <c r="I208" s="4"/>
      <c r="J208" s="5"/>
      <c r="K208" s="5"/>
      <c r="L208" s="5"/>
      <c r="M208" s="5"/>
      <c r="N208" s="5"/>
      <c r="O208" s="5"/>
      <c r="P208" s="5"/>
      <c r="Q208" s="5"/>
      <c r="R208" s="4"/>
      <c r="S208" s="5"/>
      <c r="T208" s="4"/>
      <c r="U208" s="5"/>
      <c r="V208" s="5"/>
      <c r="W208" s="4"/>
      <c r="X208" s="5"/>
      <c r="Z208" s="1" t="str">
        <f t="shared" si="34"/>
        <v>REPLACEMENT BEARING SLEEVE</v>
      </c>
      <c r="AA208" t="str">
        <f t="shared" si="34"/>
        <v>CAT-6E0804</v>
      </c>
      <c r="AB208" s="12">
        <f t="shared" si="35"/>
        <v>301.20041963932459</v>
      </c>
      <c r="AC208" s="11">
        <f t="shared" si="31"/>
        <v>1.5687521856214823</v>
      </c>
    </row>
    <row r="209" spans="3:29" x14ac:dyDescent="0.3">
      <c r="D209" s="1" t="s">
        <v>295</v>
      </c>
      <c r="E209" s="1">
        <v>2</v>
      </c>
      <c r="F209" s="1" t="s">
        <v>286</v>
      </c>
      <c r="G209" s="1" t="s">
        <v>159</v>
      </c>
      <c r="H209" s="1">
        <v>130</v>
      </c>
      <c r="I209" s="4"/>
      <c r="J209" s="5"/>
      <c r="K209" s="5"/>
      <c r="L209" s="5"/>
      <c r="M209" s="5"/>
      <c r="N209" s="5"/>
      <c r="O209" s="5"/>
      <c r="P209" s="5"/>
      <c r="Q209" s="5"/>
      <c r="R209" s="4"/>
      <c r="S209" s="5"/>
      <c r="T209" s="4"/>
      <c r="U209" s="5"/>
      <c r="V209" s="5"/>
      <c r="W209" s="4"/>
      <c r="X209" s="5"/>
      <c r="Z209" s="1" t="str">
        <f t="shared" si="34"/>
        <v>SEAL KIT</v>
      </c>
      <c r="AA209" t="str">
        <f t="shared" si="34"/>
        <v>CAT-2297188</v>
      </c>
      <c r="AB209" s="12">
        <f t="shared" si="35"/>
        <v>203.93778413079269</v>
      </c>
      <c r="AC209" s="11">
        <f t="shared" si="31"/>
        <v>1.5687521856214823</v>
      </c>
    </row>
    <row r="210" spans="3:29" x14ac:dyDescent="0.3">
      <c r="D210" s="1">
        <v>330425</v>
      </c>
      <c r="E210" s="1">
        <v>1</v>
      </c>
      <c r="F210" s="1" t="s">
        <v>298</v>
      </c>
      <c r="G210" s="1" t="s">
        <v>299</v>
      </c>
      <c r="H210" s="1">
        <v>17.190000000000001</v>
      </c>
      <c r="I210" s="4"/>
      <c r="J210" s="5"/>
      <c r="K210" s="5"/>
      <c r="L210" s="5"/>
      <c r="M210" s="5"/>
      <c r="N210" s="5"/>
      <c r="O210" s="5"/>
      <c r="P210" s="5"/>
      <c r="Q210" s="5"/>
      <c r="R210" s="4"/>
      <c r="S210" s="5"/>
      <c r="T210" s="4"/>
      <c r="U210" s="5"/>
      <c r="V210" s="5"/>
      <c r="W210" s="4"/>
      <c r="X210" s="5"/>
      <c r="Z210" s="1" t="str">
        <f t="shared" ref="Z210:AA231" si="36">F210</f>
        <v>REPLACEMENT ROD BEARING</v>
      </c>
      <c r="AA210" t="str">
        <f t="shared" si="36"/>
        <v>CAT-1140763</v>
      </c>
      <c r="AB210" s="12">
        <f t="shared" si="35"/>
        <v>26.966850070833281</v>
      </c>
      <c r="AC210" s="11">
        <f t="shared" si="31"/>
        <v>1.5687521856214823</v>
      </c>
    </row>
    <row r="211" spans="3:29" x14ac:dyDescent="0.3">
      <c r="D211" s="1">
        <v>330425</v>
      </c>
      <c r="E211" s="1">
        <v>1</v>
      </c>
      <c r="F211" s="1" t="s">
        <v>240</v>
      </c>
      <c r="G211" s="1" t="s">
        <v>95</v>
      </c>
      <c r="H211" s="1">
        <v>203.65</v>
      </c>
      <c r="I211" s="4"/>
      <c r="J211" s="5"/>
      <c r="K211" s="5"/>
      <c r="L211" s="5"/>
      <c r="M211" s="5"/>
      <c r="N211" s="5"/>
      <c r="O211" s="5"/>
      <c r="P211" s="5"/>
      <c r="Q211" s="5"/>
      <c r="R211" s="4"/>
      <c r="S211" s="5"/>
      <c r="T211" s="4"/>
      <c r="U211" s="5"/>
      <c r="V211" s="5"/>
      <c r="W211" s="4"/>
      <c r="X211" s="5"/>
      <c r="Z211" s="1" t="str">
        <f t="shared" si="36"/>
        <v>REPLACEMENT BEARING SLEEVE</v>
      </c>
      <c r="AA211" t="str">
        <f t="shared" si="36"/>
        <v>CAT-1483381</v>
      </c>
      <c r="AB211" s="12">
        <f t="shared" si="35"/>
        <v>319.47638260181486</v>
      </c>
      <c r="AC211" s="11">
        <f t="shared" si="31"/>
        <v>1.5687521856214821</v>
      </c>
    </row>
    <row r="212" spans="3:29" x14ac:dyDescent="0.3">
      <c r="D212" s="1" t="s">
        <v>227</v>
      </c>
      <c r="E212" s="1">
        <v>4</v>
      </c>
      <c r="F212" s="1" t="s">
        <v>240</v>
      </c>
      <c r="G212" s="1" t="s">
        <v>290</v>
      </c>
      <c r="H212" s="1">
        <v>63.2</v>
      </c>
      <c r="I212" s="4"/>
      <c r="J212" s="5"/>
      <c r="K212" s="5"/>
      <c r="L212" s="5"/>
      <c r="M212" s="5"/>
      <c r="N212" s="5"/>
      <c r="O212" s="5"/>
      <c r="P212" s="5"/>
      <c r="Q212" s="5"/>
      <c r="R212" s="4"/>
      <c r="S212" s="5"/>
      <c r="T212" s="4"/>
      <c r="U212" s="5"/>
      <c r="V212" s="5"/>
      <c r="W212" s="4"/>
      <c r="X212" s="5"/>
      <c r="Z212" s="1" t="str">
        <f t="shared" si="36"/>
        <v>REPLACEMENT BEARING SLEEVE</v>
      </c>
      <c r="AA212" t="str">
        <f t="shared" si="36"/>
        <v>CAT-7J9694</v>
      </c>
      <c r="AB212" s="12">
        <f t="shared" si="35"/>
        <v>99.145138131277676</v>
      </c>
      <c r="AC212" s="11">
        <f t="shared" si="31"/>
        <v>1.5687521856214821</v>
      </c>
    </row>
    <row r="213" spans="3:29" x14ac:dyDescent="0.3">
      <c r="D213" s="1">
        <v>331625</v>
      </c>
      <c r="E213" s="1">
        <v>1</v>
      </c>
      <c r="F213" s="1" t="s">
        <v>286</v>
      </c>
      <c r="G213" s="1" t="s">
        <v>300</v>
      </c>
      <c r="H213" s="1">
        <v>180</v>
      </c>
      <c r="I213" s="4"/>
      <c r="J213" s="5"/>
      <c r="K213" s="5"/>
      <c r="L213" s="5"/>
      <c r="M213" s="5"/>
      <c r="N213" s="5"/>
      <c r="O213" s="5"/>
      <c r="P213" s="5"/>
      <c r="Q213" s="5"/>
      <c r="R213" s="4"/>
      <c r="S213" s="5"/>
      <c r="T213" s="4"/>
      <c r="U213" s="5"/>
      <c r="V213" s="5"/>
      <c r="W213" s="4"/>
      <c r="X213" s="5"/>
      <c r="Z213" s="1" t="str">
        <f t="shared" si="36"/>
        <v>SEAL KIT</v>
      </c>
      <c r="AA213" t="str">
        <f t="shared" si="36"/>
        <v>CAT-2463431</v>
      </c>
      <c r="AB213" s="12">
        <f t="shared" si="35"/>
        <v>282.37539341186681</v>
      </c>
      <c r="AC213" s="11">
        <f t="shared" si="31"/>
        <v>1.5687521856214823</v>
      </c>
    </row>
    <row r="215" spans="3:29" s="22" customFormat="1" ht="72" x14ac:dyDescent="0.3">
      <c r="C215" s="2"/>
      <c r="D215" s="26" t="s">
        <v>301</v>
      </c>
      <c r="E215" s="2">
        <v>16</v>
      </c>
      <c r="F215" s="2" t="s">
        <v>218</v>
      </c>
      <c r="G215" s="2" t="s">
        <v>302</v>
      </c>
      <c r="H215" s="2">
        <v>400</v>
      </c>
      <c r="I215" s="4">
        <v>6270583432</v>
      </c>
      <c r="J215" s="5">
        <v>72</v>
      </c>
      <c r="K215" s="5">
        <f>20*20*11</f>
        <v>4400</v>
      </c>
      <c r="L215" s="5">
        <v>556.91999999999996</v>
      </c>
      <c r="M215" s="6">
        <v>45810</v>
      </c>
      <c r="N215" s="6">
        <v>45813</v>
      </c>
      <c r="O215" s="6">
        <v>45812</v>
      </c>
      <c r="P215" s="5">
        <f>O215-M215</f>
        <v>2</v>
      </c>
      <c r="Q215" s="10"/>
      <c r="R215" s="4" t="s">
        <v>303</v>
      </c>
      <c r="S215" s="5">
        <v>147.78</v>
      </c>
      <c r="T215" s="4" t="s">
        <v>304</v>
      </c>
      <c r="U215" s="9">
        <v>1681</v>
      </c>
      <c r="V215" s="5"/>
      <c r="W215" s="4" t="s">
        <v>305</v>
      </c>
      <c r="X215" s="5">
        <v>471.97</v>
      </c>
      <c r="Z215" s="2" t="str">
        <f t="shared" si="36"/>
        <v>REPLACEMENT SNAP RING</v>
      </c>
      <c r="AA215" s="22" t="str">
        <f t="shared" si="36"/>
        <v xml:space="preserve">KOM-SV5921 </v>
      </c>
      <c r="AB215" s="12">
        <f>H215+($S$215+$U$215)*H215/SUM($H$215:$H$231)/3.74+$X$215*H215/SUM($H$215:$H$231)</f>
        <v>613.33790882717119</v>
      </c>
      <c r="AC215" s="27">
        <f t="shared" si="31"/>
        <v>1.5333447720679281</v>
      </c>
    </row>
    <row r="216" spans="3:29" s="22" customFormat="1" ht="72" x14ac:dyDescent="0.3">
      <c r="C216" s="2"/>
      <c r="D216" s="26" t="s">
        <v>301</v>
      </c>
      <c r="E216" s="2">
        <v>4</v>
      </c>
      <c r="F216" s="2" t="s">
        <v>306</v>
      </c>
      <c r="G216" s="2" t="s">
        <v>85</v>
      </c>
      <c r="H216" s="2">
        <v>175.16</v>
      </c>
      <c r="I216" s="4"/>
      <c r="J216" s="5"/>
      <c r="K216" s="5"/>
      <c r="L216" s="5"/>
      <c r="M216" s="6"/>
      <c r="N216" s="6"/>
      <c r="O216" s="5"/>
      <c r="P216" s="5"/>
      <c r="Q216" s="10"/>
      <c r="R216" s="4"/>
      <c r="S216" s="5"/>
      <c r="T216" s="4"/>
      <c r="U216" s="5"/>
      <c r="V216" s="5"/>
      <c r="W216" s="4"/>
      <c r="X216" s="5"/>
      <c r="Z216" s="2" t="str">
        <f t="shared" si="36"/>
        <v>KOMATSU REPLACEMENT PART</v>
      </c>
      <c r="AA216" s="22" t="str">
        <f t="shared" si="36"/>
        <v>KOM-TZ8637</v>
      </c>
      <c r="AB216" s="12">
        <f>H216+($S$215+$U$215)*H216/SUM($H$215:$H$231)/3.74+$X$215*H216/SUM($H$215:$H$231)</f>
        <v>268.58067027541824</v>
      </c>
      <c r="AC216" s="27">
        <f>AB216/H216</f>
        <v>1.5333447720679279</v>
      </c>
    </row>
    <row r="217" spans="3:29" s="22" customFormat="1" x14ac:dyDescent="0.3">
      <c r="C217" s="2"/>
      <c r="D217" s="2">
        <v>332725</v>
      </c>
      <c r="E217" s="2">
        <v>1</v>
      </c>
      <c r="F217" s="2" t="s">
        <v>307</v>
      </c>
      <c r="G217" s="2" t="s">
        <v>308</v>
      </c>
      <c r="H217" s="2">
        <v>75</v>
      </c>
      <c r="I217" s="4"/>
      <c r="J217" s="5"/>
      <c r="K217" s="5"/>
      <c r="L217" s="5"/>
      <c r="M217" s="6"/>
      <c r="N217" s="6"/>
      <c r="O217" s="5"/>
      <c r="P217" s="5"/>
      <c r="Q217" s="10"/>
      <c r="R217" s="4"/>
      <c r="S217" s="5"/>
      <c r="T217" s="4"/>
      <c r="U217" s="5"/>
      <c r="V217" s="5"/>
      <c r="W217" s="4"/>
      <c r="X217" s="5"/>
      <c r="Z217" s="2" t="str">
        <f t="shared" si="36"/>
        <v>SEAL KIT 5.500 X 3.500"</v>
      </c>
      <c r="AA217" s="22" t="str">
        <f t="shared" si="36"/>
        <v>CAT-2959892</v>
      </c>
      <c r="AB217" s="12">
        <f t="shared" ref="AB217:AB231" si="37">H217+($S$215+$U$215)*H217/SUM($H$215:$H$231)/3.74+$X$215*H217/SUM($H$215:$H$231)</f>
        <v>115.00085790509459</v>
      </c>
      <c r="AC217" s="27">
        <f t="shared" si="31"/>
        <v>1.5333447720679279</v>
      </c>
    </row>
    <row r="218" spans="3:29" s="22" customFormat="1" x14ac:dyDescent="0.3">
      <c r="C218" s="2"/>
      <c r="D218" s="2" t="s">
        <v>309</v>
      </c>
      <c r="E218" s="2">
        <v>4</v>
      </c>
      <c r="F218" s="2" t="s">
        <v>238</v>
      </c>
      <c r="G218" s="2" t="s">
        <v>310</v>
      </c>
      <c r="H218" s="2">
        <v>28.52</v>
      </c>
      <c r="I218" s="4"/>
      <c r="J218" s="5"/>
      <c r="K218" s="5"/>
      <c r="L218" s="5"/>
      <c r="M218" s="6"/>
      <c r="N218" s="6"/>
      <c r="O218" s="5"/>
      <c r="P218" s="5"/>
      <c r="Q218" s="10"/>
      <c r="R218" s="4"/>
      <c r="S218" s="5"/>
      <c r="T218" s="4"/>
      <c r="U218" s="5"/>
      <c r="V218" s="5"/>
      <c r="W218" s="4"/>
      <c r="X218" s="5"/>
      <c r="Z218" s="2" t="str">
        <f t="shared" si="36"/>
        <v>REPLACEMENT PIN WIPER</v>
      </c>
      <c r="AA218" s="22" t="str">
        <f t="shared" si="36"/>
        <v>CAT-7K9205</v>
      </c>
      <c r="AB218" s="12">
        <f>H218+($S$215+$U$215)*H218/SUM($H$215:$H$231)/3.74+$X$215*H218/SUM($H$215:$H$231)</f>
        <v>43.730992899377306</v>
      </c>
      <c r="AC218" s="27">
        <f t="shared" si="31"/>
        <v>1.5333447720679281</v>
      </c>
    </row>
    <row r="219" spans="3:29" s="22" customFormat="1" x14ac:dyDescent="0.3">
      <c r="C219" s="2"/>
      <c r="D219" s="2" t="s">
        <v>311</v>
      </c>
      <c r="E219" s="2">
        <v>2</v>
      </c>
      <c r="F219" s="2" t="s">
        <v>286</v>
      </c>
      <c r="G219" s="2" t="s">
        <v>312</v>
      </c>
      <c r="H219" s="2">
        <v>62.36</v>
      </c>
      <c r="I219" s="4"/>
      <c r="J219" s="5"/>
      <c r="K219" s="5"/>
      <c r="L219" s="5"/>
      <c r="M219" s="6"/>
      <c r="N219" s="6"/>
      <c r="O219" s="5"/>
      <c r="P219" s="5"/>
      <c r="Q219" s="10"/>
      <c r="R219" s="4"/>
      <c r="S219" s="5"/>
      <c r="T219" s="4"/>
      <c r="U219" s="5"/>
      <c r="V219" s="5"/>
      <c r="W219" s="4"/>
      <c r="X219" s="5"/>
      <c r="Z219" s="2" t="str">
        <f t="shared" si="36"/>
        <v>SEAL KIT</v>
      </c>
      <c r="AA219" s="22" t="str">
        <f t="shared" si="36"/>
        <v>CAT-2341949</v>
      </c>
      <c r="AB219" s="12">
        <f t="shared" si="37"/>
        <v>95.619379986155991</v>
      </c>
      <c r="AC219" s="27">
        <f t="shared" si="31"/>
        <v>1.5333447720679281</v>
      </c>
    </row>
    <row r="220" spans="3:29" s="22" customFormat="1" x14ac:dyDescent="0.3">
      <c r="C220" s="2"/>
      <c r="D220" s="2">
        <v>331125</v>
      </c>
      <c r="E220" s="2">
        <v>1</v>
      </c>
      <c r="F220" s="2" t="s">
        <v>313</v>
      </c>
      <c r="G220" s="2" t="s">
        <v>70</v>
      </c>
      <c r="H220" s="2">
        <v>55</v>
      </c>
      <c r="I220" s="4"/>
      <c r="J220" s="5"/>
      <c r="K220" s="5"/>
      <c r="L220" s="5"/>
      <c r="M220" s="6"/>
      <c r="N220" s="6"/>
      <c r="O220" s="5"/>
      <c r="P220" s="5"/>
      <c r="Q220" s="10"/>
      <c r="R220" s="4"/>
      <c r="S220" s="5"/>
      <c r="T220" s="4"/>
      <c r="U220" s="5"/>
      <c r="V220" s="5"/>
      <c r="W220" s="4"/>
      <c r="X220" s="5"/>
      <c r="Z220" s="2" t="str">
        <f t="shared" si="36"/>
        <v>SEAL KIT 5.250 X 3.000"</v>
      </c>
      <c r="AA220" s="22" t="str">
        <f t="shared" si="36"/>
        <v>CAT-2442073</v>
      </c>
      <c r="AB220" s="12">
        <f t="shared" si="37"/>
        <v>84.333962463736043</v>
      </c>
      <c r="AC220" s="27">
        <f t="shared" si="31"/>
        <v>1.5333447720679281</v>
      </c>
    </row>
    <row r="221" spans="3:29" s="22" customFormat="1" x14ac:dyDescent="0.3">
      <c r="C221" s="2"/>
      <c r="D221" s="2" t="s">
        <v>314</v>
      </c>
      <c r="E221" s="2">
        <v>3</v>
      </c>
      <c r="F221" s="2" t="s">
        <v>315</v>
      </c>
      <c r="G221" s="2" t="s">
        <v>316</v>
      </c>
      <c r="H221" s="2">
        <v>340.44</v>
      </c>
      <c r="I221" s="4"/>
      <c r="J221" s="5"/>
      <c r="K221" s="5"/>
      <c r="L221" s="5"/>
      <c r="M221" s="6"/>
      <c r="N221" s="6"/>
      <c r="O221" s="5"/>
      <c r="P221" s="5"/>
      <c r="Q221" s="10"/>
      <c r="R221" s="4"/>
      <c r="S221" s="5"/>
      <c r="T221" s="4"/>
      <c r="U221" s="5"/>
      <c r="V221" s="5"/>
      <c r="W221" s="4"/>
      <c r="X221" s="5"/>
      <c r="Z221" s="2" t="str">
        <f t="shared" si="36"/>
        <v>REPLACEMENT SPHERICAL BEAR</v>
      </c>
      <c r="AA221" s="22" t="str">
        <f t="shared" si="36"/>
        <v>CAT-7J3297</v>
      </c>
      <c r="AB221" s="12">
        <f t="shared" si="37"/>
        <v>522.01189420280537</v>
      </c>
      <c r="AC221" s="27">
        <f t="shared" si="31"/>
        <v>1.5333447720679279</v>
      </c>
    </row>
    <row r="222" spans="3:29" s="22" customFormat="1" x14ac:dyDescent="0.3">
      <c r="C222" s="2"/>
      <c r="D222" s="2" t="s">
        <v>317</v>
      </c>
      <c r="E222" s="2">
        <v>2</v>
      </c>
      <c r="F222" s="2" t="s">
        <v>318</v>
      </c>
      <c r="G222" s="2" t="s">
        <v>74</v>
      </c>
      <c r="H222" s="2">
        <v>196.86</v>
      </c>
      <c r="I222" s="4"/>
      <c r="J222" s="5"/>
      <c r="K222" s="5"/>
      <c r="L222" s="5"/>
      <c r="M222" s="6"/>
      <c r="N222" s="6"/>
      <c r="O222" s="5"/>
      <c r="P222" s="5"/>
      <c r="Q222" s="10"/>
      <c r="R222" s="4"/>
      <c r="S222" s="5"/>
      <c r="T222" s="4"/>
      <c r="U222" s="5"/>
      <c r="V222" s="5"/>
      <c r="W222" s="4"/>
      <c r="X222" s="5"/>
      <c r="Z222" s="2" t="str">
        <f t="shared" si="36"/>
        <v>SEAL KIT 8.250 X 3.500"</v>
      </c>
      <c r="AA222" s="22" t="str">
        <f t="shared" si="36"/>
        <v>CAT-2456835</v>
      </c>
      <c r="AB222" s="12">
        <f t="shared" si="37"/>
        <v>301.85425182929231</v>
      </c>
      <c r="AC222" s="27">
        <f t="shared" si="31"/>
        <v>1.5333447720679279</v>
      </c>
    </row>
    <row r="223" spans="3:29" s="22" customFormat="1" x14ac:dyDescent="0.3">
      <c r="C223" s="2"/>
      <c r="D223" s="2">
        <v>335125</v>
      </c>
      <c r="E223" s="2">
        <v>1</v>
      </c>
      <c r="F223" s="2" t="s">
        <v>315</v>
      </c>
      <c r="G223" s="2" t="s">
        <v>319</v>
      </c>
      <c r="H223" s="2">
        <v>60</v>
      </c>
      <c r="I223" s="4"/>
      <c r="J223" s="5"/>
      <c r="K223" s="5"/>
      <c r="L223" s="5"/>
      <c r="M223" s="6"/>
      <c r="N223" s="6"/>
      <c r="O223" s="5"/>
      <c r="P223" s="5"/>
      <c r="Q223" s="10"/>
      <c r="R223" s="4"/>
      <c r="S223" s="5"/>
      <c r="T223" s="4"/>
      <c r="U223" s="5"/>
      <c r="V223" s="5"/>
      <c r="W223" s="4"/>
      <c r="X223" s="5"/>
      <c r="Z223" s="2" t="str">
        <f t="shared" si="36"/>
        <v>REPLACEMENT SPHERICAL BEAR</v>
      </c>
      <c r="AA223" s="22" t="str">
        <f t="shared" si="36"/>
        <v>CAT-5J1446</v>
      </c>
      <c r="AB223" s="12">
        <f t="shared" si="37"/>
        <v>92.000686324075673</v>
      </c>
      <c r="AC223" s="27">
        <f t="shared" si="31"/>
        <v>1.5333447720679279</v>
      </c>
    </row>
    <row r="224" spans="3:29" s="22" customFormat="1" x14ac:dyDescent="0.3">
      <c r="C224" s="2"/>
      <c r="D224" s="2">
        <v>331125</v>
      </c>
      <c r="E224" s="2">
        <v>2</v>
      </c>
      <c r="F224" s="2" t="s">
        <v>240</v>
      </c>
      <c r="G224" s="2" t="s">
        <v>320</v>
      </c>
      <c r="H224" s="2">
        <v>51.32</v>
      </c>
      <c r="I224" s="4"/>
      <c r="J224" s="5"/>
      <c r="K224" s="5"/>
      <c r="L224" s="5"/>
      <c r="M224" s="6"/>
      <c r="N224" s="6"/>
      <c r="O224" s="5"/>
      <c r="P224" s="5"/>
      <c r="Q224" s="10"/>
      <c r="R224" s="4"/>
      <c r="S224" s="5"/>
      <c r="T224" s="4"/>
      <c r="U224" s="5"/>
      <c r="V224" s="5"/>
      <c r="W224" s="4"/>
      <c r="X224" s="5"/>
      <c r="Z224" s="2" t="str">
        <f t="shared" si="36"/>
        <v>REPLACEMENT BEARING SLEEVE</v>
      </c>
      <c r="AA224" s="22" t="str">
        <f t="shared" si="36"/>
        <v>CAT-5J1192</v>
      </c>
      <c r="AB224" s="12">
        <f t="shared" si="37"/>
        <v>78.691253702526055</v>
      </c>
      <c r="AC224" s="27">
        <f t="shared" si="31"/>
        <v>1.5333447720679279</v>
      </c>
    </row>
    <row r="225" spans="3:29" s="22" customFormat="1" x14ac:dyDescent="0.3">
      <c r="C225" s="2"/>
      <c r="D225" s="2" t="s">
        <v>314</v>
      </c>
      <c r="E225" s="2">
        <v>4</v>
      </c>
      <c r="F225" s="2" t="s">
        <v>240</v>
      </c>
      <c r="G225" s="2" t="s">
        <v>321</v>
      </c>
      <c r="H225" s="2">
        <v>71.319999999999993</v>
      </c>
      <c r="I225" s="4"/>
      <c r="J225" s="5"/>
      <c r="K225" s="5"/>
      <c r="L225" s="5"/>
      <c r="M225" s="6"/>
      <c r="N225" s="6"/>
      <c r="O225" s="5"/>
      <c r="P225" s="5"/>
      <c r="Q225" s="10"/>
      <c r="R225" s="4"/>
      <c r="S225" s="5"/>
      <c r="T225" s="4"/>
      <c r="U225" s="5"/>
      <c r="V225" s="5"/>
      <c r="W225" s="4"/>
      <c r="X225" s="5"/>
      <c r="Z225" s="2" t="str">
        <f t="shared" si="36"/>
        <v>REPLACEMENT BEARING SLEEVE</v>
      </c>
      <c r="AA225" s="22" t="str">
        <f t="shared" si="36"/>
        <v xml:space="preserve">CAT-1U2182 </v>
      </c>
      <c r="AB225" s="12">
        <f t="shared" si="37"/>
        <v>109.3581491438846</v>
      </c>
      <c r="AC225" s="27">
        <f t="shared" si="31"/>
        <v>1.5333447720679279</v>
      </c>
    </row>
    <row r="226" spans="3:29" s="22" customFormat="1" x14ac:dyDescent="0.3">
      <c r="C226" s="2"/>
      <c r="D226" s="2">
        <v>335125</v>
      </c>
      <c r="E226" s="2">
        <v>1</v>
      </c>
      <c r="F226" s="2" t="s">
        <v>322</v>
      </c>
      <c r="G226" s="2" t="s">
        <v>323</v>
      </c>
      <c r="H226" s="2">
        <v>75</v>
      </c>
      <c r="I226" s="4"/>
      <c r="J226" s="5"/>
      <c r="K226" s="5"/>
      <c r="L226" s="5"/>
      <c r="M226" s="6"/>
      <c r="N226" s="6"/>
      <c r="O226" s="5"/>
      <c r="P226" s="5"/>
      <c r="Q226" s="10"/>
      <c r="R226" s="4"/>
      <c r="S226" s="5"/>
      <c r="T226" s="4"/>
      <c r="U226" s="5"/>
      <c r="V226" s="5"/>
      <c r="W226" s="4"/>
      <c r="X226" s="5"/>
      <c r="Z226" s="2" t="str">
        <f t="shared" si="36"/>
        <v>SEAL KIT 5.000 X 3.250"</v>
      </c>
      <c r="AA226" s="22" t="str">
        <f t="shared" si="36"/>
        <v>CAT-2525105</v>
      </c>
      <c r="AB226" s="12">
        <f t="shared" si="37"/>
        <v>115.00085790509459</v>
      </c>
      <c r="AC226" s="27">
        <f t="shared" ref="AC226:AC286" si="38">AB226/H226</f>
        <v>1.5333447720679279</v>
      </c>
    </row>
    <row r="227" spans="3:29" s="22" customFormat="1" x14ac:dyDescent="0.3">
      <c r="C227" s="2"/>
      <c r="D227" s="2" t="s">
        <v>324</v>
      </c>
      <c r="E227" s="2">
        <v>4</v>
      </c>
      <c r="F227" s="2" t="s">
        <v>325</v>
      </c>
      <c r="G227" s="2" t="s">
        <v>326</v>
      </c>
      <c r="H227" s="2">
        <v>34</v>
      </c>
      <c r="I227" s="4"/>
      <c r="J227" s="5"/>
      <c r="K227" s="5"/>
      <c r="L227" s="5"/>
      <c r="M227" s="6"/>
      <c r="N227" s="6"/>
      <c r="O227" s="5"/>
      <c r="P227" s="5"/>
      <c r="Q227" s="10"/>
      <c r="R227" s="4"/>
      <c r="S227" s="5"/>
      <c r="T227" s="4"/>
      <c r="U227" s="5"/>
      <c r="V227" s="5"/>
      <c r="W227" s="4"/>
      <c r="X227" s="5"/>
      <c r="Z227" s="2" t="str">
        <f t="shared" si="36"/>
        <v>100.00MM - ROD WIPER</v>
      </c>
      <c r="AA227" s="22" t="str">
        <f t="shared" si="36"/>
        <v>CAT-9X4597</v>
      </c>
      <c r="AB227" s="12">
        <f t="shared" si="37"/>
        <v>52.133722250309546</v>
      </c>
      <c r="AC227" s="27">
        <f t="shared" si="38"/>
        <v>1.5333447720679279</v>
      </c>
    </row>
    <row r="228" spans="3:29" s="22" customFormat="1" x14ac:dyDescent="0.3">
      <c r="C228" s="2"/>
      <c r="D228" s="2" t="s">
        <v>324</v>
      </c>
      <c r="E228" s="2">
        <v>6</v>
      </c>
      <c r="F228" s="2" t="s">
        <v>238</v>
      </c>
      <c r="G228" s="2" t="s">
        <v>327</v>
      </c>
      <c r="H228" s="2">
        <v>18</v>
      </c>
      <c r="I228" s="4"/>
      <c r="J228" s="5"/>
      <c r="K228" s="5"/>
      <c r="L228" s="5"/>
      <c r="M228" s="6"/>
      <c r="N228" s="6"/>
      <c r="O228" s="5"/>
      <c r="P228" s="5"/>
      <c r="Q228" s="10"/>
      <c r="R228" s="4"/>
      <c r="S228" s="5"/>
      <c r="T228" s="4"/>
      <c r="U228" s="5"/>
      <c r="V228" s="5"/>
      <c r="W228" s="4"/>
      <c r="X228" s="5"/>
      <c r="Z228" s="2" t="str">
        <f t="shared" si="36"/>
        <v>REPLACEMENT PIN WIPER</v>
      </c>
      <c r="AA228" s="22" t="str">
        <f t="shared" si="36"/>
        <v>CAT-7K9204</v>
      </c>
      <c r="AB228" s="12">
        <f t="shared" si="37"/>
        <v>27.6002058972227</v>
      </c>
      <c r="AC228" s="27">
        <f t="shared" si="38"/>
        <v>1.5333447720679279</v>
      </c>
    </row>
    <row r="229" spans="3:29" s="22" customFormat="1" x14ac:dyDescent="0.3">
      <c r="C229" s="2"/>
      <c r="D229" s="2" t="s">
        <v>328</v>
      </c>
      <c r="E229" s="2">
        <v>2</v>
      </c>
      <c r="F229" s="2" t="s">
        <v>329</v>
      </c>
      <c r="G229" s="2" t="s">
        <v>330</v>
      </c>
      <c r="H229" s="2">
        <v>37.200000000000003</v>
      </c>
      <c r="I229" s="4"/>
      <c r="J229" s="5"/>
      <c r="K229" s="5"/>
      <c r="L229" s="5"/>
      <c r="M229" s="6"/>
      <c r="N229" s="6"/>
      <c r="O229" s="5"/>
      <c r="P229" s="5"/>
      <c r="Q229" s="10"/>
      <c r="R229" s="4"/>
      <c r="S229" s="5"/>
      <c r="T229" s="4"/>
      <c r="U229" s="5"/>
      <c r="V229" s="5"/>
      <c r="W229" s="4"/>
      <c r="X229" s="5"/>
      <c r="Z229" s="2" t="str">
        <f t="shared" si="36"/>
        <v>REPLACEMENT CAT NUTS</v>
      </c>
      <c r="AA229" s="22" t="str">
        <f t="shared" si="36"/>
        <v>CAT-5J5731</v>
      </c>
      <c r="AB229" s="12">
        <f t="shared" si="37"/>
        <v>57.040425520926924</v>
      </c>
      <c r="AC229" s="27">
        <f t="shared" si="38"/>
        <v>1.5333447720679279</v>
      </c>
    </row>
    <row r="230" spans="3:29" s="22" customFormat="1" x14ac:dyDescent="0.3">
      <c r="C230" s="2"/>
      <c r="D230" s="2">
        <v>327525</v>
      </c>
      <c r="E230" s="2">
        <v>2</v>
      </c>
      <c r="F230" s="2" t="s">
        <v>240</v>
      </c>
      <c r="G230" s="2" t="s">
        <v>320</v>
      </c>
      <c r="H230" s="2">
        <v>51.32</v>
      </c>
      <c r="I230" s="4"/>
      <c r="J230" s="5"/>
      <c r="K230" s="5"/>
      <c r="L230" s="5"/>
      <c r="M230" s="6"/>
      <c r="N230" s="6"/>
      <c r="O230" s="5"/>
      <c r="P230" s="5"/>
      <c r="Q230" s="10"/>
      <c r="R230" s="4"/>
      <c r="S230" s="5"/>
      <c r="T230" s="4"/>
      <c r="U230" s="5"/>
      <c r="V230" s="5"/>
      <c r="W230" s="4"/>
      <c r="X230" s="5"/>
      <c r="Z230" s="2" t="str">
        <f t="shared" si="36"/>
        <v>REPLACEMENT BEARING SLEEVE</v>
      </c>
      <c r="AA230" s="22" t="str">
        <f t="shared" si="36"/>
        <v>CAT-5J1192</v>
      </c>
      <c r="AB230" s="12">
        <f t="shared" si="37"/>
        <v>78.691253702526055</v>
      </c>
      <c r="AC230" s="27">
        <f t="shared" si="38"/>
        <v>1.5333447720679279</v>
      </c>
    </row>
    <row r="231" spans="3:29" x14ac:dyDescent="0.3">
      <c r="D231" s="1" t="s">
        <v>324</v>
      </c>
      <c r="E231" s="1">
        <v>2</v>
      </c>
      <c r="F231" s="1" t="s">
        <v>331</v>
      </c>
      <c r="G231" s="1" t="s">
        <v>101</v>
      </c>
      <c r="H231" s="1">
        <v>70.239999999999995</v>
      </c>
      <c r="I231" s="4"/>
      <c r="J231" s="5"/>
      <c r="K231" s="5"/>
      <c r="L231" s="5"/>
      <c r="M231" s="6"/>
      <c r="N231" s="6"/>
      <c r="O231" s="5"/>
      <c r="P231" s="5"/>
      <c r="Q231" s="10"/>
      <c r="R231" s="4"/>
      <c r="S231" s="5"/>
      <c r="T231" s="4"/>
      <c r="U231" s="5"/>
      <c r="V231" s="5"/>
      <c r="W231" s="4"/>
      <c r="X231" s="5"/>
      <c r="Z231" s="1" t="str">
        <f t="shared" si="36"/>
        <v>SEAL KIT 4.750 X 2.500"</v>
      </c>
      <c r="AA231" t="str">
        <f t="shared" si="36"/>
        <v>CAT-2341948</v>
      </c>
      <c r="AB231" s="12">
        <f t="shared" si="37"/>
        <v>107.70213679005124</v>
      </c>
      <c r="AC231" s="11">
        <f t="shared" si="38"/>
        <v>1.5333447720679279</v>
      </c>
    </row>
    <row r="233" spans="3:29" x14ac:dyDescent="0.3">
      <c r="D233" s="1" t="s">
        <v>332</v>
      </c>
      <c r="E233" s="1">
        <v>3</v>
      </c>
      <c r="F233" s="1" t="s">
        <v>240</v>
      </c>
      <c r="G233" s="1" t="s">
        <v>97</v>
      </c>
      <c r="H233" s="1">
        <v>451.8</v>
      </c>
      <c r="I233" s="4">
        <v>4536864032</v>
      </c>
      <c r="J233" s="5">
        <f>70+45+23+15+28+28</f>
        <v>209</v>
      </c>
      <c r="K233" s="5">
        <f>18*18*18+22*22*22+10*10*8+43*43*4+14*14*7+14*14*7</f>
        <v>27420</v>
      </c>
      <c r="L233" s="9">
        <v>1297.81</v>
      </c>
      <c r="M233" s="6">
        <v>45819</v>
      </c>
      <c r="N233" s="6">
        <v>45825</v>
      </c>
      <c r="O233" s="6">
        <v>45825</v>
      </c>
      <c r="P233" s="7">
        <f>O233-M233</f>
        <v>6</v>
      </c>
      <c r="Q233" s="10"/>
      <c r="R233" s="4" t="s">
        <v>333</v>
      </c>
      <c r="S233" s="5">
        <v>875.25</v>
      </c>
      <c r="T233" s="4" t="s">
        <v>334</v>
      </c>
      <c r="U233" s="9">
        <v>6582</v>
      </c>
      <c r="V233" s="10"/>
      <c r="W233" s="4" t="s">
        <v>335</v>
      </c>
      <c r="X233" s="9">
        <v>1195.3399999999999</v>
      </c>
      <c r="Z233" s="1" t="str">
        <f t="shared" ref="Z233:AA286" si="39">F233</f>
        <v>REPLACEMENT BEARING SLEEVE</v>
      </c>
      <c r="AA233" t="str">
        <f t="shared" si="39"/>
        <v>CAT-1722848</v>
      </c>
      <c r="AB233" s="12">
        <f>H233+($S$233+$U$233)*H233/SUM($H$233:$H$251)/3.74+$X$233*H233/SUM($H$233:$H$251)</f>
        <v>650.75096780359581</v>
      </c>
      <c r="AC233" s="11">
        <f t="shared" si="38"/>
        <v>1.4403518543682952</v>
      </c>
    </row>
    <row r="234" spans="3:29" x14ac:dyDescent="0.3">
      <c r="D234" s="1" t="s">
        <v>332</v>
      </c>
      <c r="E234" s="1">
        <v>2</v>
      </c>
      <c r="F234" s="1" t="s">
        <v>329</v>
      </c>
      <c r="G234" s="1" t="s">
        <v>336</v>
      </c>
      <c r="H234" s="1">
        <v>930</v>
      </c>
      <c r="I234" s="4"/>
      <c r="J234" s="5"/>
      <c r="K234" s="5"/>
      <c r="L234" s="5"/>
      <c r="M234" s="5"/>
      <c r="N234" s="5"/>
      <c r="O234" s="5"/>
      <c r="P234" s="7"/>
      <c r="Q234" s="10"/>
      <c r="R234" s="4"/>
      <c r="S234" s="5"/>
      <c r="T234" s="4"/>
      <c r="U234" s="5"/>
      <c r="V234" s="10"/>
      <c r="W234" s="4"/>
      <c r="X234" s="5"/>
      <c r="Z234" s="1" t="str">
        <f t="shared" si="39"/>
        <v>REPLACEMENT CAT NUTS</v>
      </c>
      <c r="AA234" t="str">
        <f t="shared" si="39"/>
        <v>CAT-1163516</v>
      </c>
      <c r="AB234" s="12">
        <f t="shared" ref="AB234:AB250" si="40">H234+($S$233+$U$233)*H234/SUM($H$233:$H$251)/3.74+$X$233*H234/SUM($H$233:$H$251)</f>
        <v>1339.5272245625147</v>
      </c>
      <c r="AC234" s="11">
        <f t="shared" si="38"/>
        <v>1.4403518543682954</v>
      </c>
    </row>
    <row r="235" spans="3:29" x14ac:dyDescent="0.3">
      <c r="D235" s="1">
        <v>332325</v>
      </c>
      <c r="E235" s="1">
        <v>2</v>
      </c>
      <c r="F235" s="1" t="s">
        <v>337</v>
      </c>
      <c r="G235" s="1" t="s">
        <v>338</v>
      </c>
      <c r="H235" s="1">
        <v>1.94</v>
      </c>
      <c r="I235" s="4"/>
      <c r="J235" s="5"/>
      <c r="K235" s="5"/>
      <c r="L235" s="5"/>
      <c r="M235" s="5"/>
      <c r="N235" s="5"/>
      <c r="O235" s="5"/>
      <c r="P235" s="7"/>
      <c r="Q235" s="10"/>
      <c r="R235" s="4"/>
      <c r="S235" s="5"/>
      <c r="T235" s="4"/>
      <c r="U235" s="5"/>
      <c r="V235" s="10"/>
      <c r="W235" s="4"/>
      <c r="X235" s="5"/>
      <c r="Z235" s="1" t="str">
        <f t="shared" si="39"/>
        <v>KOMATSU REPLACEMENT O'RING</v>
      </c>
      <c r="AA235" t="str">
        <f t="shared" si="39"/>
        <v xml:space="preserve">KOM-VG9098 </v>
      </c>
      <c r="AB235" s="12">
        <f t="shared" si="40"/>
        <v>2.7942825974744925</v>
      </c>
      <c r="AC235" s="11">
        <f t="shared" si="38"/>
        <v>1.4403518543682952</v>
      </c>
    </row>
    <row r="236" spans="3:29" x14ac:dyDescent="0.3">
      <c r="D236" s="1">
        <v>332325</v>
      </c>
      <c r="E236" s="1">
        <v>2</v>
      </c>
      <c r="F236" s="1" t="s">
        <v>337</v>
      </c>
      <c r="G236" s="1" t="s">
        <v>24</v>
      </c>
      <c r="H236" s="1">
        <v>118.96</v>
      </c>
      <c r="I236" s="4"/>
      <c r="J236" s="5"/>
      <c r="K236" s="5"/>
      <c r="L236" s="5"/>
      <c r="M236" s="5"/>
      <c r="N236" s="5"/>
      <c r="O236" s="5"/>
      <c r="P236" s="7"/>
      <c r="Q236" s="10"/>
      <c r="R236" s="4"/>
      <c r="S236" s="5"/>
      <c r="T236" s="4"/>
      <c r="U236" s="5"/>
      <c r="V236" s="10"/>
      <c r="W236" s="4"/>
      <c r="X236" s="5"/>
      <c r="Z236" s="1" t="str">
        <f t="shared" si="39"/>
        <v>KOMATSU REPLACEMENT O'RING</v>
      </c>
      <c r="AA236" t="str">
        <f t="shared" si="39"/>
        <v>KOM-EH7197</v>
      </c>
      <c r="AB236" s="12">
        <f t="shared" si="40"/>
        <v>171.34425659565238</v>
      </c>
      <c r="AC236" s="11">
        <f t="shared" si="38"/>
        <v>1.4403518543682952</v>
      </c>
    </row>
    <row r="237" spans="3:29" x14ac:dyDescent="0.3">
      <c r="D237" s="1">
        <v>332325</v>
      </c>
      <c r="E237" s="1">
        <v>1</v>
      </c>
      <c r="F237" s="1" t="s">
        <v>337</v>
      </c>
      <c r="G237" s="1" t="s">
        <v>29</v>
      </c>
      <c r="H237" s="1">
        <v>39.979999999999997</v>
      </c>
      <c r="I237" s="4"/>
      <c r="J237" s="5"/>
      <c r="K237" s="5"/>
      <c r="L237" s="5"/>
      <c r="M237" s="5"/>
      <c r="N237" s="5"/>
      <c r="O237" s="5"/>
      <c r="P237" s="7"/>
      <c r="Q237" s="10"/>
      <c r="R237" s="4"/>
      <c r="S237" s="5"/>
      <c r="T237" s="4"/>
      <c r="U237" s="5"/>
      <c r="V237" s="10"/>
      <c r="W237" s="4"/>
      <c r="X237" s="5"/>
      <c r="Z237" s="1" t="str">
        <f t="shared" si="39"/>
        <v>KOMATSU REPLACEMENT O'RING</v>
      </c>
      <c r="AA237" t="str">
        <f t="shared" si="39"/>
        <v>KOM-EH7194</v>
      </c>
      <c r="AB237" s="12">
        <f t="shared" si="40"/>
        <v>57.585267137644436</v>
      </c>
      <c r="AC237" s="11">
        <f t="shared" si="38"/>
        <v>1.4403518543682952</v>
      </c>
    </row>
    <row r="238" spans="3:29" x14ac:dyDescent="0.3">
      <c r="D238" s="1">
        <v>332325</v>
      </c>
      <c r="E238" s="1">
        <v>1</v>
      </c>
      <c r="F238" s="1" t="s">
        <v>337</v>
      </c>
      <c r="G238" s="1" t="s">
        <v>339</v>
      </c>
      <c r="H238" s="1">
        <v>4.87</v>
      </c>
      <c r="I238" s="4"/>
      <c r="J238" s="5"/>
      <c r="K238" s="5"/>
      <c r="L238" s="5"/>
      <c r="M238" s="5"/>
      <c r="N238" s="5"/>
      <c r="O238" s="5"/>
      <c r="P238" s="7"/>
      <c r="Q238" s="10"/>
      <c r="R238" s="4"/>
      <c r="S238" s="5"/>
      <c r="T238" s="4"/>
      <c r="U238" s="5"/>
      <c r="V238" s="10"/>
      <c r="W238" s="4"/>
      <c r="X238" s="5"/>
      <c r="Z238" s="1" t="str">
        <f t="shared" si="39"/>
        <v>KOMATSU REPLACEMENT O'RING</v>
      </c>
      <c r="AA238" t="str">
        <f t="shared" si="39"/>
        <v xml:space="preserve">KOM-EH7190 </v>
      </c>
      <c r="AB238" s="12">
        <f t="shared" si="40"/>
        <v>7.0145135307735984</v>
      </c>
      <c r="AC238" s="11">
        <f t="shared" si="38"/>
        <v>1.4403518543682954</v>
      </c>
    </row>
    <row r="239" spans="3:29" x14ac:dyDescent="0.3">
      <c r="D239" s="1">
        <v>332325</v>
      </c>
      <c r="E239" s="1">
        <v>2</v>
      </c>
      <c r="F239" s="1" t="s">
        <v>337</v>
      </c>
      <c r="G239" s="1" t="s">
        <v>31</v>
      </c>
      <c r="H239" s="1">
        <v>98.94</v>
      </c>
      <c r="I239" s="4"/>
      <c r="J239" s="5"/>
      <c r="K239" s="5"/>
      <c r="L239" s="5"/>
      <c r="M239" s="5"/>
      <c r="N239" s="5"/>
      <c r="O239" s="5"/>
      <c r="P239" s="7"/>
      <c r="Q239" s="10"/>
      <c r="R239" s="4"/>
      <c r="S239" s="5"/>
      <c r="T239" s="4"/>
      <c r="U239" s="5"/>
      <c r="V239" s="10"/>
      <c r="W239" s="4"/>
      <c r="X239" s="5"/>
      <c r="Z239" s="1" t="str">
        <f t="shared" si="39"/>
        <v>KOMATSU REPLACEMENT O'RING</v>
      </c>
      <c r="AA239" t="str">
        <f t="shared" si="39"/>
        <v>KOM-EH7195</v>
      </c>
      <c r="AB239" s="12">
        <f t="shared" si="40"/>
        <v>142.50841247119914</v>
      </c>
      <c r="AC239" s="11">
        <f t="shared" si="38"/>
        <v>1.4403518543682954</v>
      </c>
    </row>
    <row r="240" spans="3:29" x14ac:dyDescent="0.3">
      <c r="D240" s="1">
        <v>332325</v>
      </c>
      <c r="E240" s="1">
        <v>1</v>
      </c>
      <c r="F240" s="1" t="s">
        <v>306</v>
      </c>
      <c r="G240" s="1" t="s">
        <v>53</v>
      </c>
      <c r="H240" s="1">
        <v>560.70000000000005</v>
      </c>
      <c r="I240" s="4"/>
      <c r="J240" s="5"/>
      <c r="K240" s="5"/>
      <c r="L240" s="5"/>
      <c r="M240" s="5"/>
      <c r="N240" s="5"/>
      <c r="O240" s="5"/>
      <c r="P240" s="7"/>
      <c r="Q240" s="10"/>
      <c r="R240" s="4"/>
      <c r="S240" s="5"/>
      <c r="T240" s="4"/>
      <c r="U240" s="5"/>
      <c r="V240" s="10"/>
      <c r="W240" s="4"/>
      <c r="X240" s="5"/>
      <c r="Z240" s="1" t="str">
        <f t="shared" si="39"/>
        <v>KOMATSU REPLACEMENT PART</v>
      </c>
      <c r="AA240" t="str">
        <f t="shared" si="39"/>
        <v>KOM-PC1431</v>
      </c>
      <c r="AB240" s="12">
        <f t="shared" si="40"/>
        <v>807.60528474430316</v>
      </c>
      <c r="AC240" s="11">
        <f t="shared" si="38"/>
        <v>1.4403518543682952</v>
      </c>
    </row>
    <row r="241" spans="4:29" x14ac:dyDescent="0.3">
      <c r="D241" s="1">
        <v>336225</v>
      </c>
      <c r="E241" s="1">
        <v>2</v>
      </c>
      <c r="F241" s="1" t="s">
        <v>340</v>
      </c>
      <c r="G241" s="1" t="s">
        <v>341</v>
      </c>
      <c r="H241" s="1">
        <v>1000</v>
      </c>
      <c r="I241" s="4"/>
      <c r="J241" s="5"/>
      <c r="K241" s="5"/>
      <c r="L241" s="5"/>
      <c r="M241" s="5"/>
      <c r="N241" s="5"/>
      <c r="O241" s="5"/>
      <c r="P241" s="7"/>
      <c r="Q241" s="10"/>
      <c r="R241" s="4"/>
      <c r="S241" s="5"/>
      <c r="T241" s="4"/>
      <c r="U241" s="5"/>
      <c r="V241" s="10"/>
      <c r="W241" s="4"/>
      <c r="X241" s="5"/>
      <c r="Z241" s="1" t="str">
        <f t="shared" si="39"/>
        <v>KOMATSU REPLACEMENT BEAR.</v>
      </c>
      <c r="AA241" t="str">
        <f t="shared" si="39"/>
        <v xml:space="preserve">KOM-562/50/31450 </v>
      </c>
      <c r="AB241" s="12">
        <f t="shared" si="40"/>
        <v>1440.3518543682953</v>
      </c>
      <c r="AC241" s="11">
        <f t="shared" si="38"/>
        <v>1.4403518543682954</v>
      </c>
    </row>
    <row r="242" spans="4:29" x14ac:dyDescent="0.3">
      <c r="D242" s="1">
        <v>336225</v>
      </c>
      <c r="E242" s="1">
        <v>1</v>
      </c>
      <c r="F242" s="1" t="s">
        <v>342</v>
      </c>
      <c r="G242" s="1" t="s">
        <v>343</v>
      </c>
      <c r="H242" s="1">
        <v>110</v>
      </c>
      <c r="I242" s="4"/>
      <c r="J242" s="5"/>
      <c r="K242" s="5"/>
      <c r="L242" s="5"/>
      <c r="M242" s="5"/>
      <c r="N242" s="5"/>
      <c r="O242" s="5"/>
      <c r="P242" s="7"/>
      <c r="Q242" s="10"/>
      <c r="R242" s="4"/>
      <c r="S242" s="5"/>
      <c r="T242" s="4"/>
      <c r="U242" s="5"/>
      <c r="V242" s="10"/>
      <c r="W242" s="4"/>
      <c r="X242" s="5"/>
      <c r="Z242" s="1" t="str">
        <f t="shared" si="39"/>
        <v>280.00MM. - ROD BUSHING</v>
      </c>
      <c r="AA242" t="str">
        <f t="shared" si="39"/>
        <v>KOM-581/50/11180</v>
      </c>
      <c r="AB242" s="12">
        <f t="shared" si="40"/>
        <v>158.43870398051246</v>
      </c>
      <c r="AC242" s="11">
        <f t="shared" si="38"/>
        <v>1.4403518543682952</v>
      </c>
    </row>
    <row r="243" spans="4:29" x14ac:dyDescent="0.3">
      <c r="D243" s="1">
        <v>336225</v>
      </c>
      <c r="E243" s="1">
        <v>1</v>
      </c>
      <c r="F243" s="1" t="s">
        <v>344</v>
      </c>
      <c r="G243" s="1" t="s">
        <v>345</v>
      </c>
      <c r="H243" s="1">
        <v>275</v>
      </c>
      <c r="I243" s="4"/>
      <c r="J243" s="5"/>
      <c r="K243" s="5"/>
      <c r="L243" s="5"/>
      <c r="M243" s="5"/>
      <c r="N243" s="5"/>
      <c r="O243" s="5"/>
      <c r="P243" s="7"/>
      <c r="Q243" s="10"/>
      <c r="R243" s="4"/>
      <c r="S243" s="5"/>
      <c r="T243" s="4"/>
      <c r="U243" s="5"/>
      <c r="V243" s="10"/>
      <c r="W243" s="4"/>
      <c r="X243" s="5"/>
      <c r="Z243" s="1" t="str">
        <f t="shared" si="39"/>
        <v>REPLACEMENT GUIDE RING</v>
      </c>
      <c r="AA243" t="str">
        <f t="shared" si="39"/>
        <v>KOM-562/50/32270</v>
      </c>
      <c r="AB243" s="12">
        <f t="shared" si="40"/>
        <v>396.09675995128117</v>
      </c>
      <c r="AC243" s="11">
        <f t="shared" si="38"/>
        <v>1.4403518543682952</v>
      </c>
    </row>
    <row r="244" spans="4:29" x14ac:dyDescent="0.3">
      <c r="D244" s="1">
        <v>336225</v>
      </c>
      <c r="E244" s="1">
        <v>4</v>
      </c>
      <c r="F244" s="1" t="s">
        <v>306</v>
      </c>
      <c r="G244" s="1" t="s">
        <v>346</v>
      </c>
      <c r="H244" s="1">
        <v>187.6</v>
      </c>
      <c r="I244" s="4"/>
      <c r="J244" s="5"/>
      <c r="K244" s="5"/>
      <c r="L244" s="5"/>
      <c r="M244" s="5"/>
      <c r="N244" s="5"/>
      <c r="O244" s="5"/>
      <c r="P244" s="7"/>
      <c r="Q244" s="10"/>
      <c r="R244" s="4"/>
      <c r="S244" s="5"/>
      <c r="T244" s="4"/>
      <c r="U244" s="5"/>
      <c r="V244" s="10"/>
      <c r="W244" s="4"/>
      <c r="X244" s="5"/>
      <c r="Z244" s="1" t="str">
        <f t="shared" si="39"/>
        <v>KOMATSU REPLACEMENT PART</v>
      </c>
      <c r="AA244" t="str">
        <f t="shared" si="39"/>
        <v>KOM-04071/00190</v>
      </c>
      <c r="AB244" s="12">
        <f t="shared" si="40"/>
        <v>270.2100078794922</v>
      </c>
      <c r="AC244" s="11">
        <f t="shared" si="38"/>
        <v>1.4403518543682954</v>
      </c>
    </row>
    <row r="245" spans="4:29" x14ac:dyDescent="0.3">
      <c r="D245" s="1">
        <v>336225</v>
      </c>
      <c r="E245" s="1">
        <v>1</v>
      </c>
      <c r="F245" s="1" t="s">
        <v>347</v>
      </c>
      <c r="G245" s="1" t="s">
        <v>348</v>
      </c>
      <c r="H245" s="1">
        <v>1381.55</v>
      </c>
      <c r="I245" s="4"/>
      <c r="J245" s="5"/>
      <c r="K245" s="5"/>
      <c r="L245" s="5"/>
      <c r="M245" s="5"/>
      <c r="N245" s="5"/>
      <c r="O245" s="5"/>
      <c r="P245" s="7"/>
      <c r="Q245" s="10"/>
      <c r="R245" s="4"/>
      <c r="S245" s="5"/>
      <c r="T245" s="4"/>
      <c r="U245" s="5"/>
      <c r="V245" s="10"/>
      <c r="W245" s="4"/>
      <c r="X245" s="5"/>
      <c r="Z245" s="1" t="str">
        <f t="shared" si="39"/>
        <v>HD1500 REAR SUSPENSION KIT</v>
      </c>
      <c r="AA245" t="str">
        <f t="shared" si="39"/>
        <v>KOM-AK5461</v>
      </c>
      <c r="AB245" s="12">
        <f t="shared" si="40"/>
        <v>1989.9181044025179</v>
      </c>
      <c r="AC245" s="11">
        <f t="shared" si="38"/>
        <v>1.4403518543682949</v>
      </c>
    </row>
    <row r="246" spans="4:29" x14ac:dyDescent="0.3">
      <c r="D246" s="1" t="s">
        <v>197</v>
      </c>
      <c r="E246" s="1">
        <v>2</v>
      </c>
      <c r="F246" s="1" t="s">
        <v>349</v>
      </c>
      <c r="G246" s="1" t="s">
        <v>47</v>
      </c>
      <c r="H246" s="1">
        <v>1627.82</v>
      </c>
      <c r="I246" s="4"/>
      <c r="J246" s="5"/>
      <c r="K246" s="5"/>
      <c r="L246" s="5"/>
      <c r="M246" s="5"/>
      <c r="N246" s="5"/>
      <c r="O246" s="5"/>
      <c r="P246" s="7"/>
      <c r="Q246" s="10"/>
      <c r="R246" s="4"/>
      <c r="S246" s="5"/>
      <c r="T246" s="4"/>
      <c r="U246" s="5"/>
      <c r="V246" s="10"/>
      <c r="W246" s="4"/>
      <c r="X246" s="5"/>
      <c r="Z246" s="1" t="str">
        <f t="shared" si="39"/>
        <v>830/930E FRONT SEAL KIT</v>
      </c>
      <c r="AA246" t="str">
        <f t="shared" si="39"/>
        <v>KOM-58F/FS/AK020</v>
      </c>
      <c r="AB246" s="12">
        <f t="shared" si="40"/>
        <v>2344.6335555777978</v>
      </c>
      <c r="AC246" s="11">
        <f t="shared" si="38"/>
        <v>1.4403518543682949</v>
      </c>
    </row>
    <row r="247" spans="4:29" x14ac:dyDescent="0.3">
      <c r="D247" s="1" t="s">
        <v>350</v>
      </c>
      <c r="E247" s="1">
        <v>20</v>
      </c>
      <c r="F247" s="1" t="s">
        <v>238</v>
      </c>
      <c r="G247" s="1" t="s">
        <v>310</v>
      </c>
      <c r="H247" s="1">
        <v>142.6</v>
      </c>
      <c r="I247" s="4"/>
      <c r="J247" s="5"/>
      <c r="K247" s="5"/>
      <c r="L247" s="5"/>
      <c r="M247" s="5"/>
      <c r="N247" s="5"/>
      <c r="O247" s="5"/>
      <c r="P247" s="7"/>
      <c r="Q247" s="10"/>
      <c r="R247" s="4"/>
      <c r="S247" s="5"/>
      <c r="T247" s="4"/>
      <c r="U247" s="5"/>
      <c r="V247" s="10"/>
      <c r="W247" s="4"/>
      <c r="X247" s="5"/>
      <c r="Z247" s="1" t="str">
        <f t="shared" si="39"/>
        <v>REPLACEMENT PIN WIPER</v>
      </c>
      <c r="AA247" t="str">
        <f t="shared" si="39"/>
        <v>CAT-7K9205</v>
      </c>
      <c r="AB247" s="12">
        <f t="shared" si="40"/>
        <v>205.39417443291887</v>
      </c>
      <c r="AC247" s="11">
        <f t="shared" si="38"/>
        <v>1.4403518543682952</v>
      </c>
    </row>
    <row r="248" spans="4:29" x14ac:dyDescent="0.3">
      <c r="D248" s="1" t="s">
        <v>350</v>
      </c>
      <c r="E248" s="1">
        <v>4</v>
      </c>
      <c r="F248" s="1" t="s">
        <v>240</v>
      </c>
      <c r="G248" s="1" t="s">
        <v>351</v>
      </c>
      <c r="H248" s="1">
        <v>124</v>
      </c>
      <c r="I248" s="4"/>
      <c r="J248" s="5"/>
      <c r="K248" s="5"/>
      <c r="L248" s="5"/>
      <c r="M248" s="5"/>
      <c r="N248" s="5"/>
      <c r="O248" s="5"/>
      <c r="P248" s="7"/>
      <c r="Q248" s="10"/>
      <c r="R248" s="4"/>
      <c r="S248" s="5"/>
      <c r="T248" s="4"/>
      <c r="U248" s="5"/>
      <c r="V248" s="10"/>
      <c r="W248" s="4"/>
      <c r="X248" s="5"/>
      <c r="Z248" s="1" t="str">
        <f t="shared" si="39"/>
        <v>REPLACEMENT BEARING SLEEVE</v>
      </c>
      <c r="AA248" t="str">
        <f t="shared" si="39"/>
        <v>CAT-3G2791</v>
      </c>
      <c r="AB248" s="12">
        <f t="shared" si="40"/>
        <v>178.6036299416686</v>
      </c>
      <c r="AC248" s="11">
        <f t="shared" si="38"/>
        <v>1.4403518543682952</v>
      </c>
    </row>
    <row r="249" spans="4:29" x14ac:dyDescent="0.3">
      <c r="D249" s="1" t="s">
        <v>350</v>
      </c>
      <c r="E249" s="1">
        <v>2</v>
      </c>
      <c r="F249" s="1" t="s">
        <v>352</v>
      </c>
      <c r="G249" s="1" t="s">
        <v>353</v>
      </c>
      <c r="H249" s="1">
        <v>110</v>
      </c>
      <c r="I249" s="4"/>
      <c r="J249" s="5"/>
      <c r="K249" s="5"/>
      <c r="L249" s="5"/>
      <c r="M249" s="5"/>
      <c r="N249" s="5"/>
      <c r="O249" s="5"/>
      <c r="P249" s="7"/>
      <c r="Q249" s="10"/>
      <c r="R249" s="4"/>
      <c r="S249" s="5"/>
      <c r="T249" s="4"/>
      <c r="U249" s="5"/>
      <c r="V249" s="10"/>
      <c r="W249" s="4"/>
      <c r="X249" s="5"/>
      <c r="Y249">
        <f>L233*0.8</f>
        <v>1038.248</v>
      </c>
      <c r="Z249" s="1" t="str">
        <f t="shared" si="39"/>
        <v>SEAL KIT 150.00 X 75.00MM</v>
      </c>
      <c r="AA249" t="str">
        <f t="shared" si="39"/>
        <v>CAT-4251297</v>
      </c>
      <c r="AB249" s="12">
        <f t="shared" si="40"/>
        <v>158.43870398051246</v>
      </c>
      <c r="AC249" s="11">
        <f t="shared" si="38"/>
        <v>1.4403518543682952</v>
      </c>
    </row>
    <row r="250" spans="4:29" x14ac:dyDescent="0.3">
      <c r="D250" s="1">
        <v>337725</v>
      </c>
      <c r="E250" s="1">
        <v>1</v>
      </c>
      <c r="F250" s="1" t="s">
        <v>240</v>
      </c>
      <c r="G250" s="1" t="s">
        <v>293</v>
      </c>
      <c r="H250" s="1">
        <v>25.32</v>
      </c>
      <c r="I250" s="4"/>
      <c r="J250" s="5"/>
      <c r="K250" s="5"/>
      <c r="L250" s="5"/>
      <c r="M250" s="5"/>
      <c r="N250" s="5"/>
      <c r="O250" s="5"/>
      <c r="P250" s="7"/>
      <c r="Q250" s="10"/>
      <c r="R250" s="4"/>
      <c r="S250" s="5"/>
      <c r="T250" s="4"/>
      <c r="U250" s="5"/>
      <c r="V250" s="10"/>
      <c r="W250" s="4"/>
      <c r="X250" s="5"/>
      <c r="Z250" s="1" t="str">
        <f t="shared" si="39"/>
        <v>REPLACEMENT BEARING SLEEVE</v>
      </c>
      <c r="AA250" t="str">
        <f t="shared" si="39"/>
        <v>CAT-2K4507</v>
      </c>
      <c r="AB250" s="12">
        <f t="shared" si="40"/>
        <v>36.469708952605238</v>
      </c>
      <c r="AC250" s="11">
        <f t="shared" si="38"/>
        <v>1.4403518543682954</v>
      </c>
    </row>
    <row r="251" spans="4:29" x14ac:dyDescent="0.3">
      <c r="D251" s="1">
        <v>337725</v>
      </c>
      <c r="E251" s="1">
        <v>2</v>
      </c>
      <c r="F251" s="1" t="s">
        <v>240</v>
      </c>
      <c r="G251" s="1" t="s">
        <v>294</v>
      </c>
      <c r="H251" s="1">
        <v>51.44</v>
      </c>
      <c r="I251" s="4"/>
      <c r="J251" s="5"/>
      <c r="K251" s="5"/>
      <c r="L251" s="5"/>
      <c r="M251" s="5"/>
      <c r="N251" s="5"/>
      <c r="O251" s="5"/>
      <c r="P251" s="7"/>
      <c r="Q251" s="10"/>
      <c r="R251" s="4"/>
      <c r="S251" s="5"/>
      <c r="T251" s="4"/>
      <c r="U251" s="5"/>
      <c r="V251" s="10"/>
      <c r="W251" s="4"/>
      <c r="X251" s="5"/>
      <c r="Z251" s="1" t="str">
        <f t="shared" si="39"/>
        <v>REPLACEMENT BEARING SLEEVE</v>
      </c>
      <c r="AA251" t="str">
        <f t="shared" si="39"/>
        <v>CAT-4K3128</v>
      </c>
      <c r="AB251" s="12">
        <f>H251+($S$233+$U$233)*H251/SUM($H$233:$H$251)/3.74+$X$233*H251/SUM($H$233:$H$251)</f>
        <v>74.091699388705095</v>
      </c>
      <c r="AC251" s="11">
        <f t="shared" si="38"/>
        <v>1.4403518543682952</v>
      </c>
    </row>
    <row r="253" spans="4:29" x14ac:dyDescent="0.3">
      <c r="D253" s="1">
        <v>337525</v>
      </c>
      <c r="E253" s="1">
        <v>1</v>
      </c>
      <c r="F253" s="1" t="s">
        <v>354</v>
      </c>
      <c r="G253" s="1" t="s">
        <v>355</v>
      </c>
      <c r="H253" s="1">
        <v>55</v>
      </c>
      <c r="I253" s="4">
        <v>2386643243</v>
      </c>
      <c r="J253" s="28">
        <v>40</v>
      </c>
      <c r="K253" s="9">
        <f>18*18*10</f>
        <v>3240</v>
      </c>
      <c r="L253" s="9">
        <v>394.48</v>
      </c>
      <c r="M253" s="6">
        <v>45826</v>
      </c>
      <c r="N253" s="6">
        <v>45832</v>
      </c>
      <c r="O253" s="6">
        <v>45831</v>
      </c>
      <c r="P253" s="28">
        <f>O253-M253</f>
        <v>5</v>
      </c>
      <c r="Q253" s="9"/>
      <c r="R253" s="20" t="s">
        <v>356</v>
      </c>
      <c r="S253" s="9">
        <v>146.52000000000001</v>
      </c>
      <c r="T253" s="20" t="s">
        <v>357</v>
      </c>
      <c r="U253" s="9">
        <v>1008</v>
      </c>
      <c r="V253" s="9"/>
      <c r="W253" s="20" t="s">
        <v>358</v>
      </c>
      <c r="X253" s="9">
        <v>321.56</v>
      </c>
      <c r="Z253" s="1" t="str">
        <f t="shared" si="39"/>
        <v>SEAL KIT 100.00 X 50.00MM.</v>
      </c>
      <c r="AA253" t="str">
        <f t="shared" si="39"/>
        <v>CAT-6147755</v>
      </c>
      <c r="AB253" s="12">
        <f>H253+($S$253+$U$253)*H253/SUM($H$253:$H$262)/3.74+$X$253*H253/SUM($H$253:$H$262)</f>
        <v>87.603801102453588</v>
      </c>
      <c r="AC253" s="11">
        <f t="shared" si="38"/>
        <v>1.5927963836809744</v>
      </c>
    </row>
    <row r="254" spans="4:29" x14ac:dyDescent="0.3">
      <c r="D254" s="1">
        <v>338025</v>
      </c>
      <c r="E254" s="1">
        <v>2</v>
      </c>
      <c r="F254" s="1" t="s">
        <v>218</v>
      </c>
      <c r="G254" s="1" t="s">
        <v>359</v>
      </c>
      <c r="H254" s="1">
        <v>9.8800000000000008</v>
      </c>
      <c r="I254" s="4"/>
      <c r="J254" s="28"/>
      <c r="K254" s="9"/>
      <c r="L254" s="9"/>
      <c r="M254" s="6"/>
      <c r="N254" s="6"/>
      <c r="O254" s="6"/>
      <c r="P254" s="28"/>
      <c r="Q254" s="9"/>
      <c r="R254" s="20"/>
      <c r="S254" s="9"/>
      <c r="T254" s="20"/>
      <c r="U254" s="9"/>
      <c r="V254" s="9"/>
      <c r="W254" s="20"/>
      <c r="X254" s="9"/>
      <c r="Z254" s="1" t="str">
        <f t="shared" si="39"/>
        <v>REPLACEMENT SNAP RING</v>
      </c>
      <c r="AA254" t="str">
        <f t="shared" si="39"/>
        <v xml:space="preserve">CAT-5334824 </v>
      </c>
      <c r="AB254" s="12">
        <f t="shared" ref="AB254:AB262" si="41">H254+($S$253+$U$253)*H254/SUM($H$253:$H$262)/3.74+$X$253*H254/SUM($H$253:$H$262)</f>
        <v>15.736828270768029</v>
      </c>
      <c r="AC254" s="11">
        <f t="shared" si="38"/>
        <v>1.5927963836809744</v>
      </c>
    </row>
    <row r="255" spans="4:29" x14ac:dyDescent="0.3">
      <c r="D255" s="1">
        <v>338025</v>
      </c>
      <c r="E255" s="1">
        <v>2</v>
      </c>
      <c r="F255" s="1" t="s">
        <v>329</v>
      </c>
      <c r="G255" s="1" t="s">
        <v>360</v>
      </c>
      <c r="H255" s="1">
        <v>132.12</v>
      </c>
      <c r="I255" s="4"/>
      <c r="J255" s="28"/>
      <c r="K255" s="9"/>
      <c r="L255" s="9"/>
      <c r="M255" s="6"/>
      <c r="N255" s="6"/>
      <c r="O255" s="6"/>
      <c r="P255" s="28"/>
      <c r="Q255" s="9"/>
      <c r="R255" s="20"/>
      <c r="S255" s="9"/>
      <c r="T255" s="20"/>
      <c r="U255" s="9"/>
      <c r="V255" s="9"/>
      <c r="W255" s="20"/>
      <c r="X255" s="9"/>
      <c r="Z255" s="1" t="str">
        <f t="shared" si="39"/>
        <v>REPLACEMENT CAT NUTS</v>
      </c>
      <c r="AA255" t="str">
        <f t="shared" si="39"/>
        <v>CAT-3J6899</v>
      </c>
      <c r="AB255" s="12">
        <f t="shared" si="41"/>
        <v>210.44025821193037</v>
      </c>
      <c r="AC255" s="11">
        <f t="shared" si="38"/>
        <v>1.5927963836809746</v>
      </c>
    </row>
    <row r="256" spans="4:29" x14ac:dyDescent="0.3">
      <c r="D256" s="1">
        <v>338025</v>
      </c>
      <c r="E256" s="1">
        <v>1</v>
      </c>
      <c r="F256" s="1" t="s">
        <v>361</v>
      </c>
      <c r="G256" s="1" t="s">
        <v>362</v>
      </c>
      <c r="H256" s="1">
        <v>86</v>
      </c>
      <c r="I256" s="4"/>
      <c r="J256" s="28"/>
      <c r="K256" s="9"/>
      <c r="L256" s="9"/>
      <c r="M256" s="6"/>
      <c r="N256" s="6"/>
      <c r="O256" s="6"/>
      <c r="P256" s="28"/>
      <c r="Q256" s="9"/>
      <c r="R256" s="20"/>
      <c r="S256" s="9"/>
      <c r="T256" s="20"/>
      <c r="U256" s="9"/>
      <c r="V256" s="9"/>
      <c r="W256" s="20"/>
      <c r="X256" s="9"/>
      <c r="Z256" s="1" t="str">
        <f t="shared" si="39"/>
        <v>793 STEERING SEAL KIT</v>
      </c>
      <c r="AA256" t="str">
        <f t="shared" si="39"/>
        <v xml:space="preserve">CAT-3234199 </v>
      </c>
      <c r="AB256" s="12">
        <f t="shared" si="41"/>
        <v>136.98048899656382</v>
      </c>
      <c r="AC256" s="11">
        <f t="shared" si="38"/>
        <v>1.5927963836809746</v>
      </c>
    </row>
    <row r="257" spans="3:29" x14ac:dyDescent="0.3">
      <c r="D257" s="1" t="s">
        <v>227</v>
      </c>
      <c r="E257" s="1">
        <v>2</v>
      </c>
      <c r="F257" s="1" t="s">
        <v>240</v>
      </c>
      <c r="G257" s="1" t="s">
        <v>290</v>
      </c>
      <c r="H257" s="1">
        <v>34</v>
      </c>
      <c r="I257" s="4"/>
      <c r="J257" s="28"/>
      <c r="K257" s="9"/>
      <c r="L257" s="9"/>
      <c r="M257" s="6"/>
      <c r="N257" s="6"/>
      <c r="O257" s="6"/>
      <c r="P257" s="28"/>
      <c r="Q257" s="9"/>
      <c r="R257" s="20"/>
      <c r="S257" s="9"/>
      <c r="T257" s="20"/>
      <c r="U257" s="9"/>
      <c r="V257" s="9"/>
      <c r="W257" s="20"/>
      <c r="X257" s="9"/>
      <c r="Z257" s="1" t="str">
        <f t="shared" si="39"/>
        <v>REPLACEMENT BEARING SLEEVE</v>
      </c>
      <c r="AA257" t="str">
        <f t="shared" si="39"/>
        <v>CAT-7J9694</v>
      </c>
      <c r="AB257" s="12">
        <f t="shared" si="41"/>
        <v>54.155077045153142</v>
      </c>
      <c r="AC257" s="11">
        <f t="shared" si="38"/>
        <v>1.5927963836809749</v>
      </c>
    </row>
    <row r="258" spans="3:29" x14ac:dyDescent="0.3">
      <c r="D258" s="1">
        <v>338325</v>
      </c>
      <c r="E258" s="1">
        <v>1</v>
      </c>
      <c r="F258" t="s">
        <v>363</v>
      </c>
      <c r="G258" s="1" t="s">
        <v>110</v>
      </c>
      <c r="H258" s="1">
        <v>4.8499999999999996</v>
      </c>
      <c r="I258" s="4"/>
      <c r="J258" s="28"/>
      <c r="K258" s="9"/>
      <c r="L258" s="9"/>
      <c r="M258" s="6"/>
      <c r="N258" s="6"/>
      <c r="O258" s="6"/>
      <c r="P258" s="28"/>
      <c r="Q258" s="9"/>
      <c r="R258" s="20"/>
      <c r="S258" s="9"/>
      <c r="T258" s="20"/>
      <c r="U258" s="9"/>
      <c r="V258" s="9"/>
      <c r="W258" s="20"/>
      <c r="X258" s="9"/>
      <c r="Z258" s="1" t="str">
        <f t="shared" si="39"/>
        <v>KOMATSU REPLACEMENT B/UP</v>
      </c>
      <c r="AA258" t="str">
        <f t="shared" si="39"/>
        <v>KOM-WA1456</v>
      </c>
      <c r="AB258" s="12">
        <f t="shared" si="41"/>
        <v>7.7250624608527261</v>
      </c>
      <c r="AC258" s="11">
        <f t="shared" si="38"/>
        <v>1.5927963836809746</v>
      </c>
    </row>
    <row r="259" spans="3:29" x14ac:dyDescent="0.3">
      <c r="D259" s="1">
        <v>338325</v>
      </c>
      <c r="E259" s="1">
        <v>2</v>
      </c>
      <c r="F259" s="1" t="s">
        <v>218</v>
      </c>
      <c r="G259" s="1" t="s">
        <v>111</v>
      </c>
      <c r="H259" s="1">
        <v>63</v>
      </c>
      <c r="I259" s="4"/>
      <c r="J259" s="28"/>
      <c r="K259" s="9"/>
      <c r="L259" s="9"/>
      <c r="M259" s="6"/>
      <c r="N259" s="6"/>
      <c r="O259" s="6"/>
      <c r="P259" s="28"/>
      <c r="Q259" s="9"/>
      <c r="R259" s="20"/>
      <c r="S259" s="9"/>
      <c r="T259" s="20"/>
      <c r="U259" s="9"/>
      <c r="V259" s="9"/>
      <c r="W259" s="20"/>
      <c r="X259" s="9"/>
      <c r="Z259" s="1" t="str">
        <f t="shared" si="39"/>
        <v>REPLACEMENT SNAP RING</v>
      </c>
      <c r="AA259" t="str">
        <f t="shared" si="39"/>
        <v>KOM-VN9351</v>
      </c>
      <c r="AB259" s="12">
        <f t="shared" si="41"/>
        <v>100.3461721719014</v>
      </c>
      <c r="AC259" s="11">
        <f t="shared" si="38"/>
        <v>1.5927963836809746</v>
      </c>
    </row>
    <row r="260" spans="3:29" x14ac:dyDescent="0.3">
      <c r="D260" s="1">
        <v>338325</v>
      </c>
      <c r="E260" s="1">
        <v>1</v>
      </c>
      <c r="F260" s="1" t="s">
        <v>364</v>
      </c>
      <c r="G260" s="1" t="s">
        <v>112</v>
      </c>
      <c r="H260" s="1">
        <v>177.16</v>
      </c>
      <c r="I260" s="4"/>
      <c r="J260" s="28"/>
      <c r="K260" s="9"/>
      <c r="L260" s="9"/>
      <c r="M260" s="6"/>
      <c r="N260" s="6"/>
      <c r="O260" s="6"/>
      <c r="P260" s="28"/>
      <c r="Q260" s="9"/>
      <c r="R260" s="20"/>
      <c r="S260" s="9"/>
      <c r="T260" s="20"/>
      <c r="U260" s="9"/>
      <c r="V260" s="9"/>
      <c r="W260" s="20"/>
      <c r="X260" s="9"/>
      <c r="Z260" s="1" t="str">
        <f t="shared" si="39"/>
        <v>KOMATSU REPLACEMENT BEARING</v>
      </c>
      <c r="AA260" t="str">
        <f t="shared" si="39"/>
        <v>KOM-VA0538</v>
      </c>
      <c r="AB260" s="12">
        <f t="shared" si="41"/>
        <v>282.17980733292143</v>
      </c>
      <c r="AC260" s="11">
        <f t="shared" si="38"/>
        <v>1.5927963836809744</v>
      </c>
    </row>
    <row r="261" spans="3:29" x14ac:dyDescent="0.3">
      <c r="D261" s="1">
        <v>338325</v>
      </c>
      <c r="E261" s="1">
        <v>2</v>
      </c>
      <c r="F261" s="1" t="s">
        <v>218</v>
      </c>
      <c r="G261" s="1" t="s">
        <v>113</v>
      </c>
      <c r="H261" s="1">
        <v>43.66</v>
      </c>
      <c r="I261" s="4"/>
      <c r="J261" s="28"/>
      <c r="K261" s="9"/>
      <c r="L261" s="9"/>
      <c r="M261" s="6"/>
      <c r="N261" s="6"/>
      <c r="O261" s="6"/>
      <c r="P261" s="28"/>
      <c r="Q261" s="9"/>
      <c r="R261" s="20"/>
      <c r="S261" s="9"/>
      <c r="T261" s="20"/>
      <c r="U261" s="9"/>
      <c r="V261" s="9"/>
      <c r="W261" s="20"/>
      <c r="X261" s="9"/>
      <c r="Z261" s="1" t="str">
        <f t="shared" si="39"/>
        <v>REPLACEMENT SNAP RING</v>
      </c>
      <c r="AA261" t="str">
        <f t="shared" si="39"/>
        <v>KOM-VN9346</v>
      </c>
      <c r="AB261" s="12">
        <f t="shared" si="41"/>
        <v>69.541490111511351</v>
      </c>
      <c r="AC261" s="11">
        <f t="shared" si="38"/>
        <v>1.5927963836809746</v>
      </c>
    </row>
    <row r="262" spans="3:29" x14ac:dyDescent="0.3">
      <c r="D262" s="1" t="s">
        <v>365</v>
      </c>
      <c r="E262" s="1">
        <v>2</v>
      </c>
      <c r="F262" s="1" t="s">
        <v>366</v>
      </c>
      <c r="G262" s="1" t="s">
        <v>367</v>
      </c>
      <c r="H262" s="1">
        <v>457.52</v>
      </c>
      <c r="I262" s="4"/>
      <c r="J262" s="28"/>
      <c r="K262" s="9"/>
      <c r="L262" s="9"/>
      <c r="M262" s="6"/>
      <c r="N262" s="6"/>
      <c r="O262" s="6"/>
      <c r="P262" s="28"/>
      <c r="Q262" s="9"/>
      <c r="R262" s="20"/>
      <c r="S262" s="9"/>
      <c r="T262" s="20"/>
      <c r="U262" s="9"/>
      <c r="V262" s="9"/>
      <c r="W262" s="20"/>
      <c r="X262" s="9"/>
      <c r="Z262" s="1" t="str">
        <f t="shared" si="39"/>
        <v>830E STEERING SEAL KIT</v>
      </c>
      <c r="AA262" t="str">
        <f t="shared" si="39"/>
        <v xml:space="preserve">KOM-58E/SC/AK011 </v>
      </c>
      <c r="AB262" s="12">
        <f t="shared" si="41"/>
        <v>728.73620146171947</v>
      </c>
      <c r="AC262" s="11">
        <f t="shared" si="38"/>
        <v>1.5927963836809746</v>
      </c>
    </row>
    <row r="264" spans="3:29" x14ac:dyDescent="0.3">
      <c r="C264" s="1" t="s">
        <v>272</v>
      </c>
      <c r="D264" s="1" t="s">
        <v>368</v>
      </c>
      <c r="E264" s="1">
        <v>1</v>
      </c>
      <c r="F264" s="1" t="s">
        <v>369</v>
      </c>
      <c r="G264" s="1" t="s">
        <v>370</v>
      </c>
      <c r="H264" s="1">
        <f>516.33*1.06</f>
        <v>547.30980000000011</v>
      </c>
      <c r="I264" s="4">
        <v>5068109421</v>
      </c>
      <c r="J264" s="5">
        <f>17+24</f>
        <v>41</v>
      </c>
      <c r="K264" s="5">
        <f>13*11*11+10*13*13</f>
        <v>3263</v>
      </c>
      <c r="L264" s="5">
        <v>479.53</v>
      </c>
      <c r="M264" s="6">
        <v>45832</v>
      </c>
      <c r="N264" s="6">
        <v>45839</v>
      </c>
      <c r="O264" s="6">
        <v>45848</v>
      </c>
      <c r="P264" s="5">
        <f>O264-M264</f>
        <v>16</v>
      </c>
      <c r="Q264" s="10"/>
      <c r="R264" s="4" t="s">
        <v>371</v>
      </c>
      <c r="S264" s="5">
        <v>857.68</v>
      </c>
      <c r="T264" s="4" t="s">
        <v>372</v>
      </c>
      <c r="U264" s="9">
        <v>7183</v>
      </c>
      <c r="V264" s="5"/>
      <c r="W264" s="4" t="s">
        <v>373</v>
      </c>
      <c r="X264" s="5">
        <v>503.14</v>
      </c>
      <c r="Z264" s="1" t="str">
        <f t="shared" si="39"/>
        <v>Valve Assy</v>
      </c>
      <c r="AA264" t="str">
        <f t="shared" si="39"/>
        <v>56186-67701</v>
      </c>
      <c r="AB264" s="12">
        <f>H264+($S$264+$U$264)*H264/SUM($H$264:$H$270)/3.74+$X$264*H264/SUM($H$264:$H$270)</f>
        <v>722.90163399673474</v>
      </c>
      <c r="AC264" s="11">
        <f t="shared" si="38"/>
        <v>1.3208271329998742</v>
      </c>
    </row>
    <row r="265" spans="3:29" x14ac:dyDescent="0.3">
      <c r="C265" s="1" t="s">
        <v>272</v>
      </c>
      <c r="D265" s="1" t="s">
        <v>368</v>
      </c>
      <c r="E265" s="1">
        <v>1</v>
      </c>
      <c r="F265" s="1" t="s">
        <v>374</v>
      </c>
      <c r="G265" s="1" t="s">
        <v>375</v>
      </c>
      <c r="H265" s="1">
        <f>2305.2*1.06</f>
        <v>2443.5119999999997</v>
      </c>
      <c r="I265" s="4"/>
      <c r="J265" s="5"/>
      <c r="K265" s="5"/>
      <c r="L265" s="5"/>
      <c r="M265" s="5"/>
      <c r="N265" s="5"/>
      <c r="O265" s="5"/>
      <c r="P265" s="5"/>
      <c r="Q265" s="10"/>
      <c r="R265" s="4"/>
      <c r="S265" s="5"/>
      <c r="T265" s="4"/>
      <c r="U265" s="5"/>
      <c r="V265" s="5"/>
      <c r="W265" s="4"/>
      <c r="X265" s="5"/>
      <c r="Z265" s="1" t="str">
        <f t="shared" si="39"/>
        <v>Service Kit</v>
      </c>
      <c r="AA265" t="str">
        <f t="shared" si="39"/>
        <v>721-98-02900</v>
      </c>
      <c r="AB265" s="12">
        <f t="shared" ref="AB265:AB270" si="42">H265+($S$264+$U$264)*H265/SUM($H$264:$H$270)/3.74+$X$264*H265/SUM($H$264:$H$270)</f>
        <v>3227.4569494107882</v>
      </c>
      <c r="AC265" s="11">
        <f t="shared" si="38"/>
        <v>1.3208271329998742</v>
      </c>
    </row>
    <row r="266" spans="3:29" x14ac:dyDescent="0.3">
      <c r="C266" s="1" t="s">
        <v>272</v>
      </c>
      <c r="D266" s="1" t="s">
        <v>368</v>
      </c>
      <c r="E266" s="1">
        <v>8</v>
      </c>
      <c r="F266" s="1" t="s">
        <v>128</v>
      </c>
      <c r="G266" s="1" t="s">
        <v>129</v>
      </c>
      <c r="H266" s="1">
        <f>168.24*1.06</f>
        <v>178.33440000000002</v>
      </c>
      <c r="I266" s="4"/>
      <c r="J266" s="5"/>
      <c r="K266" s="5"/>
      <c r="L266" s="5"/>
      <c r="M266" s="5"/>
      <c r="N266" s="5"/>
      <c r="O266" s="5"/>
      <c r="P266" s="5"/>
      <c r="Q266" s="10"/>
      <c r="R266" s="4"/>
      <c r="S266" s="5"/>
      <c r="T266" s="4"/>
      <c r="U266" s="5"/>
      <c r="V266" s="5"/>
      <c r="W266" s="4"/>
      <c r="X266" s="5"/>
      <c r="Z266" s="1" t="str">
        <f t="shared" si="39"/>
        <v>Bolt</v>
      </c>
      <c r="AA266" t="str">
        <f t="shared" si="39"/>
        <v>01011-82710</v>
      </c>
      <c r="AB266" s="12">
        <f t="shared" si="42"/>
        <v>235.5489142672528</v>
      </c>
      <c r="AC266" s="11">
        <f t="shared" si="38"/>
        <v>1.3208271329998742</v>
      </c>
    </row>
    <row r="267" spans="3:29" x14ac:dyDescent="0.3">
      <c r="C267" s="1" t="s">
        <v>376</v>
      </c>
      <c r="D267" s="1">
        <v>250805</v>
      </c>
      <c r="E267" s="1">
        <v>1</v>
      </c>
      <c r="F267" s="1" t="s">
        <v>377</v>
      </c>
      <c r="G267" s="1" t="s">
        <v>378</v>
      </c>
      <c r="H267" s="1">
        <f>1711.93*1.06</f>
        <v>1814.6458000000002</v>
      </c>
      <c r="I267" s="4"/>
      <c r="J267" s="5"/>
      <c r="K267" s="5"/>
      <c r="L267" s="5"/>
      <c r="M267" s="5"/>
      <c r="N267" s="5"/>
      <c r="O267" s="5"/>
      <c r="P267" s="5"/>
      <c r="Q267" s="10"/>
      <c r="R267" s="4"/>
      <c r="S267" s="5"/>
      <c r="T267" s="4"/>
      <c r="U267" s="5"/>
      <c r="V267" s="5"/>
      <c r="W267" s="4"/>
      <c r="X267" s="5"/>
      <c r="Z267" s="1" t="str">
        <f t="shared" si="39"/>
        <v>Sensor</v>
      </c>
      <c r="AA267" t="str">
        <f t="shared" si="39"/>
        <v>7861-86-67701</v>
      </c>
      <c r="AB267" s="12">
        <f t="shared" si="42"/>
        <v>2396.8334094242637</v>
      </c>
      <c r="AC267" s="11">
        <f t="shared" si="38"/>
        <v>1.3208271329998744</v>
      </c>
    </row>
    <row r="268" spans="3:29" x14ac:dyDescent="0.3">
      <c r="C268" s="1" t="s">
        <v>376</v>
      </c>
      <c r="D268" s="1">
        <v>250805</v>
      </c>
      <c r="E268" s="1">
        <v>1</v>
      </c>
      <c r="F268" s="1" t="s">
        <v>120</v>
      </c>
      <c r="G268" s="1" t="s">
        <v>379</v>
      </c>
      <c r="H268" s="1">
        <f>1414*1.06</f>
        <v>1498.8400000000001</v>
      </c>
      <c r="I268" s="4"/>
      <c r="J268" s="5"/>
      <c r="K268" s="5"/>
      <c r="L268" s="5"/>
      <c r="M268" s="5"/>
      <c r="N268" s="5"/>
      <c r="O268" s="5"/>
      <c r="P268" s="5"/>
      <c r="Q268" s="10"/>
      <c r="R268" s="4"/>
      <c r="S268" s="5"/>
      <c r="T268" s="4"/>
      <c r="U268" s="5"/>
      <c r="V268" s="5"/>
      <c r="W268" s="4"/>
      <c r="X268" s="5"/>
      <c r="Z268" s="1" t="str">
        <f t="shared" si="39"/>
        <v>Bushing</v>
      </c>
      <c r="AA268" t="str">
        <f t="shared" si="39"/>
        <v>70776-16030A</v>
      </c>
      <c r="AB268" s="12">
        <f t="shared" si="42"/>
        <v>1979.7085400255319</v>
      </c>
      <c r="AC268" s="11">
        <f t="shared" si="38"/>
        <v>1.3208271329998744</v>
      </c>
    </row>
    <row r="269" spans="3:29" x14ac:dyDescent="0.3">
      <c r="C269" s="1" t="s">
        <v>376</v>
      </c>
      <c r="D269" s="1">
        <v>250805</v>
      </c>
      <c r="E269" s="1">
        <v>2</v>
      </c>
      <c r="F269" s="1" t="s">
        <v>120</v>
      </c>
      <c r="G269" s="1" t="s">
        <v>380</v>
      </c>
      <c r="H269" s="1">
        <f>1351*1.06</f>
        <v>1432.0600000000002</v>
      </c>
      <c r="I269" s="4"/>
      <c r="J269" s="5"/>
      <c r="K269" s="5"/>
      <c r="L269" s="5"/>
      <c r="M269" s="5"/>
      <c r="N269" s="5"/>
      <c r="O269" s="5"/>
      <c r="P269" s="5"/>
      <c r="Q269" s="10"/>
      <c r="R269" s="4"/>
      <c r="S269" s="5"/>
      <c r="T269" s="4"/>
      <c r="U269" s="5"/>
      <c r="V269" s="5"/>
      <c r="W269" s="4"/>
      <c r="X269" s="5"/>
      <c r="Z269" s="1" t="str">
        <f t="shared" si="39"/>
        <v>Bushing</v>
      </c>
      <c r="AA269" t="str">
        <f t="shared" si="39"/>
        <v>707-46-16040A</v>
      </c>
      <c r="AB269" s="12">
        <f t="shared" si="42"/>
        <v>1891.5037040838001</v>
      </c>
      <c r="AC269" s="11">
        <f t="shared" si="38"/>
        <v>1.3208271329998742</v>
      </c>
    </row>
    <row r="270" spans="3:29" x14ac:dyDescent="0.3">
      <c r="C270" s="1" t="s">
        <v>376</v>
      </c>
      <c r="D270" s="1">
        <v>250805</v>
      </c>
      <c r="E270" s="1">
        <v>1</v>
      </c>
      <c r="F270" s="1" t="s">
        <v>120</v>
      </c>
      <c r="G270" s="1" t="s">
        <v>381</v>
      </c>
      <c r="H270" s="1">
        <f>334.64*1.06</f>
        <v>354.71840000000003</v>
      </c>
      <c r="I270" s="4"/>
      <c r="J270" s="5"/>
      <c r="K270" s="5"/>
      <c r="L270" s="5"/>
      <c r="M270" s="5"/>
      <c r="N270" s="5"/>
      <c r="O270" s="5"/>
      <c r="P270" s="5"/>
      <c r="Q270" s="10"/>
      <c r="R270" s="4"/>
      <c r="S270" s="5"/>
      <c r="T270" s="4"/>
      <c r="U270" s="5"/>
      <c r="V270" s="5"/>
      <c r="W270" s="4"/>
      <c r="X270" s="5"/>
      <c r="Z270" s="1" t="str">
        <f t="shared" si="39"/>
        <v>Bushing</v>
      </c>
      <c r="AA270" t="str">
        <f t="shared" si="39"/>
        <v xml:space="preserve">707-52-91451A </v>
      </c>
      <c r="AB270" s="12">
        <f t="shared" si="42"/>
        <v>468.52168729430264</v>
      </c>
      <c r="AC270" s="11">
        <f t="shared" si="38"/>
        <v>1.3208271329998742</v>
      </c>
    </row>
    <row r="272" spans="3:29" x14ac:dyDescent="0.3">
      <c r="C272" s="1" t="s">
        <v>382</v>
      </c>
      <c r="D272" s="1">
        <v>250862</v>
      </c>
      <c r="E272" s="1">
        <v>10</v>
      </c>
      <c r="F272" s="1" t="s">
        <v>383</v>
      </c>
      <c r="G272" s="1" t="s">
        <v>327</v>
      </c>
      <c r="H272" s="16">
        <v>30</v>
      </c>
      <c r="I272" s="4">
        <v>4123151745</v>
      </c>
      <c r="J272" s="5">
        <f>54+48+46</f>
        <v>148</v>
      </c>
      <c r="K272" s="5">
        <f>2*18*18*14+18*18*11</f>
        <v>12636</v>
      </c>
      <c r="L272" s="5">
        <v>842.36</v>
      </c>
      <c r="M272" s="6">
        <v>45838</v>
      </c>
      <c r="N272" s="6">
        <v>45842</v>
      </c>
      <c r="O272" s="6">
        <v>45842</v>
      </c>
      <c r="P272" s="5">
        <f>O272-M272</f>
        <v>4</v>
      </c>
      <c r="Q272" s="10"/>
      <c r="R272" s="4" t="s">
        <v>384</v>
      </c>
      <c r="S272" s="5">
        <v>859.14</v>
      </c>
      <c r="T272" s="4" t="s">
        <v>385</v>
      </c>
      <c r="U272" s="5">
        <f>4863.26-1177.26</f>
        <v>3686</v>
      </c>
      <c r="V272" s="10"/>
      <c r="W272" s="4" t="s">
        <v>373</v>
      </c>
      <c r="X272" s="5">
        <v>504.62</v>
      </c>
      <c r="Z272" s="1" t="str">
        <f t="shared" si="39"/>
        <v xml:space="preserve">Limpiador </v>
      </c>
      <c r="AA272" t="str">
        <f t="shared" si="39"/>
        <v>CAT-7K9204</v>
      </c>
      <c r="AB272" s="12">
        <f>H272+($S$272+$U$272)*H272/SUM($H$272:$H$286)/3.74+$X$272*H272/SUM($H$272:$H$286)</f>
        <v>50.895372067383192</v>
      </c>
      <c r="AC272" s="11">
        <f t="shared" si="38"/>
        <v>1.6965124022461064</v>
      </c>
    </row>
    <row r="273" spans="3:29" x14ac:dyDescent="0.3">
      <c r="C273" s="1" t="s">
        <v>386</v>
      </c>
      <c r="D273" s="1">
        <v>250862</v>
      </c>
      <c r="E273" s="1">
        <v>6</v>
      </c>
      <c r="F273" s="1" t="s">
        <v>383</v>
      </c>
      <c r="G273" s="1" t="s">
        <v>326</v>
      </c>
      <c r="H273" s="1">
        <v>51</v>
      </c>
      <c r="I273" s="4"/>
      <c r="J273" s="5"/>
      <c r="K273" s="5"/>
      <c r="L273" s="5"/>
      <c r="M273" s="6"/>
      <c r="N273" s="6"/>
      <c r="O273" s="5"/>
      <c r="P273" s="5"/>
      <c r="Q273" s="10"/>
      <c r="R273" s="4"/>
      <c r="S273" s="5"/>
      <c r="T273" s="4"/>
      <c r="U273" s="5"/>
      <c r="V273" s="10"/>
      <c r="W273" s="4"/>
      <c r="X273" s="5"/>
      <c r="Z273" s="1" t="str">
        <f t="shared" si="39"/>
        <v xml:space="preserve">Limpiador </v>
      </c>
      <c r="AA273" t="str">
        <f t="shared" si="39"/>
        <v>CAT-9X4597</v>
      </c>
      <c r="AB273" s="12">
        <f t="shared" ref="AB273:AB286" si="43">H273+($S$272+$U$272)*H273/SUM($H$272:$H$286)/3.74+$X$272*H273/SUM($H$272:$H$286)</f>
        <v>86.52213251455143</v>
      </c>
      <c r="AC273" s="11">
        <f t="shared" si="38"/>
        <v>1.6965124022461064</v>
      </c>
    </row>
    <row r="274" spans="3:29" x14ac:dyDescent="0.3">
      <c r="C274" s="1">
        <v>341625</v>
      </c>
      <c r="D274" s="1">
        <v>250862</v>
      </c>
      <c r="E274" s="1">
        <v>2</v>
      </c>
      <c r="F274" s="1" t="s">
        <v>387</v>
      </c>
      <c r="G274" s="1" t="s">
        <v>316</v>
      </c>
      <c r="H274" s="1">
        <v>226.96</v>
      </c>
      <c r="I274" s="4"/>
      <c r="J274" s="5"/>
      <c r="K274" s="5"/>
      <c r="L274" s="5"/>
      <c r="M274" s="6"/>
      <c r="N274" s="6"/>
      <c r="O274" s="5"/>
      <c r="P274" s="5"/>
      <c r="Q274" s="10"/>
      <c r="R274" s="4"/>
      <c r="S274" s="5"/>
      <c r="T274" s="4"/>
      <c r="U274" s="5"/>
      <c r="V274" s="10"/>
      <c r="W274" s="4"/>
      <c r="X274" s="5"/>
      <c r="Z274" s="1" t="str">
        <f t="shared" si="39"/>
        <v>Cojinete Esférico</v>
      </c>
      <c r="AA274" t="str">
        <f t="shared" si="39"/>
        <v>CAT-7J3297</v>
      </c>
      <c r="AB274" s="12">
        <f t="shared" si="43"/>
        <v>385.04045481377631</v>
      </c>
      <c r="AC274" s="11">
        <f t="shared" si="38"/>
        <v>1.6965124022461064</v>
      </c>
    </row>
    <row r="275" spans="3:29" x14ac:dyDescent="0.3">
      <c r="C275" s="1">
        <v>341625</v>
      </c>
      <c r="D275" s="1">
        <v>250862</v>
      </c>
      <c r="E275" s="1">
        <v>2</v>
      </c>
      <c r="F275" s="1" t="s">
        <v>388</v>
      </c>
      <c r="G275" s="1" t="s">
        <v>330</v>
      </c>
      <c r="H275" s="1">
        <v>37.200000000000003</v>
      </c>
      <c r="I275" s="4"/>
      <c r="J275" s="5"/>
      <c r="K275" s="5"/>
      <c r="L275" s="5"/>
      <c r="M275" s="6"/>
      <c r="N275" s="6"/>
      <c r="O275" s="5"/>
      <c r="P275" s="5"/>
      <c r="Q275" s="10"/>
      <c r="R275" s="4"/>
      <c r="S275" s="5"/>
      <c r="T275" s="4"/>
      <c r="U275" s="5"/>
      <c r="V275" s="10"/>
      <c r="W275" s="4"/>
      <c r="X275" s="5"/>
      <c r="Z275" s="1" t="str">
        <f t="shared" si="39"/>
        <v xml:space="preserve">Tuercas </v>
      </c>
      <c r="AA275" t="str">
        <f t="shared" si="39"/>
        <v>CAT-5J5731</v>
      </c>
      <c r="AB275" s="12">
        <f t="shared" si="43"/>
        <v>63.110261363555168</v>
      </c>
      <c r="AC275" s="11">
        <f t="shared" si="38"/>
        <v>1.6965124022461064</v>
      </c>
    </row>
    <row r="276" spans="3:29" x14ac:dyDescent="0.3">
      <c r="C276" s="1">
        <v>341625</v>
      </c>
      <c r="D276" s="1">
        <v>250862</v>
      </c>
      <c r="E276" s="1">
        <v>2</v>
      </c>
      <c r="F276" s="1" t="s">
        <v>389</v>
      </c>
      <c r="G276" s="1" t="s">
        <v>320</v>
      </c>
      <c r="H276" s="1">
        <v>51.32</v>
      </c>
      <c r="I276" s="4"/>
      <c r="J276" s="5"/>
      <c r="K276" s="5"/>
      <c r="L276" s="5"/>
      <c r="M276" s="6"/>
      <c r="N276" s="6"/>
      <c r="O276" s="5"/>
      <c r="P276" s="5"/>
      <c r="Q276" s="10"/>
      <c r="R276" s="4"/>
      <c r="S276" s="5"/>
      <c r="T276" s="4"/>
      <c r="U276" s="5"/>
      <c r="V276" s="10"/>
      <c r="W276" s="4"/>
      <c r="X276" s="5"/>
      <c r="Z276" s="1" t="str">
        <f t="shared" si="39"/>
        <v>Buje</v>
      </c>
      <c r="AA276" t="str">
        <f t="shared" si="39"/>
        <v>CAT-5J1192</v>
      </c>
      <c r="AB276" s="12">
        <f t="shared" si="43"/>
        <v>87.065016483270171</v>
      </c>
      <c r="AC276" s="11">
        <f t="shared" si="38"/>
        <v>1.6965124022461062</v>
      </c>
    </row>
    <row r="277" spans="3:29" x14ac:dyDescent="0.3">
      <c r="C277" s="1">
        <v>341625</v>
      </c>
      <c r="D277" s="1">
        <v>250862</v>
      </c>
      <c r="E277" s="1">
        <v>2</v>
      </c>
      <c r="F277" s="1" t="s">
        <v>389</v>
      </c>
      <c r="G277" s="1" t="s">
        <v>139</v>
      </c>
      <c r="H277" s="1">
        <v>35.659999999999997</v>
      </c>
      <c r="I277" s="4"/>
      <c r="J277" s="5"/>
      <c r="K277" s="5"/>
      <c r="L277" s="5"/>
      <c r="M277" s="6"/>
      <c r="N277" s="6"/>
      <c r="O277" s="5"/>
      <c r="P277" s="5"/>
      <c r="Q277" s="10"/>
      <c r="R277" s="4"/>
      <c r="S277" s="5"/>
      <c r="T277" s="4"/>
      <c r="U277" s="5"/>
      <c r="V277" s="10"/>
      <c r="W277" s="4"/>
      <c r="X277" s="5"/>
      <c r="Z277" s="1" t="str">
        <f t="shared" si="39"/>
        <v>Buje</v>
      </c>
      <c r="AA277" t="str">
        <f t="shared" si="39"/>
        <v>CAT-1U2182</v>
      </c>
      <c r="AB277" s="12">
        <f t="shared" si="43"/>
        <v>60.497632264096147</v>
      </c>
      <c r="AC277" s="11">
        <f t="shared" si="38"/>
        <v>1.6965124022461064</v>
      </c>
    </row>
    <row r="278" spans="3:29" x14ac:dyDescent="0.3">
      <c r="C278" s="1" t="s">
        <v>227</v>
      </c>
      <c r="D278" s="1">
        <v>250862</v>
      </c>
      <c r="E278" s="1">
        <v>2</v>
      </c>
      <c r="F278" s="1" t="s">
        <v>390</v>
      </c>
      <c r="G278" s="1" t="s">
        <v>75</v>
      </c>
      <c r="H278" s="1">
        <v>260</v>
      </c>
      <c r="I278" s="4"/>
      <c r="J278" s="5"/>
      <c r="K278" s="5"/>
      <c r="L278" s="5"/>
      <c r="M278" s="6"/>
      <c r="N278" s="6"/>
      <c r="O278" s="5"/>
      <c r="P278" s="5"/>
      <c r="Q278" s="10"/>
      <c r="R278" s="4"/>
      <c r="S278" s="5"/>
      <c r="T278" s="4"/>
      <c r="U278" s="5"/>
      <c r="V278" s="10"/>
      <c r="W278" s="4"/>
      <c r="X278" s="5"/>
      <c r="Z278" s="1" t="str">
        <f t="shared" si="39"/>
        <v>Kit de sellos</v>
      </c>
      <c r="AA278" t="str">
        <f t="shared" si="39"/>
        <v>CAT-2460649</v>
      </c>
      <c r="AB278" s="12">
        <f t="shared" si="43"/>
        <v>441.09322458398765</v>
      </c>
      <c r="AC278" s="11">
        <f t="shared" si="38"/>
        <v>1.6965124022461064</v>
      </c>
    </row>
    <row r="279" spans="3:29" x14ac:dyDescent="0.3">
      <c r="C279" s="1" t="s">
        <v>227</v>
      </c>
      <c r="D279" s="1">
        <v>250862</v>
      </c>
      <c r="E279" s="1">
        <v>5</v>
      </c>
      <c r="F279" s="1" t="s">
        <v>390</v>
      </c>
      <c r="G279" s="1" t="s">
        <v>101</v>
      </c>
      <c r="H279" s="1">
        <v>175.6</v>
      </c>
      <c r="I279" s="4"/>
      <c r="J279" s="5"/>
      <c r="K279" s="5"/>
      <c r="L279" s="5"/>
      <c r="M279" s="6"/>
      <c r="N279" s="6"/>
      <c r="O279" s="5"/>
      <c r="P279" s="5"/>
      <c r="Q279" s="10"/>
      <c r="R279" s="4"/>
      <c r="S279" s="5"/>
      <c r="T279" s="4"/>
      <c r="U279" s="5"/>
      <c r="V279" s="10"/>
      <c r="W279" s="4"/>
      <c r="X279" s="5"/>
      <c r="Z279" s="1" t="str">
        <f t="shared" si="39"/>
        <v>Kit de sellos</v>
      </c>
      <c r="AA279" t="str">
        <f t="shared" si="39"/>
        <v>CAT-2341948</v>
      </c>
      <c r="AB279" s="12">
        <f t="shared" si="43"/>
        <v>297.90757783441626</v>
      </c>
      <c r="AC279" s="11">
        <f t="shared" si="38"/>
        <v>1.6965124022461062</v>
      </c>
    </row>
    <row r="280" spans="3:29" x14ac:dyDescent="0.3">
      <c r="C280" s="1" t="s">
        <v>227</v>
      </c>
      <c r="D280" s="1">
        <v>250862</v>
      </c>
      <c r="E280" s="1">
        <v>3</v>
      </c>
      <c r="F280" s="1" t="s">
        <v>390</v>
      </c>
      <c r="G280" s="1" t="s">
        <v>391</v>
      </c>
      <c r="H280" s="1">
        <v>82.86</v>
      </c>
      <c r="I280" s="4"/>
      <c r="J280" s="5"/>
      <c r="K280" s="5"/>
      <c r="L280" s="5"/>
      <c r="M280" s="6"/>
      <c r="N280" s="6"/>
      <c r="O280" s="5"/>
      <c r="P280" s="5"/>
      <c r="Q280" s="10"/>
      <c r="R280" s="4"/>
      <c r="S280" s="5"/>
      <c r="T280" s="4"/>
      <c r="U280" s="5"/>
      <c r="V280" s="10"/>
      <c r="W280" s="4"/>
      <c r="X280" s="5"/>
      <c r="Z280" s="1" t="str">
        <f t="shared" si="39"/>
        <v>Kit de sellos</v>
      </c>
      <c r="AA280" t="str">
        <f t="shared" si="39"/>
        <v>CAT-2339205</v>
      </c>
      <c r="AB280" s="12">
        <f t="shared" si="43"/>
        <v>140.57301765011238</v>
      </c>
      <c r="AC280" s="11">
        <f t="shared" si="38"/>
        <v>1.6965124022461064</v>
      </c>
    </row>
    <row r="281" spans="3:29" x14ac:dyDescent="0.3">
      <c r="C281" s="1" t="s">
        <v>392</v>
      </c>
      <c r="D281" s="1">
        <v>250855</v>
      </c>
      <c r="E281" s="1">
        <v>4</v>
      </c>
      <c r="F281" s="1" t="s">
        <v>393</v>
      </c>
      <c r="G281" s="29" t="s">
        <v>394</v>
      </c>
      <c r="H281" s="1">
        <v>75</v>
      </c>
      <c r="I281" s="4"/>
      <c r="J281" s="5"/>
      <c r="K281" s="5"/>
      <c r="L281" s="5"/>
      <c r="M281" s="6"/>
      <c r="N281" s="6"/>
      <c r="O281" s="5"/>
      <c r="P281" s="5"/>
      <c r="Q281" s="10"/>
      <c r="R281" s="4"/>
      <c r="S281" s="5"/>
      <c r="T281" s="4"/>
      <c r="U281" s="5"/>
      <c r="V281" s="10"/>
      <c r="W281" s="4"/>
      <c r="X281" s="5"/>
      <c r="Z281" s="1" t="str">
        <f t="shared" si="39"/>
        <v xml:space="preserve"> Anillo de Retención</v>
      </c>
      <c r="AA281" t="str">
        <f t="shared" si="39"/>
        <v>CAT-8J8905</v>
      </c>
      <c r="AB281" s="12">
        <f t="shared" si="43"/>
        <v>127.23843016845797</v>
      </c>
      <c r="AC281" s="11">
        <f t="shared" si="38"/>
        <v>1.6965124022461062</v>
      </c>
    </row>
    <row r="282" spans="3:29" x14ac:dyDescent="0.3">
      <c r="C282" s="1" t="s">
        <v>392</v>
      </c>
      <c r="D282" s="1">
        <v>250855</v>
      </c>
      <c r="E282" s="1">
        <v>4</v>
      </c>
      <c r="F282" s="1" t="s">
        <v>395</v>
      </c>
      <c r="G282" s="29" t="s">
        <v>143</v>
      </c>
      <c r="H282" s="1">
        <v>115.6</v>
      </c>
      <c r="I282" s="4"/>
      <c r="J282" s="5"/>
      <c r="K282" s="5"/>
      <c r="L282" s="5"/>
      <c r="M282" s="6"/>
      <c r="N282" s="6"/>
      <c r="O282" s="5"/>
      <c r="P282" s="5"/>
      <c r="Q282" s="10"/>
      <c r="R282" s="4"/>
      <c r="S282" s="5"/>
      <c r="T282" s="4"/>
      <c r="U282" s="5"/>
      <c r="V282" s="10"/>
      <c r="W282" s="4"/>
      <c r="X282" s="5"/>
      <c r="Z282" s="1" t="str">
        <f t="shared" si="39"/>
        <v xml:space="preserve">Casquillo </v>
      </c>
      <c r="AA282" t="str">
        <f t="shared" si="39"/>
        <v>CAT-9J1175</v>
      </c>
      <c r="AB282" s="12">
        <f t="shared" si="43"/>
        <v>196.1168336996499</v>
      </c>
      <c r="AC282" s="11">
        <f t="shared" si="38"/>
        <v>1.6965124022461064</v>
      </c>
    </row>
    <row r="283" spans="3:29" x14ac:dyDescent="0.3">
      <c r="C283" s="1" t="s">
        <v>227</v>
      </c>
      <c r="D283" s="1">
        <v>250831</v>
      </c>
      <c r="E283" s="1">
        <v>10</v>
      </c>
      <c r="F283" s="1" t="s">
        <v>396</v>
      </c>
      <c r="G283" s="29" t="s">
        <v>84</v>
      </c>
      <c r="H283" s="1">
        <v>185.1</v>
      </c>
      <c r="I283" s="4"/>
      <c r="J283" s="5"/>
      <c r="K283" s="5"/>
      <c r="L283" s="5"/>
      <c r="M283" s="6"/>
      <c r="N283" s="6"/>
      <c r="O283" s="5"/>
      <c r="P283" s="5"/>
      <c r="Q283" s="10"/>
      <c r="R283" s="4"/>
      <c r="S283" s="5"/>
      <c r="T283" s="4"/>
      <c r="U283" s="5"/>
      <c r="V283" s="10"/>
      <c r="W283" s="4"/>
      <c r="X283" s="5"/>
      <c r="Z283" s="1" t="str">
        <f t="shared" si="39"/>
        <v>Tapon</v>
      </c>
      <c r="AA283" t="str">
        <f t="shared" si="39"/>
        <v>KOM-TY8879</v>
      </c>
      <c r="AB283" s="12">
        <f t="shared" si="43"/>
        <v>314.02444565575428</v>
      </c>
      <c r="AC283" s="11">
        <f t="shared" si="38"/>
        <v>1.6965124022461064</v>
      </c>
    </row>
    <row r="284" spans="3:29" x14ac:dyDescent="0.3">
      <c r="C284" s="1">
        <v>340425</v>
      </c>
      <c r="D284" s="1">
        <v>250867</v>
      </c>
      <c r="E284" s="1">
        <v>1</v>
      </c>
      <c r="F284" s="1" t="s">
        <v>397</v>
      </c>
      <c r="G284" s="29" t="s">
        <v>398</v>
      </c>
      <c r="H284" s="1">
        <v>35</v>
      </c>
      <c r="I284" s="4"/>
      <c r="J284" s="5"/>
      <c r="K284" s="5"/>
      <c r="L284" s="5"/>
      <c r="M284" s="6"/>
      <c r="N284" s="6"/>
      <c r="O284" s="5"/>
      <c r="P284" s="5"/>
      <c r="Q284" s="10"/>
      <c r="R284" s="4"/>
      <c r="S284" s="5"/>
      <c r="T284" s="4"/>
      <c r="U284" s="5"/>
      <c r="V284" s="10"/>
      <c r="W284" s="4"/>
      <c r="X284" s="5"/>
      <c r="Z284" s="1" t="str">
        <f t="shared" si="39"/>
        <v xml:space="preserve">Cojinete </v>
      </c>
      <c r="AA284" t="str">
        <f t="shared" si="39"/>
        <v xml:space="preserve">CAT-1559100 </v>
      </c>
      <c r="AB284" s="12">
        <f t="shared" si="43"/>
        <v>59.37793407861372</v>
      </c>
      <c r="AC284" s="11">
        <f t="shared" si="38"/>
        <v>1.6965124022461062</v>
      </c>
    </row>
    <row r="285" spans="3:29" x14ac:dyDescent="0.3">
      <c r="C285" s="1">
        <v>340425</v>
      </c>
      <c r="D285" s="1">
        <v>250867</v>
      </c>
      <c r="E285" s="1">
        <v>2</v>
      </c>
      <c r="F285" s="1" t="s">
        <v>395</v>
      </c>
      <c r="G285" s="29" t="s">
        <v>399</v>
      </c>
      <c r="H285" s="1">
        <v>554</v>
      </c>
      <c r="I285" s="4"/>
      <c r="J285" s="5"/>
      <c r="K285" s="5"/>
      <c r="L285" s="5"/>
      <c r="M285" s="6"/>
      <c r="N285" s="6"/>
      <c r="O285" s="5"/>
      <c r="P285" s="5"/>
      <c r="Q285" s="10"/>
      <c r="R285" s="4"/>
      <c r="S285" s="5"/>
      <c r="T285" s="4"/>
      <c r="U285" s="5"/>
      <c r="V285" s="10"/>
      <c r="W285" s="4"/>
      <c r="X285" s="5"/>
      <c r="Z285" s="1" t="str">
        <f t="shared" si="39"/>
        <v xml:space="preserve">Casquillo </v>
      </c>
      <c r="AA285" t="str">
        <f t="shared" si="39"/>
        <v>CAT-1722997</v>
      </c>
      <c r="AB285" s="12">
        <f t="shared" si="43"/>
        <v>939.86787084434297</v>
      </c>
      <c r="AC285" s="11">
        <f t="shared" si="38"/>
        <v>1.6965124022461064</v>
      </c>
    </row>
    <row r="286" spans="3:29" x14ac:dyDescent="0.3">
      <c r="C286" s="1" t="s">
        <v>227</v>
      </c>
      <c r="D286" s="1">
        <v>250874</v>
      </c>
      <c r="E286" s="1">
        <v>2</v>
      </c>
      <c r="F286" s="1" t="s">
        <v>395</v>
      </c>
      <c r="G286" s="29" t="s">
        <v>399</v>
      </c>
      <c r="H286" s="1">
        <v>554</v>
      </c>
      <c r="I286" s="4"/>
      <c r="J286" s="5"/>
      <c r="K286" s="5"/>
      <c r="L286" s="5"/>
      <c r="M286" s="6"/>
      <c r="N286" s="6"/>
      <c r="O286" s="5"/>
      <c r="P286" s="5"/>
      <c r="Q286" s="10"/>
      <c r="R286" s="4"/>
      <c r="S286" s="5"/>
      <c r="T286" s="4"/>
      <c r="U286" s="5"/>
      <c r="V286" s="10"/>
      <c r="W286" s="4"/>
      <c r="X286" s="5"/>
      <c r="Z286" s="1" t="str">
        <f t="shared" si="39"/>
        <v xml:space="preserve">Casquillo </v>
      </c>
      <c r="AA286" t="str">
        <f t="shared" si="39"/>
        <v>CAT-1722997</v>
      </c>
      <c r="AB286" s="12">
        <f t="shared" si="43"/>
        <v>939.86787084434297</v>
      </c>
      <c r="AC286" s="11">
        <f t="shared" si="38"/>
        <v>1.6965124022461064</v>
      </c>
    </row>
    <row r="287" spans="3:29" x14ac:dyDescent="0.3">
      <c r="H287" s="16"/>
      <c r="AB287" s="12"/>
      <c r="AC287" s="11"/>
    </row>
    <row r="288" spans="3:29" s="2" customFormat="1" x14ac:dyDescent="0.3">
      <c r="D288" s="2" t="s">
        <v>400</v>
      </c>
      <c r="E288" s="2">
        <v>3</v>
      </c>
      <c r="F288" s="2" t="s">
        <v>286</v>
      </c>
      <c r="G288" s="2" t="s">
        <v>74</v>
      </c>
      <c r="H288" s="2">
        <v>295.29000000000002</v>
      </c>
      <c r="I288" s="4">
        <v>1439909413</v>
      </c>
      <c r="J288" s="5">
        <v>26</v>
      </c>
      <c r="K288" s="5">
        <f>14*14*14</f>
        <v>2744</v>
      </c>
      <c r="L288" s="5">
        <v>296.64</v>
      </c>
      <c r="M288" s="6">
        <v>45841</v>
      </c>
      <c r="N288" s="6">
        <v>45846</v>
      </c>
      <c r="O288" s="6">
        <f>N288</f>
        <v>45846</v>
      </c>
      <c r="P288" s="5">
        <f>O288-M288</f>
        <v>5</v>
      </c>
      <c r="Q288" s="5"/>
      <c r="R288" s="4" t="s">
        <v>401</v>
      </c>
      <c r="S288" s="5">
        <v>144.76</v>
      </c>
      <c r="T288" s="4" t="s">
        <v>402</v>
      </c>
      <c r="U288" s="5">
        <v>864</v>
      </c>
      <c r="V288" s="5"/>
      <c r="W288" s="4" t="s">
        <v>403</v>
      </c>
      <c r="X288" s="5">
        <v>251.39</v>
      </c>
      <c r="Z288" s="1" t="str">
        <f t="shared" ref="Z288:AA300" si="44">F288</f>
        <v>SEAL KIT</v>
      </c>
      <c r="AA288" t="str">
        <f t="shared" si="44"/>
        <v>CAT-2456835</v>
      </c>
      <c r="AB288" s="12">
        <f>H288+($S$288+$U$288)*H288/SUM($H$288:$H$296)/3.74+$X$288*H288/SUM($H$288:$H$296)</f>
        <v>462.74104779664538</v>
      </c>
      <c r="AC288" s="11">
        <f t="shared" ref="AC288:AC300" si="45">AB288/H288</f>
        <v>1.5670732086987211</v>
      </c>
    </row>
    <row r="289" spans="3:29" s="2" customFormat="1" x14ac:dyDescent="0.3">
      <c r="D289" s="2" t="s">
        <v>400</v>
      </c>
      <c r="E289" s="2">
        <v>4</v>
      </c>
      <c r="F289" s="2" t="s">
        <v>240</v>
      </c>
      <c r="G289" s="2" t="s">
        <v>139</v>
      </c>
      <c r="H289" s="2">
        <v>71.319999999999993</v>
      </c>
      <c r="I289" s="4"/>
      <c r="J289" s="5"/>
      <c r="K289" s="5"/>
      <c r="L289" s="5"/>
      <c r="M289" s="5"/>
      <c r="N289" s="5"/>
      <c r="O289" s="5"/>
      <c r="P289" s="5"/>
      <c r="Q289" s="5"/>
      <c r="R289" s="4"/>
      <c r="S289" s="5"/>
      <c r="T289" s="4"/>
      <c r="U289" s="5"/>
      <c r="V289" s="5"/>
      <c r="W289" s="4"/>
      <c r="X289" s="5"/>
      <c r="Z289" s="1" t="str">
        <f t="shared" si="44"/>
        <v>REPLACEMENT BEARING SLEEVE</v>
      </c>
      <c r="AA289" t="str">
        <f t="shared" si="44"/>
        <v>CAT-1U2182</v>
      </c>
      <c r="AB289" s="12">
        <f t="shared" ref="AB289:AB296" si="46">H289+($S$288+$U$288)*H289/SUM($H$288:$H$296)/3.74+$X$288*H289/SUM($H$288:$H$296)</f>
        <v>111.76366124439278</v>
      </c>
      <c r="AC289" s="11">
        <f t="shared" si="45"/>
        <v>1.5670732086987211</v>
      </c>
    </row>
    <row r="290" spans="3:29" s="2" customFormat="1" x14ac:dyDescent="0.3">
      <c r="D290" s="2" t="s">
        <v>404</v>
      </c>
      <c r="E290" s="2">
        <v>2</v>
      </c>
      <c r="F290" s="2" t="s">
        <v>405</v>
      </c>
      <c r="G290" s="2" t="s">
        <v>406</v>
      </c>
      <c r="H290" s="2">
        <v>229.14</v>
      </c>
      <c r="I290" s="4"/>
      <c r="J290" s="5"/>
      <c r="K290" s="5"/>
      <c r="L290" s="5"/>
      <c r="M290" s="5"/>
      <c r="N290" s="5"/>
      <c r="O290" s="5"/>
      <c r="P290" s="5"/>
      <c r="Q290" s="5"/>
      <c r="R290" s="4"/>
      <c r="S290" s="5"/>
      <c r="T290" s="4"/>
      <c r="U290" s="5"/>
      <c r="V290" s="5"/>
      <c r="W290" s="4"/>
      <c r="X290" s="5"/>
      <c r="Z290" s="1" t="str">
        <f t="shared" si="44"/>
        <v>SEAL KIT 210.00 X 130.00MM</v>
      </c>
      <c r="AA290" t="str">
        <f t="shared" si="44"/>
        <v>CAT-4779286</v>
      </c>
      <c r="AB290" s="12">
        <f t="shared" si="46"/>
        <v>359.07915504122496</v>
      </c>
      <c r="AC290" s="11">
        <f t="shared" si="45"/>
        <v>1.5670732086987214</v>
      </c>
    </row>
    <row r="291" spans="3:29" s="2" customFormat="1" x14ac:dyDescent="0.3">
      <c r="D291" s="2" t="s">
        <v>404</v>
      </c>
      <c r="E291" s="2">
        <v>3</v>
      </c>
      <c r="F291" s="2" t="s">
        <v>407</v>
      </c>
      <c r="G291" s="2" t="s">
        <v>408</v>
      </c>
      <c r="H291" s="2">
        <v>54</v>
      </c>
      <c r="I291" s="4"/>
      <c r="J291" s="5"/>
      <c r="K291" s="5"/>
      <c r="L291" s="5"/>
      <c r="M291" s="5"/>
      <c r="N291" s="5"/>
      <c r="O291" s="5"/>
      <c r="P291" s="5"/>
      <c r="Q291" s="5"/>
      <c r="R291" s="4"/>
      <c r="S291" s="5"/>
      <c r="T291" s="4"/>
      <c r="U291" s="5"/>
      <c r="V291" s="5"/>
      <c r="W291" s="4"/>
      <c r="X291" s="5"/>
      <c r="Z291" s="1" t="str">
        <f t="shared" si="44"/>
        <v>160.00MM.- ROD WIPER</v>
      </c>
      <c r="AA291" t="str">
        <f t="shared" si="44"/>
        <v>CAT-9X7700</v>
      </c>
      <c r="AB291" s="12">
        <f t="shared" si="46"/>
        <v>84.621953269730952</v>
      </c>
      <c r="AC291" s="11">
        <f t="shared" si="45"/>
        <v>1.5670732086987214</v>
      </c>
    </row>
    <row r="292" spans="3:29" s="2" customFormat="1" x14ac:dyDescent="0.3">
      <c r="D292" s="2">
        <v>340925</v>
      </c>
      <c r="E292" s="2">
        <v>2</v>
      </c>
      <c r="F292" s="2" t="s">
        <v>409</v>
      </c>
      <c r="G292" s="2" t="s">
        <v>292</v>
      </c>
      <c r="H292" s="2">
        <v>12.2</v>
      </c>
      <c r="I292" s="4"/>
      <c r="J292" s="5"/>
      <c r="K292" s="5"/>
      <c r="L292" s="5"/>
      <c r="M292" s="5"/>
      <c r="N292" s="5"/>
      <c r="O292" s="5"/>
      <c r="P292" s="5"/>
      <c r="Q292" s="5"/>
      <c r="R292" s="4"/>
      <c r="S292" s="5"/>
      <c r="T292" s="4"/>
      <c r="U292" s="5"/>
      <c r="V292" s="5"/>
      <c r="W292" s="4"/>
      <c r="X292" s="5"/>
      <c r="Z292" s="1" t="str">
        <f t="shared" si="44"/>
        <v>60.00MM. - PIN WIPER</v>
      </c>
      <c r="AA292" t="str">
        <f t="shared" si="44"/>
        <v>CAT-8T7535</v>
      </c>
      <c r="AB292" s="12">
        <f t="shared" si="46"/>
        <v>19.118293146124394</v>
      </c>
      <c r="AC292" s="11">
        <f t="shared" si="45"/>
        <v>1.5670732086987209</v>
      </c>
    </row>
    <row r="293" spans="3:29" s="2" customFormat="1" x14ac:dyDescent="0.3">
      <c r="D293" s="2">
        <v>340925</v>
      </c>
      <c r="E293" s="2">
        <v>2</v>
      </c>
      <c r="F293" s="2" t="s">
        <v>240</v>
      </c>
      <c r="G293" s="2" t="s">
        <v>133</v>
      </c>
      <c r="H293" s="2">
        <v>29</v>
      </c>
      <c r="I293" s="4"/>
      <c r="J293" s="5"/>
      <c r="K293" s="5"/>
      <c r="L293" s="5"/>
      <c r="M293" s="5"/>
      <c r="N293" s="5"/>
      <c r="O293" s="5"/>
      <c r="P293" s="5"/>
      <c r="Q293" s="5"/>
      <c r="R293" s="4"/>
      <c r="S293" s="5"/>
      <c r="T293" s="4"/>
      <c r="U293" s="5"/>
      <c r="V293" s="5"/>
      <c r="W293" s="4"/>
      <c r="X293" s="5"/>
      <c r="Z293" s="1" t="str">
        <f t="shared" si="44"/>
        <v>REPLACEMENT BEARING SLEEVE</v>
      </c>
      <c r="AA293" t="str">
        <f t="shared" si="44"/>
        <v>CAT-1353161</v>
      </c>
      <c r="AB293" s="12">
        <f t="shared" si="46"/>
        <v>45.445123052262915</v>
      </c>
      <c r="AC293" s="11">
        <f t="shared" si="45"/>
        <v>1.5670732086987211</v>
      </c>
    </row>
    <row r="294" spans="3:29" s="2" customFormat="1" x14ac:dyDescent="0.3">
      <c r="D294" s="2">
        <v>340325</v>
      </c>
      <c r="E294" s="2">
        <v>2</v>
      </c>
      <c r="F294" s="2" t="s">
        <v>218</v>
      </c>
      <c r="G294" s="2" t="s">
        <v>410</v>
      </c>
      <c r="H294" s="2">
        <v>9.8800000000000008</v>
      </c>
      <c r="I294" s="4"/>
      <c r="J294" s="5"/>
      <c r="K294" s="5"/>
      <c r="L294" s="5"/>
      <c r="M294" s="5"/>
      <c r="N294" s="5"/>
      <c r="O294" s="5"/>
      <c r="P294" s="5"/>
      <c r="Q294" s="5"/>
      <c r="R294" s="4"/>
      <c r="S294" s="5"/>
      <c r="T294" s="4"/>
      <c r="U294" s="5"/>
      <c r="V294" s="5"/>
      <c r="W294" s="4"/>
      <c r="X294" s="5"/>
      <c r="Z294" s="1" t="str">
        <f t="shared" si="44"/>
        <v>REPLACEMENT SNAP RING</v>
      </c>
      <c r="AA294" t="str">
        <f t="shared" si="44"/>
        <v>CAT-5334824</v>
      </c>
      <c r="AB294" s="12">
        <f t="shared" si="46"/>
        <v>15.482683301943368</v>
      </c>
      <c r="AC294" s="11">
        <f t="shared" si="45"/>
        <v>1.5670732086987214</v>
      </c>
    </row>
    <row r="295" spans="3:29" s="2" customFormat="1" x14ac:dyDescent="0.3">
      <c r="D295" s="2">
        <v>340325</v>
      </c>
      <c r="E295" s="2">
        <v>2</v>
      </c>
      <c r="F295" s="2" t="s">
        <v>329</v>
      </c>
      <c r="G295" s="2" t="s">
        <v>360</v>
      </c>
      <c r="H295" s="2">
        <v>132.12</v>
      </c>
      <c r="I295" s="4"/>
      <c r="J295" s="5"/>
      <c r="K295" s="5"/>
      <c r="L295" s="5"/>
      <c r="M295" s="5"/>
      <c r="N295" s="5"/>
      <c r="O295" s="5"/>
      <c r="P295" s="5"/>
      <c r="Q295" s="5"/>
      <c r="R295" s="4"/>
      <c r="S295" s="5"/>
      <c r="T295" s="4"/>
      <c r="U295" s="5"/>
      <c r="V295" s="5"/>
      <c r="W295" s="4"/>
      <c r="X295" s="5"/>
      <c r="Z295" s="1" t="str">
        <f t="shared" si="44"/>
        <v>REPLACEMENT CAT NUTS</v>
      </c>
      <c r="AA295" t="str">
        <f t="shared" si="44"/>
        <v>CAT-3J6899</v>
      </c>
      <c r="AB295" s="12">
        <f t="shared" si="46"/>
        <v>207.04171233327503</v>
      </c>
      <c r="AC295" s="11">
        <f t="shared" si="45"/>
        <v>1.5670732086987211</v>
      </c>
    </row>
    <row r="296" spans="3:29" s="2" customFormat="1" x14ac:dyDescent="0.3">
      <c r="D296" s="2">
        <v>340325</v>
      </c>
      <c r="E296" s="2">
        <v>1</v>
      </c>
      <c r="F296" s="2" t="s">
        <v>361</v>
      </c>
      <c r="G296" s="2" t="s">
        <v>411</v>
      </c>
      <c r="H296" s="2">
        <v>86</v>
      </c>
      <c r="I296" s="4"/>
      <c r="J296" s="5"/>
      <c r="K296" s="5"/>
      <c r="L296" s="5"/>
      <c r="M296" s="5"/>
      <c r="N296" s="5"/>
      <c r="O296" s="5"/>
      <c r="P296" s="5"/>
      <c r="Q296" s="5"/>
      <c r="R296" s="4"/>
      <c r="S296" s="5"/>
      <c r="T296" s="4"/>
      <c r="U296" s="5"/>
      <c r="V296" s="5"/>
      <c r="W296" s="4"/>
      <c r="X296" s="5"/>
      <c r="Z296" s="1" t="str">
        <f t="shared" si="44"/>
        <v>793 STEERING SEAL KIT</v>
      </c>
      <c r="AA296" t="str">
        <f t="shared" si="44"/>
        <v>CAT-3234199</v>
      </c>
      <c r="AB296" s="12">
        <f t="shared" si="46"/>
        <v>134.76829594809001</v>
      </c>
      <c r="AC296" s="11">
        <f t="shared" si="45"/>
        <v>1.5670732086987211</v>
      </c>
    </row>
    <row r="297" spans="3:29" x14ac:dyDescent="0.3">
      <c r="AB297" s="12"/>
      <c r="AC297" s="11"/>
    </row>
    <row r="298" spans="3:29" x14ac:dyDescent="0.3">
      <c r="C298" s="1">
        <v>343725</v>
      </c>
      <c r="D298" s="2">
        <v>250934</v>
      </c>
      <c r="E298" s="1">
        <v>4</v>
      </c>
      <c r="F298" s="1" t="s">
        <v>329</v>
      </c>
      <c r="G298" s="1" t="s">
        <v>360</v>
      </c>
      <c r="H298" s="1">
        <v>264.24</v>
      </c>
      <c r="I298" s="4">
        <v>7728493953</v>
      </c>
      <c r="J298" s="5">
        <v>24</v>
      </c>
      <c r="K298" s="5">
        <f>14*14*9</f>
        <v>1764</v>
      </c>
      <c r="L298" s="5">
        <v>281.58999999999997</v>
      </c>
      <c r="M298" s="6">
        <v>45852</v>
      </c>
      <c r="N298" s="6">
        <v>45856</v>
      </c>
      <c r="O298" s="6">
        <f>N298</f>
        <v>45856</v>
      </c>
      <c r="P298" s="5">
        <f>O298-M298</f>
        <v>4</v>
      </c>
      <c r="Q298" s="5"/>
      <c r="R298" s="4" t="s">
        <v>412</v>
      </c>
      <c r="S298" s="5">
        <v>145.31</v>
      </c>
      <c r="T298" s="4" t="s">
        <v>413</v>
      </c>
      <c r="U298" s="5">
        <v>496</v>
      </c>
      <c r="V298" s="5"/>
      <c r="W298" s="4" t="s">
        <v>373</v>
      </c>
      <c r="X298" s="5">
        <v>238.64</v>
      </c>
      <c r="Z298" s="1" t="str">
        <f t="shared" si="44"/>
        <v>REPLACEMENT CAT NUTS</v>
      </c>
      <c r="AA298" t="str">
        <f t="shared" si="44"/>
        <v>CAT-3J6899</v>
      </c>
      <c r="AB298" s="12">
        <f>H298+($S$298+$U$298)*H298/SUM($H$298:$H$300)/3.74+$X$298*H298/SUM($H$298:$H$300)</f>
        <v>481.85145476687944</v>
      </c>
      <c r="AC298" s="11">
        <f>AB298/H298</f>
        <v>1.8235371433805609</v>
      </c>
    </row>
    <row r="299" spans="3:29" x14ac:dyDescent="0.3">
      <c r="C299" s="1">
        <v>341025</v>
      </c>
      <c r="D299" s="2">
        <v>250895</v>
      </c>
      <c r="E299" s="1">
        <v>2</v>
      </c>
      <c r="F299" s="1" t="s">
        <v>414</v>
      </c>
      <c r="G299" s="1" t="s">
        <v>415</v>
      </c>
      <c r="H299" s="1">
        <v>35.75</v>
      </c>
      <c r="I299" s="4"/>
      <c r="J299" s="5"/>
      <c r="K299" s="5"/>
      <c r="L299" s="5"/>
      <c r="M299" s="5"/>
      <c r="N299" s="5"/>
      <c r="O299" s="5"/>
      <c r="P299" s="5"/>
      <c r="Q299" s="5"/>
      <c r="R299" s="4"/>
      <c r="S299" s="5"/>
      <c r="T299" s="4"/>
      <c r="U299" s="5"/>
      <c r="V299" s="5"/>
      <c r="W299" s="4"/>
      <c r="X299" s="5"/>
      <c r="Z299" s="1" t="str">
        <f t="shared" si="44"/>
        <v>140.00MM - PIN WIPER</v>
      </c>
      <c r="AA299" t="str">
        <f t="shared" si="44"/>
        <v>CAT-9X4601</v>
      </c>
      <c r="AB299" s="12">
        <f>H299+($S$298+$U$298)*H299/SUM($H$298:$H$300)/3.74+$X$298*H299/SUM($H$298:$H$300)</f>
        <v>65.191452875855049</v>
      </c>
      <c r="AC299" s="11">
        <f t="shared" si="45"/>
        <v>1.8235371433805607</v>
      </c>
    </row>
    <row r="300" spans="3:29" x14ac:dyDescent="0.3">
      <c r="C300" s="1">
        <v>341025</v>
      </c>
      <c r="D300" s="2">
        <v>250895</v>
      </c>
      <c r="E300" s="1">
        <v>1</v>
      </c>
      <c r="F300" s="1" t="s">
        <v>416</v>
      </c>
      <c r="G300" s="1" t="s">
        <v>417</v>
      </c>
      <c r="H300" s="1">
        <v>198</v>
      </c>
      <c r="I300" s="4"/>
      <c r="J300" s="5"/>
      <c r="K300" s="5"/>
      <c r="L300" s="5"/>
      <c r="M300" s="5"/>
      <c r="N300" s="5"/>
      <c r="O300" s="5"/>
      <c r="P300" s="5"/>
      <c r="Q300" s="5"/>
      <c r="R300" s="4"/>
      <c r="S300" s="5"/>
      <c r="T300" s="4"/>
      <c r="U300" s="5"/>
      <c r="V300" s="5"/>
      <c r="W300" s="4"/>
      <c r="X300" s="5"/>
      <c r="Z300" s="1" t="str">
        <f t="shared" si="44"/>
        <v>SEAL KIT 10.500 X 5.500"</v>
      </c>
      <c r="AA300" t="str">
        <f t="shared" si="44"/>
        <v>CAT-2481198</v>
      </c>
      <c r="AB300" s="12">
        <f>H300+($S$298+$U$298)*H300/SUM($H$298:$H$300)/3.74+$X$298*H300/SUM($H$298:$H$300)</f>
        <v>361.06035438935106</v>
      </c>
      <c r="AC300" s="11">
        <f t="shared" si="45"/>
        <v>1.8235371433805609</v>
      </c>
    </row>
    <row r="301" spans="3:29" x14ac:dyDescent="0.3">
      <c r="AB301" s="12"/>
      <c r="AC301" s="11"/>
    </row>
    <row r="302" spans="3:29" x14ac:dyDescent="0.3">
      <c r="C302" s="1">
        <v>342425</v>
      </c>
      <c r="E302" s="1">
        <v>2</v>
      </c>
      <c r="F302" s="1" t="s">
        <v>218</v>
      </c>
      <c r="G302" s="1" t="s">
        <v>418</v>
      </c>
      <c r="H302" s="1">
        <v>11.88</v>
      </c>
      <c r="I302" s="4">
        <v>4563264683</v>
      </c>
      <c r="J302" s="5">
        <v>38</v>
      </c>
      <c r="K302" s="5">
        <f>14*14*9</f>
        <v>1764</v>
      </c>
      <c r="L302" s="5">
        <v>379.44</v>
      </c>
      <c r="M302" s="6">
        <v>45859</v>
      </c>
      <c r="N302" s="6">
        <v>45863</v>
      </c>
      <c r="O302" s="30">
        <f>N302</f>
        <v>45863</v>
      </c>
      <c r="P302" s="10">
        <f>O302-M302</f>
        <v>4</v>
      </c>
      <c r="Q302" s="10"/>
      <c r="R302" s="4" t="s">
        <v>419</v>
      </c>
      <c r="S302" s="5">
        <v>241.61</v>
      </c>
      <c r="T302" s="4" t="s">
        <v>420</v>
      </c>
      <c r="U302" s="5">
        <v>865</v>
      </c>
      <c r="V302" s="10"/>
      <c r="W302" s="4" t="s">
        <v>421</v>
      </c>
      <c r="X302" s="5">
        <f>L302</f>
        <v>379.44</v>
      </c>
      <c r="Z302" s="1" t="str">
        <f t="shared" ref="Z302:AA309" si="47">F302</f>
        <v>REPLACEMENT SNAP RING</v>
      </c>
      <c r="AA302" t="str">
        <f t="shared" si="47"/>
        <v>CAT-8T9044</v>
      </c>
      <c r="AB302" s="12">
        <f>H302+($S$302+$U$302)*H302/SUM($H$302:$H$309)/3.74+$X$302*H302/SUM($H$302:$H$309)</f>
        <v>20.610655564239998</v>
      </c>
      <c r="AC302" s="11">
        <f>AB302/H302</f>
        <v>1.7349036670235687</v>
      </c>
    </row>
    <row r="303" spans="3:29" x14ac:dyDescent="0.3">
      <c r="C303" s="1">
        <v>338225</v>
      </c>
      <c r="E303" s="1">
        <v>1</v>
      </c>
      <c r="F303" s="1" t="s">
        <v>364</v>
      </c>
      <c r="G303" s="1" t="s">
        <v>422</v>
      </c>
      <c r="H303" s="1">
        <v>550</v>
      </c>
      <c r="I303" s="4"/>
      <c r="J303" s="5"/>
      <c r="K303" s="5"/>
      <c r="L303" s="5"/>
      <c r="M303" s="5"/>
      <c r="N303" s="5"/>
      <c r="O303" s="10"/>
      <c r="P303" s="10"/>
      <c r="Q303" s="10"/>
      <c r="R303" s="4"/>
      <c r="S303" s="5"/>
      <c r="T303" s="4"/>
      <c r="U303" s="5"/>
      <c r="V303" s="10"/>
      <c r="W303" s="4"/>
      <c r="X303" s="5"/>
      <c r="Z303" s="1" t="str">
        <f t="shared" si="47"/>
        <v>KOMATSU REPLACEMENT BEARING</v>
      </c>
      <c r="AA303" t="str">
        <f t="shared" si="47"/>
        <v>KOM-PB0027</v>
      </c>
      <c r="AB303" s="12">
        <f t="shared" ref="AB303:AB308" si="48">H303+($S$302+$U$302)*H303/SUM($H$302:$H$309)/3.74+$X$302*H303/SUM($H$302:$H$309)</f>
        <v>954.19701686296287</v>
      </c>
      <c r="AC303" s="11">
        <f t="shared" ref="AC303:AC347" si="49">AB303/H303</f>
        <v>1.7349036670235689</v>
      </c>
    </row>
    <row r="304" spans="3:29" x14ac:dyDescent="0.3">
      <c r="C304" s="1" t="s">
        <v>227</v>
      </c>
      <c r="D304" s="1" t="s">
        <v>423</v>
      </c>
      <c r="E304" s="1">
        <v>1</v>
      </c>
      <c r="F304" s="1" t="s">
        <v>313</v>
      </c>
      <c r="G304" s="1" t="s">
        <v>70</v>
      </c>
      <c r="H304" s="1">
        <v>55</v>
      </c>
      <c r="I304" s="4"/>
      <c r="J304" s="5"/>
      <c r="K304" s="5"/>
      <c r="L304" s="5"/>
      <c r="M304" s="5"/>
      <c r="N304" s="5"/>
      <c r="O304" s="10"/>
      <c r="P304" s="10"/>
      <c r="Q304" s="10"/>
      <c r="R304" s="4"/>
      <c r="S304" s="5"/>
      <c r="T304" s="4"/>
      <c r="U304" s="5"/>
      <c r="V304" s="10"/>
      <c r="W304" s="4"/>
      <c r="X304" s="5"/>
      <c r="Z304" s="1" t="str">
        <f t="shared" si="47"/>
        <v>SEAL KIT 5.250 X 3.000"</v>
      </c>
      <c r="AA304" t="str">
        <f t="shared" si="47"/>
        <v>CAT-2442073</v>
      </c>
      <c r="AB304" s="12">
        <f t="shared" si="48"/>
        <v>95.419701686296264</v>
      </c>
      <c r="AC304" s="11">
        <f t="shared" si="49"/>
        <v>1.7349036670235685</v>
      </c>
    </row>
    <row r="305" spans="3:29" x14ac:dyDescent="0.3">
      <c r="C305" s="1" t="s">
        <v>227</v>
      </c>
      <c r="D305" s="1" t="s">
        <v>423</v>
      </c>
      <c r="E305" s="1">
        <v>1</v>
      </c>
      <c r="F305" s="1" t="s">
        <v>424</v>
      </c>
      <c r="G305" s="1" t="s">
        <v>425</v>
      </c>
      <c r="H305" s="1">
        <v>31.8</v>
      </c>
      <c r="I305" s="4"/>
      <c r="J305" s="5"/>
      <c r="K305" s="5"/>
      <c r="L305" s="5"/>
      <c r="M305" s="5"/>
      <c r="N305" s="5"/>
      <c r="O305" s="10"/>
      <c r="P305" s="10"/>
      <c r="Q305" s="10"/>
      <c r="R305" s="4"/>
      <c r="S305" s="5"/>
      <c r="T305" s="4"/>
      <c r="U305" s="5"/>
      <c r="V305" s="10"/>
      <c r="W305" s="4"/>
      <c r="X305" s="5"/>
      <c r="Z305" s="1" t="str">
        <f t="shared" si="47"/>
        <v>03.000" - ROD WEAR RING</v>
      </c>
      <c r="AA305" t="str">
        <f t="shared" si="47"/>
        <v>CAT-9T0094</v>
      </c>
      <c r="AB305" s="12">
        <f t="shared" si="48"/>
        <v>55.169936611349485</v>
      </c>
      <c r="AC305" s="11">
        <f t="shared" si="49"/>
        <v>1.7349036670235687</v>
      </c>
    </row>
    <row r="306" spans="3:29" x14ac:dyDescent="0.3">
      <c r="C306" s="1" t="s">
        <v>227</v>
      </c>
      <c r="D306" s="1" t="s">
        <v>423</v>
      </c>
      <c r="E306" s="1">
        <v>1</v>
      </c>
      <c r="F306" s="1" t="s">
        <v>329</v>
      </c>
      <c r="G306" s="1" t="s">
        <v>330</v>
      </c>
      <c r="H306" s="1">
        <v>18.600000000000001</v>
      </c>
      <c r="I306" s="4"/>
      <c r="J306" s="5"/>
      <c r="K306" s="5"/>
      <c r="L306" s="5"/>
      <c r="M306" s="5"/>
      <c r="N306" s="5"/>
      <c r="O306" s="10"/>
      <c r="P306" s="10"/>
      <c r="Q306" s="10"/>
      <c r="R306" s="4"/>
      <c r="S306" s="5"/>
      <c r="T306" s="4"/>
      <c r="U306" s="5"/>
      <c r="V306" s="10"/>
      <c r="W306" s="4"/>
      <c r="X306" s="5"/>
      <c r="Z306" s="1" t="str">
        <f t="shared" si="47"/>
        <v>REPLACEMENT CAT NUTS</v>
      </c>
      <c r="AA306" t="str">
        <f t="shared" si="47"/>
        <v>CAT-5J5731</v>
      </c>
      <c r="AB306" s="12">
        <f t="shared" si="48"/>
        <v>32.269208206638382</v>
      </c>
      <c r="AC306" s="11">
        <f t="shared" si="49"/>
        <v>1.7349036670235687</v>
      </c>
    </row>
    <row r="307" spans="3:29" x14ac:dyDescent="0.3">
      <c r="C307" s="1" t="s">
        <v>227</v>
      </c>
      <c r="D307" s="1" t="s">
        <v>423</v>
      </c>
      <c r="E307" s="1">
        <v>2</v>
      </c>
      <c r="F307" s="1" t="s">
        <v>240</v>
      </c>
      <c r="G307" s="1" t="s">
        <v>139</v>
      </c>
      <c r="H307" s="1">
        <v>35.659999999999997</v>
      </c>
      <c r="I307" s="4"/>
      <c r="J307" s="5"/>
      <c r="K307" s="5"/>
      <c r="L307" s="5"/>
      <c r="M307" s="5"/>
      <c r="N307" s="5"/>
      <c r="O307" s="10"/>
      <c r="P307" s="10"/>
      <c r="Q307" s="10"/>
      <c r="R307" s="4"/>
      <c r="S307" s="5"/>
      <c r="T307" s="4"/>
      <c r="U307" s="5"/>
      <c r="V307" s="10"/>
      <c r="W307" s="4"/>
      <c r="X307" s="5"/>
      <c r="Z307" s="1" t="str">
        <f t="shared" si="47"/>
        <v>REPLACEMENT BEARING SLEEVE</v>
      </c>
      <c r="AA307" t="str">
        <f t="shared" si="47"/>
        <v>CAT-1U2182</v>
      </c>
      <c r="AB307" s="12">
        <f t="shared" si="48"/>
        <v>61.866664766060453</v>
      </c>
      <c r="AC307" s="11">
        <f t="shared" si="49"/>
        <v>1.7349036670235687</v>
      </c>
    </row>
    <row r="308" spans="3:29" x14ac:dyDescent="0.3">
      <c r="C308" s="1" t="s">
        <v>227</v>
      </c>
      <c r="D308" s="1" t="s">
        <v>423</v>
      </c>
      <c r="E308" s="1">
        <v>1</v>
      </c>
      <c r="F308" s="1" t="s">
        <v>426</v>
      </c>
      <c r="G308" s="24" t="s">
        <v>427</v>
      </c>
      <c r="H308" s="1">
        <v>74.66</v>
      </c>
      <c r="I308" s="4"/>
      <c r="J308" s="5"/>
      <c r="K308" s="5"/>
      <c r="L308" s="5"/>
      <c r="M308" s="5"/>
      <c r="N308" s="5"/>
      <c r="O308" s="10"/>
      <c r="P308" s="10"/>
      <c r="Q308" s="10"/>
      <c r="R308" s="4"/>
      <c r="S308" s="5"/>
      <c r="T308" s="4"/>
      <c r="U308" s="5"/>
      <c r="V308" s="10"/>
      <c r="W308" s="4"/>
      <c r="X308" s="5"/>
      <c r="Z308" s="1" t="str">
        <f t="shared" si="47"/>
        <v>SEAL KIT 6.000 X 2.750"</v>
      </c>
      <c r="AA308" t="str">
        <f t="shared" si="47"/>
        <v>CAT-2618001</v>
      </c>
      <c r="AB308" s="12">
        <f t="shared" si="48"/>
        <v>129.52790777997964</v>
      </c>
      <c r="AC308" s="11">
        <f t="shared" si="49"/>
        <v>1.7349036670235689</v>
      </c>
    </row>
    <row r="309" spans="3:29" x14ac:dyDescent="0.3">
      <c r="C309" s="1">
        <v>343925</v>
      </c>
      <c r="E309" s="1">
        <v>1</v>
      </c>
      <c r="F309" s="1" t="s">
        <v>428</v>
      </c>
      <c r="G309" s="1" t="s">
        <v>406</v>
      </c>
      <c r="H309" s="1">
        <v>141.33000000000001</v>
      </c>
      <c r="I309" s="4"/>
      <c r="J309" s="5"/>
      <c r="K309" s="5"/>
      <c r="L309" s="5"/>
      <c r="M309" s="5"/>
      <c r="N309" s="5"/>
      <c r="O309" s="10"/>
      <c r="P309" s="10"/>
      <c r="Q309" s="10"/>
      <c r="R309" s="4"/>
      <c r="S309" s="5"/>
      <c r="T309" s="4"/>
      <c r="U309" s="5"/>
      <c r="V309" s="10"/>
      <c r="W309" s="4"/>
      <c r="X309" s="5"/>
      <c r="Z309" s="1" t="str">
        <f t="shared" si="47"/>
        <v>SEAL KIT 210.00 X 130.00MM.</v>
      </c>
      <c r="AA309" t="str">
        <f t="shared" si="47"/>
        <v>CAT-4779286</v>
      </c>
      <c r="AB309" s="12">
        <f>H309+($S$302+$U$302)*H309/SUM($H$302:$H$309)/3.74+$X$302*H309/SUM($H$302:$H$309)</f>
        <v>245.19393526044098</v>
      </c>
      <c r="AC309" s="11">
        <f t="shared" si="49"/>
        <v>1.7349036670235687</v>
      </c>
    </row>
    <row r="310" spans="3:29" x14ac:dyDescent="0.3">
      <c r="X310" s="22"/>
    </row>
    <row r="311" spans="3:29" x14ac:dyDescent="0.3">
      <c r="E311" s="1">
        <v>1</v>
      </c>
      <c r="F311" s="1" t="s">
        <v>429</v>
      </c>
      <c r="G311" s="1" t="s">
        <v>430</v>
      </c>
      <c r="H311" s="19">
        <v>2850.49</v>
      </c>
      <c r="I311" s="4">
        <v>4812882826</v>
      </c>
      <c r="J311" s="5">
        <f>99.2+9+7.8</f>
        <v>116</v>
      </c>
      <c r="K311" s="5">
        <f>11*27*26+20*20*20*2</f>
        <v>23722</v>
      </c>
      <c r="L311" s="9">
        <v>1250.5999999999999</v>
      </c>
      <c r="M311" s="31">
        <v>45861</v>
      </c>
      <c r="N311" s="31">
        <v>45869</v>
      </c>
      <c r="O311" s="6">
        <v>45873</v>
      </c>
      <c r="P311" s="5">
        <f>O311-M311</f>
        <v>12</v>
      </c>
      <c r="Q311" s="5"/>
      <c r="R311" s="4" t="s">
        <v>431</v>
      </c>
      <c r="S311" s="5">
        <v>766.33</v>
      </c>
      <c r="T311" s="4" t="s">
        <v>432</v>
      </c>
      <c r="U311" s="9">
        <v>7740.53</v>
      </c>
      <c r="V311" s="5"/>
      <c r="W311" s="4" t="s">
        <v>433</v>
      </c>
      <c r="X311" s="9">
        <v>1005</v>
      </c>
      <c r="Z311" s="1" t="str">
        <f t="shared" ref="Z311:AA315" si="50">F311</f>
        <v>Cover</v>
      </c>
      <c r="AA311" t="str">
        <f t="shared" si="50"/>
        <v>EH9522</v>
      </c>
      <c r="AB311" s="12">
        <f>H311+($S$311+$U$311)*H311/SUM($H$311:$H$315)/3.74+$X$311*H311/SUM($H$311:$H$315)</f>
        <v>3869.5890763348607</v>
      </c>
      <c r="AC311" s="11">
        <f t="shared" si="49"/>
        <v>1.3575171554135819</v>
      </c>
    </row>
    <row r="312" spans="3:29" x14ac:dyDescent="0.3">
      <c r="E312" s="1">
        <v>1</v>
      </c>
      <c r="F312" s="1" t="s">
        <v>434</v>
      </c>
      <c r="G312" s="1" t="s">
        <v>435</v>
      </c>
      <c r="H312" s="1">
        <f>3066.68*1.06</f>
        <v>3250.6808000000001</v>
      </c>
      <c r="I312" s="4"/>
      <c r="J312" s="5"/>
      <c r="K312" s="5"/>
      <c r="L312" s="5"/>
      <c r="M312" s="5"/>
      <c r="N312" s="5"/>
      <c r="O312" s="5"/>
      <c r="P312" s="5"/>
      <c r="Q312" s="5"/>
      <c r="R312" s="4"/>
      <c r="S312" s="5"/>
      <c r="T312" s="4"/>
      <c r="U312" s="5"/>
      <c r="V312" s="5"/>
      <c r="W312" s="4"/>
      <c r="X312" s="5"/>
      <c r="Z312" s="1" t="str">
        <f t="shared" si="50"/>
        <v>Bearing, Lower 176</v>
      </c>
      <c r="AA312" t="str">
        <f t="shared" si="50"/>
        <v>58B-60-01230</v>
      </c>
      <c r="AB312" s="12">
        <f>H312+($S$311+$U$311)*H312/SUM($H$311:$H$315)/3.74+$X$311*H312/SUM($H$311:$H$315)</f>
        <v>4412.8549527735468</v>
      </c>
      <c r="AC312" s="11">
        <f t="shared" si="49"/>
        <v>1.3575171554135819</v>
      </c>
    </row>
    <row r="313" spans="3:29" x14ac:dyDescent="0.3">
      <c r="E313" s="1">
        <v>6</v>
      </c>
      <c r="F313" s="1" t="s">
        <v>245</v>
      </c>
      <c r="G313" s="1" t="s">
        <v>127</v>
      </c>
      <c r="H313" s="1">
        <f>68.22*1.06</f>
        <v>72.313200000000009</v>
      </c>
      <c r="I313" s="4"/>
      <c r="J313" s="5"/>
      <c r="K313" s="5"/>
      <c r="L313" s="5"/>
      <c r="M313" s="5"/>
      <c r="N313" s="5"/>
      <c r="O313" s="5"/>
      <c r="P313" s="5"/>
      <c r="Q313" s="5"/>
      <c r="R313" s="4"/>
      <c r="S313" s="5"/>
      <c r="T313" s="4"/>
      <c r="U313" s="5"/>
      <c r="V313" s="5"/>
      <c r="W313" s="4"/>
      <c r="X313" s="5"/>
      <c r="Z313" s="1" t="str">
        <f t="shared" si="50"/>
        <v>Shim</v>
      </c>
      <c r="AA313" t="str">
        <f t="shared" si="50"/>
        <v>ED3755</v>
      </c>
      <c r="AB313" s="12">
        <f>H313+($S$311+$U$311)*H313/SUM($H$311:$H$315)/3.74+$X$311*H313/SUM($H$311:$H$315)</f>
        <v>98.166409562853431</v>
      </c>
      <c r="AC313" s="11">
        <f t="shared" si="49"/>
        <v>1.3575171554135816</v>
      </c>
    </row>
    <row r="314" spans="3:29" x14ac:dyDescent="0.3">
      <c r="E314" s="1">
        <v>2</v>
      </c>
      <c r="F314" s="1" t="s">
        <v>436</v>
      </c>
      <c r="G314" s="1" t="s">
        <v>437</v>
      </c>
      <c r="H314" s="1">
        <f>15.74*1.06</f>
        <v>16.6844</v>
      </c>
      <c r="I314" s="4"/>
      <c r="J314" s="5"/>
      <c r="K314" s="5"/>
      <c r="L314" s="5"/>
      <c r="M314" s="5"/>
      <c r="N314" s="5"/>
      <c r="O314" s="5"/>
      <c r="P314" s="5"/>
      <c r="Q314" s="5"/>
      <c r="R314" s="4"/>
      <c r="S314" s="5"/>
      <c r="T314" s="4"/>
      <c r="U314" s="5"/>
      <c r="V314" s="5"/>
      <c r="W314" s="4"/>
      <c r="X314" s="5"/>
      <c r="Z314" s="1" t="str">
        <f t="shared" si="50"/>
        <v>Pin</v>
      </c>
      <c r="AA314" t="str">
        <f t="shared" si="50"/>
        <v>562-22-32290</v>
      </c>
      <c r="AB314" s="12">
        <f>H314+($S$311+$U$311)*H314/SUM($H$311:$H$315)/3.74+$X$311*H314/SUM($H$311:$H$315)</f>
        <v>22.649359227782362</v>
      </c>
      <c r="AC314" s="11">
        <f t="shared" si="49"/>
        <v>1.3575171554135816</v>
      </c>
    </row>
    <row r="315" spans="3:29" x14ac:dyDescent="0.3">
      <c r="E315" s="1">
        <v>1</v>
      </c>
      <c r="F315" s="1" t="s">
        <v>438</v>
      </c>
      <c r="G315" s="1" t="s">
        <v>439</v>
      </c>
      <c r="H315" s="19">
        <v>2982.99</v>
      </c>
      <c r="I315" s="4"/>
      <c r="J315" s="5"/>
      <c r="K315" s="5"/>
      <c r="L315" s="5"/>
      <c r="M315" s="5"/>
      <c r="N315" s="5"/>
      <c r="O315" s="5"/>
      <c r="P315" s="5"/>
      <c r="Q315" s="5"/>
      <c r="R315" s="4"/>
      <c r="S315" s="5"/>
      <c r="T315" s="4"/>
      <c r="U315" s="5"/>
      <c r="V315" s="5"/>
      <c r="W315" s="4"/>
      <c r="X315" s="5"/>
      <c r="Z315" s="1" t="str">
        <f t="shared" si="50"/>
        <v>Bearing, Upper 20</v>
      </c>
      <c r="AA315" t="str">
        <f t="shared" si="50"/>
        <v xml:space="preserve">58B-60-01240 </v>
      </c>
      <c r="AB315" s="12">
        <f>H315+($S$311+$U$311)*H315/SUM($H$311:$H$315)/3.74+$X$311*H315/SUM($H$311:$H$315)</f>
        <v>4049.46009942716</v>
      </c>
      <c r="AC315" s="11">
        <f t="shared" si="49"/>
        <v>1.3575171554135819</v>
      </c>
    </row>
    <row r="316" spans="3:29" x14ac:dyDescent="0.3">
      <c r="AC316" s="11"/>
    </row>
    <row r="317" spans="3:29" x14ac:dyDescent="0.3">
      <c r="C317" s="1" t="s">
        <v>227</v>
      </c>
      <c r="D317" s="1">
        <v>251012</v>
      </c>
      <c r="E317" s="1">
        <v>70</v>
      </c>
      <c r="F317" s="1" t="s">
        <v>440</v>
      </c>
      <c r="G317" s="1" t="s">
        <v>57</v>
      </c>
      <c r="H317" s="19">
        <v>24.5</v>
      </c>
      <c r="I317" s="4">
        <v>1042800625</v>
      </c>
      <c r="J317" s="5">
        <v>30</v>
      </c>
      <c r="K317" s="5">
        <f>14*14*14</f>
        <v>2744</v>
      </c>
      <c r="L317" s="5">
        <v>338.38</v>
      </c>
      <c r="M317" s="6">
        <v>45889</v>
      </c>
      <c r="N317" s="6">
        <v>45895</v>
      </c>
      <c r="O317" s="6">
        <v>45895</v>
      </c>
      <c r="P317" s="5">
        <f>O317-M317</f>
        <v>6</v>
      </c>
      <c r="Q317" s="5"/>
      <c r="R317" s="4" t="s">
        <v>441</v>
      </c>
      <c r="S317" s="5">
        <v>239.23</v>
      </c>
      <c r="T317" s="4" t="s">
        <v>442</v>
      </c>
      <c r="U317" s="9">
        <v>1322</v>
      </c>
      <c r="V317" s="5"/>
      <c r="W317" s="4" t="s">
        <v>443</v>
      </c>
      <c r="X317" s="5">
        <v>293.37</v>
      </c>
      <c r="Z317" s="1" t="str">
        <f t="shared" ref="Z317:AA331" si="51">F317</f>
        <v>REPLACEMENT BACKUP RING</v>
      </c>
      <c r="AA317" t="str">
        <f t="shared" si="51"/>
        <v>CAT-3K8692</v>
      </c>
      <c r="AB317" s="12">
        <f>H317+($S$317+$U$317)*H317/SUM($H$317:$H$331)/3.74+$X$317*H317/SUM($H$317:$H$331)</f>
        <v>36.224976989880304</v>
      </c>
      <c r="AC317" s="11">
        <f t="shared" si="49"/>
        <v>1.4785704893828695</v>
      </c>
    </row>
    <row r="318" spans="3:29" x14ac:dyDescent="0.3">
      <c r="C318" s="1" t="s">
        <v>227</v>
      </c>
      <c r="D318" s="1">
        <v>251012</v>
      </c>
      <c r="E318" s="1">
        <v>70</v>
      </c>
      <c r="F318" s="1" t="s">
        <v>444</v>
      </c>
      <c r="G318" s="1" t="s">
        <v>56</v>
      </c>
      <c r="H318" s="1">
        <v>7</v>
      </c>
      <c r="I318" s="4"/>
      <c r="J318" s="5"/>
      <c r="K318" s="5"/>
      <c r="L318" s="5"/>
      <c r="M318" s="5"/>
      <c r="N318" s="5"/>
      <c r="O318" s="5"/>
      <c r="P318" s="5"/>
      <c r="Q318" s="5"/>
      <c r="R318" s="4"/>
      <c r="S318" s="5"/>
      <c r="T318" s="4"/>
      <c r="U318" s="5"/>
      <c r="V318" s="5"/>
      <c r="W318" s="4"/>
      <c r="X318" s="5"/>
      <c r="Z318" s="1" t="str">
        <f t="shared" si="51"/>
        <v>REPLACEMENT O'RING</v>
      </c>
      <c r="AA318" t="str">
        <f t="shared" si="51"/>
        <v>CAT-2H3932</v>
      </c>
      <c r="AB318" s="12">
        <f t="shared" ref="AB318:AB330" si="52">H318+($S$317+$U$317)*H318/SUM($H$317:$H$331)/3.74+$X$317*H318/SUM($H$317:$H$331)</f>
        <v>10.349993425680086</v>
      </c>
      <c r="AC318" s="11">
        <f t="shared" si="49"/>
        <v>1.4785704893828695</v>
      </c>
    </row>
    <row r="319" spans="3:29" x14ac:dyDescent="0.3">
      <c r="C319" s="1">
        <v>344325</v>
      </c>
      <c r="D319" s="1">
        <v>251028</v>
      </c>
      <c r="E319" s="1">
        <v>1</v>
      </c>
      <c r="F319" s="1" t="s">
        <v>329</v>
      </c>
      <c r="G319" s="1" t="s">
        <v>445</v>
      </c>
      <c r="H319" s="1">
        <v>85</v>
      </c>
      <c r="I319" s="4"/>
      <c r="J319" s="5"/>
      <c r="K319" s="5"/>
      <c r="L319" s="5"/>
      <c r="M319" s="5"/>
      <c r="N319" s="5"/>
      <c r="O319" s="5"/>
      <c r="P319" s="5"/>
      <c r="Q319" s="5"/>
      <c r="R319" s="4"/>
      <c r="S319" s="5"/>
      <c r="T319" s="4"/>
      <c r="U319" s="5"/>
      <c r="V319" s="5"/>
      <c r="W319" s="4"/>
      <c r="X319" s="5"/>
      <c r="Z319" s="1" t="str">
        <f t="shared" si="51"/>
        <v>REPLACEMENT CAT NUTS</v>
      </c>
      <c r="AA319" t="str">
        <f t="shared" si="51"/>
        <v xml:space="preserve">CAT-4J6888 </v>
      </c>
      <c r="AB319" s="12">
        <f t="shared" si="52"/>
        <v>125.67849159754391</v>
      </c>
      <c r="AC319" s="11">
        <f t="shared" si="49"/>
        <v>1.4785704893828695</v>
      </c>
    </row>
    <row r="320" spans="3:29" x14ac:dyDescent="0.3">
      <c r="C320" s="1">
        <v>345025</v>
      </c>
      <c r="D320" s="1">
        <v>251036</v>
      </c>
      <c r="E320" s="1">
        <v>2</v>
      </c>
      <c r="F320" s="1" t="s">
        <v>446</v>
      </c>
      <c r="G320" s="1" t="s">
        <v>104</v>
      </c>
      <c r="H320" s="1">
        <v>141.5</v>
      </c>
      <c r="I320" s="4"/>
      <c r="J320" s="5"/>
      <c r="K320" s="5"/>
      <c r="L320" s="5"/>
      <c r="M320" s="5"/>
      <c r="N320" s="5"/>
      <c r="O320" s="5"/>
      <c r="P320" s="5"/>
      <c r="Q320" s="5"/>
      <c r="R320" s="4"/>
      <c r="S320" s="5"/>
      <c r="T320" s="4"/>
      <c r="U320" s="5"/>
      <c r="V320" s="5"/>
      <c r="W320" s="4"/>
      <c r="X320" s="5"/>
      <c r="Z320" s="1" t="str">
        <f t="shared" si="51"/>
        <v>797B / 797F STEERING KIT</v>
      </c>
      <c r="AA320" t="str">
        <f t="shared" si="51"/>
        <v>CAT-2350974</v>
      </c>
      <c r="AB320" s="12">
        <f t="shared" si="52"/>
        <v>209.21772424767605</v>
      </c>
      <c r="AC320" s="11">
        <f t="shared" si="49"/>
        <v>1.4785704893828695</v>
      </c>
    </row>
    <row r="321" spans="3:29" x14ac:dyDescent="0.3">
      <c r="C321" s="1">
        <v>346325</v>
      </c>
      <c r="D321" s="1">
        <v>251037</v>
      </c>
      <c r="E321" s="1">
        <v>1</v>
      </c>
      <c r="F321" s="1" t="s">
        <v>447</v>
      </c>
      <c r="G321" s="1" t="s">
        <v>448</v>
      </c>
      <c r="H321" s="1">
        <v>73.099999999999994</v>
      </c>
      <c r="I321" s="4"/>
      <c r="J321" s="5"/>
      <c r="K321" s="5"/>
      <c r="L321" s="5"/>
      <c r="M321" s="5"/>
      <c r="N321" s="5"/>
      <c r="O321" s="5"/>
      <c r="P321" s="5"/>
      <c r="Q321" s="5"/>
      <c r="R321" s="4"/>
      <c r="S321" s="5"/>
      <c r="T321" s="4"/>
      <c r="U321" s="5"/>
      <c r="V321" s="5"/>
      <c r="W321" s="4"/>
      <c r="X321" s="5"/>
      <c r="Z321" s="1" t="str">
        <f t="shared" si="51"/>
        <v>SEAL KIT 5.500 X 2.750"</v>
      </c>
      <c r="AA321" t="str">
        <f t="shared" si="51"/>
        <v>CAT-3367346</v>
      </c>
      <c r="AB321" s="12">
        <f t="shared" si="52"/>
        <v>108.08350277388774</v>
      </c>
      <c r="AC321" s="11">
        <f t="shared" si="49"/>
        <v>1.4785704893828695</v>
      </c>
    </row>
    <row r="322" spans="3:29" x14ac:dyDescent="0.3">
      <c r="C322" s="1">
        <v>346425</v>
      </c>
      <c r="D322" s="1">
        <v>251037</v>
      </c>
      <c r="E322" s="1">
        <v>1</v>
      </c>
      <c r="F322" s="1" t="s">
        <v>426</v>
      </c>
      <c r="G322" s="1" t="s">
        <v>427</v>
      </c>
      <c r="H322" s="1">
        <v>74.66</v>
      </c>
      <c r="I322" s="4"/>
      <c r="J322" s="5"/>
      <c r="K322" s="5"/>
      <c r="L322" s="5"/>
      <c r="M322" s="5"/>
      <c r="N322" s="5"/>
      <c r="O322" s="5"/>
      <c r="P322" s="5"/>
      <c r="Q322" s="5"/>
      <c r="R322" s="4"/>
      <c r="S322" s="5"/>
      <c r="T322" s="4"/>
      <c r="U322" s="5"/>
      <c r="V322" s="5"/>
      <c r="W322" s="4"/>
      <c r="X322" s="5"/>
      <c r="Z322" s="1" t="str">
        <f t="shared" si="51"/>
        <v>SEAL KIT 6.000 X 2.750"</v>
      </c>
      <c r="AA322" t="str">
        <f t="shared" si="51"/>
        <v>CAT-2618001</v>
      </c>
      <c r="AB322" s="12">
        <f t="shared" si="52"/>
        <v>110.39007273732503</v>
      </c>
      <c r="AC322" s="11">
        <f t="shared" si="49"/>
        <v>1.4785704893828695</v>
      </c>
    </row>
    <row r="323" spans="3:29" x14ac:dyDescent="0.3">
      <c r="C323" s="1">
        <v>346225</v>
      </c>
      <c r="D323" s="1">
        <v>251047</v>
      </c>
      <c r="E323" s="1">
        <v>1</v>
      </c>
      <c r="F323" s="1" t="s">
        <v>313</v>
      </c>
      <c r="G323" s="1" t="s">
        <v>70</v>
      </c>
      <c r="H323" s="1">
        <v>54.99</v>
      </c>
      <c r="I323" s="4"/>
      <c r="J323" s="5"/>
      <c r="K323" s="5"/>
      <c r="L323" s="5"/>
      <c r="M323" s="5"/>
      <c r="N323" s="5"/>
      <c r="O323" s="5"/>
      <c r="P323" s="5"/>
      <c r="Q323" s="5"/>
      <c r="R323" s="4"/>
      <c r="S323" s="5"/>
      <c r="T323" s="4"/>
      <c r="U323" s="5"/>
      <c r="V323" s="5"/>
      <c r="W323" s="4"/>
      <c r="X323" s="5"/>
      <c r="Z323" s="1" t="str">
        <f t="shared" si="51"/>
        <v>SEAL KIT 5.250 X 3.000"</v>
      </c>
      <c r="AA323" t="str">
        <f t="shared" si="51"/>
        <v>CAT-2442073</v>
      </c>
      <c r="AB323" s="12">
        <f t="shared" si="52"/>
        <v>81.30659121116399</v>
      </c>
      <c r="AC323" s="11">
        <f t="shared" si="49"/>
        <v>1.4785704893828693</v>
      </c>
    </row>
    <row r="324" spans="3:29" x14ac:dyDescent="0.3">
      <c r="C324" s="1">
        <v>346825</v>
      </c>
      <c r="D324" s="1">
        <v>251050</v>
      </c>
      <c r="E324" s="1">
        <v>2</v>
      </c>
      <c r="F324" s="1" t="s">
        <v>337</v>
      </c>
      <c r="G324" s="1" t="s">
        <v>24</v>
      </c>
      <c r="H324" s="1">
        <v>118.96</v>
      </c>
      <c r="I324" s="4"/>
      <c r="J324" s="5"/>
      <c r="K324" s="5"/>
      <c r="L324" s="5"/>
      <c r="M324" s="5"/>
      <c r="N324" s="5"/>
      <c r="O324" s="5"/>
      <c r="P324" s="5"/>
      <c r="Q324" s="5"/>
      <c r="R324" s="4"/>
      <c r="S324" s="5"/>
      <c r="T324" s="4"/>
      <c r="U324" s="5"/>
      <c r="V324" s="5"/>
      <c r="W324" s="4"/>
      <c r="X324" s="5"/>
      <c r="Z324" s="1" t="str">
        <f t="shared" si="51"/>
        <v>KOMATSU REPLACEMENT O'RING</v>
      </c>
      <c r="AA324" t="str">
        <f t="shared" si="51"/>
        <v>KOM-EH7197</v>
      </c>
      <c r="AB324" s="12">
        <f t="shared" si="52"/>
        <v>175.89074541698616</v>
      </c>
      <c r="AC324" s="11">
        <f t="shared" si="49"/>
        <v>1.4785704893828697</v>
      </c>
    </row>
    <row r="325" spans="3:29" x14ac:dyDescent="0.3">
      <c r="C325" s="1">
        <v>345625</v>
      </c>
      <c r="D325" s="1">
        <v>251055</v>
      </c>
      <c r="E325" s="1">
        <v>10</v>
      </c>
      <c r="F325" s="1" t="s">
        <v>218</v>
      </c>
      <c r="G325" s="1" t="s">
        <v>80</v>
      </c>
      <c r="H325" s="1">
        <v>250</v>
      </c>
      <c r="I325" s="4"/>
      <c r="J325" s="5"/>
      <c r="K325" s="5"/>
      <c r="L325" s="5"/>
      <c r="M325" s="5"/>
      <c r="N325" s="5"/>
      <c r="O325" s="5"/>
      <c r="P325" s="5"/>
      <c r="Q325" s="5"/>
      <c r="R325" s="4"/>
      <c r="S325" s="5"/>
      <c r="T325" s="4"/>
      <c r="U325" s="5"/>
      <c r="V325" s="5"/>
      <c r="W325" s="4"/>
      <c r="X325" s="5"/>
      <c r="Z325" s="1" t="str">
        <f t="shared" si="51"/>
        <v>REPLACEMENT SNAP RING</v>
      </c>
      <c r="AA325" t="str">
        <f t="shared" si="51"/>
        <v>KOM-SV5921</v>
      </c>
      <c r="AB325" s="12">
        <f t="shared" si="52"/>
        <v>369.64262234571737</v>
      </c>
      <c r="AC325" s="11">
        <f t="shared" si="49"/>
        <v>1.4785704893828695</v>
      </c>
    </row>
    <row r="326" spans="3:29" x14ac:dyDescent="0.3">
      <c r="C326" s="1">
        <v>332725</v>
      </c>
      <c r="D326" s="1">
        <v>250667</v>
      </c>
      <c r="E326" s="1">
        <v>2</v>
      </c>
      <c r="F326" s="1" t="s">
        <v>315</v>
      </c>
      <c r="G326" s="1" t="s">
        <v>449</v>
      </c>
      <c r="H326" s="1">
        <v>90</v>
      </c>
      <c r="I326" s="4"/>
      <c r="J326" s="5"/>
      <c r="K326" s="5"/>
      <c r="L326" s="5"/>
      <c r="M326" s="5"/>
      <c r="N326" s="5"/>
      <c r="O326" s="5"/>
      <c r="P326" s="5"/>
      <c r="Q326" s="5"/>
      <c r="R326" s="4"/>
      <c r="S326" s="5"/>
      <c r="T326" s="4"/>
      <c r="U326" s="5"/>
      <c r="V326" s="5"/>
      <c r="W326" s="4"/>
      <c r="X326" s="5"/>
      <c r="Z326" s="1" t="str">
        <f t="shared" si="51"/>
        <v>REPLACEMENT SPHERICAL BEAR</v>
      </c>
      <c r="AA326" t="str">
        <f t="shared" si="51"/>
        <v>CAT-7J1309</v>
      </c>
      <c r="AB326" s="12">
        <f t="shared" si="52"/>
        <v>133.07134404445824</v>
      </c>
      <c r="AC326" s="11">
        <f t="shared" si="49"/>
        <v>1.4785704893828693</v>
      </c>
    </row>
    <row r="327" spans="3:29" x14ac:dyDescent="0.3">
      <c r="C327" s="1" t="s">
        <v>450</v>
      </c>
      <c r="D327" s="1">
        <v>250818</v>
      </c>
      <c r="E327" s="1">
        <v>4</v>
      </c>
      <c r="F327" s="1" t="s">
        <v>240</v>
      </c>
      <c r="G327" s="1" t="s">
        <v>290</v>
      </c>
      <c r="H327" s="1">
        <v>68</v>
      </c>
      <c r="I327" s="4"/>
      <c r="J327" s="5"/>
      <c r="K327" s="5"/>
      <c r="L327" s="5"/>
      <c r="M327" s="5"/>
      <c r="N327" s="5"/>
      <c r="O327" s="5"/>
      <c r="P327" s="5"/>
      <c r="Q327" s="5"/>
      <c r="R327" s="4"/>
      <c r="S327" s="5"/>
      <c r="T327" s="4"/>
      <c r="U327" s="5"/>
      <c r="V327" s="5"/>
      <c r="W327" s="4"/>
      <c r="X327" s="5"/>
      <c r="Z327" s="1" t="str">
        <f t="shared" si="51"/>
        <v>REPLACEMENT BEARING SLEEVE</v>
      </c>
      <c r="AA327" t="str">
        <f t="shared" si="51"/>
        <v>CAT-7J9694</v>
      </c>
      <c r="AB327" s="12">
        <f t="shared" si="52"/>
        <v>100.54279327803513</v>
      </c>
      <c r="AC327" s="11">
        <f t="shared" si="49"/>
        <v>1.4785704893828697</v>
      </c>
    </row>
    <row r="328" spans="3:29" x14ac:dyDescent="0.3">
      <c r="C328" s="1" t="s">
        <v>404</v>
      </c>
      <c r="D328" s="1">
        <v>250894</v>
      </c>
      <c r="E328" s="1">
        <v>2</v>
      </c>
      <c r="F328" s="1" t="s">
        <v>405</v>
      </c>
      <c r="G328" s="1" t="s">
        <v>406</v>
      </c>
      <c r="H328" s="1">
        <v>229.14</v>
      </c>
      <c r="I328" s="4"/>
      <c r="J328" s="5"/>
      <c r="K328" s="5"/>
      <c r="L328" s="5"/>
      <c r="M328" s="5"/>
      <c r="N328" s="5"/>
      <c r="O328" s="5"/>
      <c r="P328" s="5"/>
      <c r="Q328" s="5"/>
      <c r="R328" s="4"/>
      <c r="S328" s="5"/>
      <c r="T328" s="4"/>
      <c r="U328" s="5"/>
      <c r="V328" s="5"/>
      <c r="W328" s="4"/>
      <c r="X328" s="5"/>
      <c r="Z328" s="1" t="str">
        <f t="shared" si="51"/>
        <v>SEAL KIT 210.00 X 130.00MM</v>
      </c>
      <c r="AA328" t="str">
        <f t="shared" si="51"/>
        <v>CAT-4779286</v>
      </c>
      <c r="AB328" s="12">
        <f t="shared" si="52"/>
        <v>338.7996419371907</v>
      </c>
      <c r="AC328" s="11">
        <f t="shared" si="49"/>
        <v>1.4785704893828695</v>
      </c>
    </row>
    <row r="329" spans="3:29" x14ac:dyDescent="0.3">
      <c r="C329" s="1" t="s">
        <v>404</v>
      </c>
      <c r="D329" s="1">
        <v>250894</v>
      </c>
      <c r="E329" s="1">
        <v>3</v>
      </c>
      <c r="F329" s="1" t="s">
        <v>407</v>
      </c>
      <c r="G329" s="1" t="s">
        <v>408</v>
      </c>
      <c r="H329" s="1">
        <v>54</v>
      </c>
      <c r="I329" s="4"/>
      <c r="J329" s="5"/>
      <c r="K329" s="5"/>
      <c r="L329" s="5"/>
      <c r="M329" s="5"/>
      <c r="N329" s="5"/>
      <c r="O329" s="5"/>
      <c r="P329" s="5"/>
      <c r="Q329" s="5"/>
      <c r="R329" s="4"/>
      <c r="S329" s="5"/>
      <c r="T329" s="4"/>
      <c r="U329" s="5"/>
      <c r="V329" s="5"/>
      <c r="W329" s="4"/>
      <c r="X329" s="5"/>
      <c r="Z329" s="1" t="str">
        <f t="shared" si="51"/>
        <v>160.00MM.- ROD WIPER</v>
      </c>
      <c r="AA329" t="str">
        <f t="shared" si="51"/>
        <v>CAT-9X7700</v>
      </c>
      <c r="AB329" s="12">
        <f t="shared" si="52"/>
        <v>79.842806426674954</v>
      </c>
      <c r="AC329" s="11">
        <f t="shared" si="49"/>
        <v>1.4785704893828695</v>
      </c>
    </row>
    <row r="330" spans="3:29" x14ac:dyDescent="0.3">
      <c r="C330" s="1">
        <v>343925</v>
      </c>
      <c r="D330" s="1">
        <v>250970</v>
      </c>
      <c r="E330" s="1">
        <v>1</v>
      </c>
      <c r="F330" s="1" t="s">
        <v>428</v>
      </c>
      <c r="G330" s="1" t="s">
        <v>406</v>
      </c>
      <c r="H330" s="1">
        <v>141.33000000000001</v>
      </c>
      <c r="I330" s="4"/>
      <c r="J330" s="5"/>
      <c r="K330" s="5"/>
      <c r="L330" s="5"/>
      <c r="M330" s="5"/>
      <c r="N330" s="5"/>
      <c r="O330" s="5"/>
      <c r="P330" s="5"/>
      <c r="Q330" s="5"/>
      <c r="R330" s="4"/>
      <c r="S330" s="5"/>
      <c r="T330" s="4"/>
      <c r="U330" s="5"/>
      <c r="V330" s="5"/>
      <c r="W330" s="4"/>
      <c r="X330" s="5"/>
      <c r="Z330" s="1" t="str">
        <f t="shared" si="51"/>
        <v>SEAL KIT 210.00 X 130.00MM.</v>
      </c>
      <c r="AA330" t="str">
        <f t="shared" si="51"/>
        <v>CAT-4779286</v>
      </c>
      <c r="AB330" s="12">
        <f t="shared" si="52"/>
        <v>208.96636726448097</v>
      </c>
      <c r="AC330" s="11">
        <f t="shared" si="49"/>
        <v>1.4785704893828695</v>
      </c>
    </row>
    <row r="331" spans="3:29" x14ac:dyDescent="0.3">
      <c r="C331" s="1" t="s">
        <v>227</v>
      </c>
      <c r="D331" s="1">
        <v>250978</v>
      </c>
      <c r="E331" s="1">
        <v>1</v>
      </c>
      <c r="F331" s="1" t="s">
        <v>447</v>
      </c>
      <c r="G331" s="1" t="s">
        <v>448</v>
      </c>
      <c r="H331" s="1">
        <v>73.099999999999994</v>
      </c>
      <c r="I331" s="4"/>
      <c r="J331" s="5"/>
      <c r="K331" s="5"/>
      <c r="L331" s="5"/>
      <c r="M331" s="5"/>
      <c r="N331" s="5"/>
      <c r="O331" s="5"/>
      <c r="P331" s="5"/>
      <c r="Q331" s="5"/>
      <c r="R331" s="4"/>
      <c r="S331" s="5"/>
      <c r="T331" s="4"/>
      <c r="U331" s="5"/>
      <c r="V331" s="5"/>
      <c r="W331" s="4"/>
      <c r="X331" s="5"/>
      <c r="Y331" t="s">
        <v>451</v>
      </c>
      <c r="Z331" s="1" t="str">
        <f t="shared" si="51"/>
        <v>SEAL KIT 5.500 X 2.750"</v>
      </c>
      <c r="AA331" t="str">
        <f t="shared" si="51"/>
        <v>CAT-3367346</v>
      </c>
      <c r="AB331" s="12">
        <f>H331+($S$317+$U$317)*H331/SUM($H$317:$H$331)/3.74+$X$317*H331/SUM($H$317:$H$331)</f>
        <v>108.08350277388774</v>
      </c>
      <c r="AC331" s="11">
        <f t="shared" si="49"/>
        <v>1.4785704893828695</v>
      </c>
    </row>
    <row r="332" spans="3:29" x14ac:dyDescent="0.3">
      <c r="AC332" s="11"/>
    </row>
    <row r="333" spans="3:29" x14ac:dyDescent="0.3">
      <c r="C333" s="1" t="s">
        <v>227</v>
      </c>
      <c r="D333" s="1">
        <v>251097</v>
      </c>
      <c r="E333" s="1">
        <v>12</v>
      </c>
      <c r="F333" s="1" t="s">
        <v>452</v>
      </c>
      <c r="G333" s="1" t="s">
        <v>219</v>
      </c>
      <c r="H333" s="19">
        <v>784.32</v>
      </c>
      <c r="I333" s="4">
        <v>4575753556</v>
      </c>
      <c r="J333" s="5">
        <v>128</v>
      </c>
      <c r="K333" s="5">
        <f>18*18*21</f>
        <v>6804</v>
      </c>
      <c r="L333" s="5">
        <v>870</v>
      </c>
      <c r="M333" s="6">
        <v>45909</v>
      </c>
      <c r="N333" s="6">
        <v>45916</v>
      </c>
      <c r="O333" s="6">
        <v>45915</v>
      </c>
      <c r="P333" s="5">
        <f>O333-M333</f>
        <v>6</v>
      </c>
      <c r="Q333" s="5"/>
      <c r="R333" s="4" t="s">
        <v>453</v>
      </c>
      <c r="S333" s="5">
        <v>841.07</v>
      </c>
      <c r="T333" s="4" t="s">
        <v>454</v>
      </c>
      <c r="U333" s="9">
        <v>3974</v>
      </c>
      <c r="V333" s="5"/>
      <c r="W333" s="4" t="s">
        <v>455</v>
      </c>
      <c r="X333" s="5">
        <v>698.22</v>
      </c>
      <c r="Z333" s="1" t="str">
        <f t="shared" ref="Z333:AA347" si="53">F333</f>
        <v>Anillo de retención de reemplazo</v>
      </c>
      <c r="AA333" t="str">
        <f t="shared" si="53"/>
        <v>CAT-3402381</v>
      </c>
      <c r="AB333" s="12">
        <f>H333+($S$333+$U$333)*H333/SUM($H$333:$H$347)/3.74+$X$333*H333/SUM($H$333:$H$347)</f>
        <v>1180.8598073010198</v>
      </c>
      <c r="AC333" s="11">
        <f t="shared" si="49"/>
        <v>1.5055842096351231</v>
      </c>
    </row>
    <row r="334" spans="3:29" x14ac:dyDescent="0.3">
      <c r="C334" s="1">
        <v>346525</v>
      </c>
      <c r="D334" s="1">
        <v>251065</v>
      </c>
      <c r="E334" s="1">
        <v>3</v>
      </c>
      <c r="F334" s="1" t="s">
        <v>456</v>
      </c>
      <c r="G334" s="1" t="s">
        <v>336</v>
      </c>
      <c r="H334" s="1">
        <v>1440</v>
      </c>
      <c r="I334" s="4"/>
      <c r="J334" s="5"/>
      <c r="K334" s="5"/>
      <c r="L334" s="5"/>
      <c r="M334" s="5"/>
      <c r="N334" s="5"/>
      <c r="O334" s="5"/>
      <c r="P334" s="5"/>
      <c r="Q334" s="5"/>
      <c r="R334" s="4"/>
      <c r="S334" s="5"/>
      <c r="T334" s="4"/>
      <c r="U334" s="5"/>
      <c r="V334" s="5"/>
      <c r="W334" s="4"/>
      <c r="X334" s="5"/>
      <c r="Z334" s="1" t="str">
        <f t="shared" si="53"/>
        <v>Tuercas CAT de reemplazo</v>
      </c>
      <c r="AA334" t="str">
        <f t="shared" si="53"/>
        <v>CAT-1163516</v>
      </c>
      <c r="AB334" s="12">
        <f t="shared" ref="AB334:AB347" si="54">H334+($S$333+$U$333)*H334/SUM($H$333:$H$347)/3.74+$X$333*H334/SUM($H$333:$H$347)</f>
        <v>2168.0412618745772</v>
      </c>
      <c r="AC334" s="11">
        <f t="shared" si="49"/>
        <v>1.5055842096351231</v>
      </c>
    </row>
    <row r="335" spans="3:29" x14ac:dyDescent="0.3">
      <c r="C335" s="1" t="s">
        <v>457</v>
      </c>
      <c r="D335" s="1">
        <v>251089</v>
      </c>
      <c r="E335" s="1">
        <v>12</v>
      </c>
      <c r="F335" s="1" t="s">
        <v>452</v>
      </c>
      <c r="G335" s="1" t="s">
        <v>80</v>
      </c>
      <c r="H335" s="1">
        <v>300</v>
      </c>
      <c r="I335" s="4"/>
      <c r="J335" s="5"/>
      <c r="K335" s="5"/>
      <c r="L335" s="5"/>
      <c r="M335" s="5"/>
      <c r="N335" s="5"/>
      <c r="O335" s="5"/>
      <c r="P335" s="5"/>
      <c r="Q335" s="5"/>
      <c r="R335" s="4"/>
      <c r="S335" s="5"/>
      <c r="T335" s="4"/>
      <c r="U335" s="5"/>
      <c r="V335" s="5"/>
      <c r="W335" s="4"/>
      <c r="X335" s="5"/>
      <c r="Z335" s="1" t="str">
        <f t="shared" si="53"/>
        <v>Anillo de retención de reemplazo</v>
      </c>
      <c r="AA335" t="str">
        <f t="shared" si="53"/>
        <v>KOM-SV5921</v>
      </c>
      <c r="AB335" s="12">
        <f t="shared" si="54"/>
        <v>451.67526289053694</v>
      </c>
      <c r="AC335" s="11">
        <f t="shared" si="49"/>
        <v>1.5055842096351231</v>
      </c>
    </row>
    <row r="336" spans="3:29" x14ac:dyDescent="0.3">
      <c r="C336" s="1" t="s">
        <v>457</v>
      </c>
      <c r="D336" s="1">
        <v>251089</v>
      </c>
      <c r="E336" s="1">
        <v>4</v>
      </c>
      <c r="F336" s="1" t="s">
        <v>456</v>
      </c>
      <c r="G336" s="1" t="s">
        <v>360</v>
      </c>
      <c r="H336" s="1">
        <v>264.24</v>
      </c>
      <c r="I336" s="4"/>
      <c r="J336" s="5"/>
      <c r="K336" s="5"/>
      <c r="L336" s="5"/>
      <c r="M336" s="5"/>
      <c r="N336" s="5"/>
      <c r="O336" s="5"/>
      <c r="P336" s="5"/>
      <c r="Q336" s="5"/>
      <c r="R336" s="4"/>
      <c r="S336" s="5"/>
      <c r="T336" s="4"/>
      <c r="U336" s="5"/>
      <c r="V336" s="5"/>
      <c r="W336" s="4"/>
      <c r="X336" s="5"/>
      <c r="Z336" s="1" t="str">
        <f t="shared" si="53"/>
        <v>Tuercas CAT de reemplazo</v>
      </c>
      <c r="AA336" t="str">
        <f t="shared" si="53"/>
        <v>CAT-3J6899</v>
      </c>
      <c r="AB336" s="12">
        <f t="shared" si="54"/>
        <v>397.83557155398495</v>
      </c>
      <c r="AC336" s="11">
        <f t="shared" si="49"/>
        <v>1.5055842096351231</v>
      </c>
    </row>
    <row r="337" spans="3:29" x14ac:dyDescent="0.3">
      <c r="C337" s="1" t="s">
        <v>458</v>
      </c>
      <c r="D337" s="1">
        <v>251089</v>
      </c>
      <c r="E337" s="1">
        <v>2</v>
      </c>
      <c r="F337" s="1" t="s">
        <v>459</v>
      </c>
      <c r="G337" s="1" t="s">
        <v>75</v>
      </c>
      <c r="H337" s="1">
        <v>260</v>
      </c>
      <c r="I337" s="4"/>
      <c r="J337" s="5"/>
      <c r="K337" s="5"/>
      <c r="L337" s="5"/>
      <c r="M337" s="5"/>
      <c r="N337" s="5"/>
      <c r="O337" s="5"/>
      <c r="P337" s="5"/>
      <c r="Q337" s="5"/>
      <c r="R337" s="4"/>
      <c r="S337" s="5"/>
      <c r="T337" s="4"/>
      <c r="U337" s="5"/>
      <c r="V337" s="5"/>
      <c r="W337" s="4"/>
      <c r="X337" s="5"/>
      <c r="Z337" s="1" t="str">
        <f t="shared" si="53"/>
        <v>Kit de sellos 10.500 x 4.000"</v>
      </c>
      <c r="AA337" t="str">
        <f t="shared" si="53"/>
        <v>CAT-2460649</v>
      </c>
      <c r="AB337" s="12">
        <f t="shared" si="54"/>
        <v>391.45189450513203</v>
      </c>
      <c r="AC337" s="11">
        <f t="shared" si="49"/>
        <v>1.5055842096351233</v>
      </c>
    </row>
    <row r="338" spans="3:29" x14ac:dyDescent="0.3">
      <c r="C338" s="1" t="s">
        <v>458</v>
      </c>
      <c r="D338" s="1">
        <v>251089</v>
      </c>
      <c r="E338" s="1">
        <v>10</v>
      </c>
      <c r="F338" s="1" t="s">
        <v>460</v>
      </c>
      <c r="G338" s="1" t="s">
        <v>85</v>
      </c>
      <c r="H338" s="1">
        <v>437.9</v>
      </c>
      <c r="I338" s="4"/>
      <c r="J338" s="5"/>
      <c r="K338" s="5"/>
      <c r="L338" s="5"/>
      <c r="M338" s="5"/>
      <c r="N338" s="5"/>
      <c r="O338" s="5"/>
      <c r="P338" s="5"/>
      <c r="Q338" s="5"/>
      <c r="R338" s="4"/>
      <c r="S338" s="5"/>
      <c r="T338" s="4"/>
      <c r="U338" s="5"/>
      <c r="V338" s="5"/>
      <c r="W338" s="4"/>
      <c r="X338" s="5"/>
      <c r="Z338" s="1" t="str">
        <f t="shared" si="53"/>
        <v xml:space="preserve">
Tapón del puerto del sensor</v>
      </c>
      <c r="AA338" t="str">
        <f t="shared" si="53"/>
        <v>KOM-TZ8637</v>
      </c>
      <c r="AB338" s="12">
        <f t="shared" si="54"/>
        <v>659.29532539922047</v>
      </c>
      <c r="AC338" s="11">
        <f t="shared" si="49"/>
        <v>1.5055842096351233</v>
      </c>
    </row>
    <row r="339" spans="3:29" x14ac:dyDescent="0.3">
      <c r="C339" s="1" t="s">
        <v>458</v>
      </c>
      <c r="D339" s="1">
        <v>251089</v>
      </c>
      <c r="E339" s="1">
        <v>5</v>
      </c>
      <c r="F339" s="1" t="s">
        <v>461</v>
      </c>
      <c r="G339" s="1" t="s">
        <v>84</v>
      </c>
      <c r="H339" s="1">
        <v>92.55</v>
      </c>
      <c r="I339" s="4"/>
      <c r="J339" s="5"/>
      <c r="K339" s="5"/>
      <c r="L339" s="5"/>
      <c r="M339" s="5"/>
      <c r="N339" s="5"/>
      <c r="O339" s="5"/>
      <c r="P339" s="5"/>
      <c r="Q339" s="5"/>
      <c r="R339" s="4"/>
      <c r="S339" s="5"/>
      <c r="T339" s="4"/>
      <c r="U339" s="5"/>
      <c r="V339" s="5"/>
      <c r="W339" s="4"/>
      <c r="X339" s="5"/>
      <c r="Z339" s="1" t="str">
        <f t="shared" si="53"/>
        <v>Tapón</v>
      </c>
      <c r="AA339" t="str">
        <f t="shared" si="53"/>
        <v>KOM-TY8879</v>
      </c>
      <c r="AB339" s="12">
        <f t="shared" si="54"/>
        <v>139.34181860173067</v>
      </c>
      <c r="AC339" s="11">
        <f t="shared" si="49"/>
        <v>1.5055842096351233</v>
      </c>
    </row>
    <row r="340" spans="3:29" x14ac:dyDescent="0.3">
      <c r="C340" s="1" t="s">
        <v>458</v>
      </c>
      <c r="D340" s="1">
        <v>251089</v>
      </c>
      <c r="E340" s="1">
        <v>36</v>
      </c>
      <c r="F340" s="1" t="s">
        <v>462</v>
      </c>
      <c r="G340" s="1" t="s">
        <v>463</v>
      </c>
      <c r="H340" s="1">
        <v>21.96</v>
      </c>
      <c r="I340" s="4"/>
      <c r="J340" s="5"/>
      <c r="K340" s="5"/>
      <c r="L340" s="5"/>
      <c r="M340" s="5"/>
      <c r="N340" s="5"/>
      <c r="O340" s="5"/>
      <c r="P340" s="5"/>
      <c r="Q340" s="5"/>
      <c r="R340" s="4"/>
      <c r="S340" s="5"/>
      <c r="T340" s="4"/>
      <c r="U340" s="5"/>
      <c r="V340" s="5"/>
      <c r="W340" s="4"/>
      <c r="X340" s="5"/>
      <c r="Z340" s="1" t="str">
        <f t="shared" si="53"/>
        <v>Reten tipo O-ring</v>
      </c>
      <c r="AA340" t="str">
        <f t="shared" si="53"/>
        <v>KOM-WA0363</v>
      </c>
      <c r="AB340" s="12">
        <f t="shared" si="54"/>
        <v>33.06262924358731</v>
      </c>
      <c r="AC340" s="11">
        <f t="shared" si="49"/>
        <v>1.5055842096351233</v>
      </c>
    </row>
    <row r="341" spans="3:29" x14ac:dyDescent="0.3">
      <c r="C341" s="1">
        <v>346925</v>
      </c>
      <c r="D341" s="1">
        <v>251105</v>
      </c>
      <c r="E341" s="1">
        <v>5</v>
      </c>
      <c r="F341" s="1" t="s">
        <v>462</v>
      </c>
      <c r="G341" s="1" t="s">
        <v>464</v>
      </c>
      <c r="H341" s="1">
        <v>5.85</v>
      </c>
      <c r="I341" s="4"/>
      <c r="J341" s="5"/>
      <c r="K341" s="5"/>
      <c r="L341" s="5"/>
      <c r="M341" s="5"/>
      <c r="N341" s="5"/>
      <c r="O341" s="5"/>
      <c r="P341" s="5"/>
      <c r="Q341" s="5"/>
      <c r="R341" s="4"/>
      <c r="S341" s="5"/>
      <c r="T341" s="4"/>
      <c r="U341" s="5"/>
      <c r="V341" s="5"/>
      <c r="W341" s="4"/>
      <c r="X341" s="5"/>
      <c r="Z341" s="1" t="str">
        <f t="shared" si="53"/>
        <v>Reten tipo O-ring</v>
      </c>
      <c r="AA341" t="str">
        <f t="shared" si="53"/>
        <v xml:space="preserve">KOM-WA0443 </v>
      </c>
      <c r="AB341" s="12">
        <f t="shared" si="54"/>
        <v>8.8076676263654701</v>
      </c>
      <c r="AC341" s="11">
        <f t="shared" si="49"/>
        <v>1.5055842096351231</v>
      </c>
    </row>
    <row r="342" spans="3:29" x14ac:dyDescent="0.3">
      <c r="C342" s="1" t="s">
        <v>227</v>
      </c>
      <c r="D342" s="1">
        <v>251116</v>
      </c>
      <c r="E342" s="1">
        <v>20</v>
      </c>
      <c r="F342" s="1" t="s">
        <v>465</v>
      </c>
      <c r="G342" s="1" t="s">
        <v>33</v>
      </c>
      <c r="H342" s="1">
        <v>38</v>
      </c>
      <c r="I342" s="4"/>
      <c r="J342" s="5"/>
      <c r="K342" s="5"/>
      <c r="L342" s="5"/>
      <c r="M342" s="5"/>
      <c r="N342" s="5"/>
      <c r="O342" s="5"/>
      <c r="P342" s="5"/>
      <c r="Q342" s="5"/>
      <c r="R342" s="4"/>
      <c r="S342" s="5"/>
      <c r="T342" s="4"/>
      <c r="U342" s="5"/>
      <c r="V342" s="5"/>
      <c r="W342" s="4"/>
      <c r="X342" s="5"/>
      <c r="Z342" s="1" t="str">
        <f t="shared" si="53"/>
        <v>Bola de acero</v>
      </c>
      <c r="AA342" t="str">
        <f t="shared" si="53"/>
        <v>KOM-H2981</v>
      </c>
      <c r="AB342" s="12">
        <f t="shared" si="54"/>
        <v>57.212199966134676</v>
      </c>
      <c r="AC342" s="11">
        <f t="shared" si="49"/>
        <v>1.5055842096351231</v>
      </c>
    </row>
    <row r="343" spans="3:29" x14ac:dyDescent="0.3">
      <c r="C343" s="1" t="s">
        <v>227</v>
      </c>
      <c r="D343" s="1">
        <v>251116</v>
      </c>
      <c r="E343" s="32">
        <v>2</v>
      </c>
      <c r="F343" s="1" t="s">
        <v>460</v>
      </c>
      <c r="G343" s="1" t="s">
        <v>85</v>
      </c>
      <c r="H343" s="1">
        <v>87.58</v>
      </c>
      <c r="I343" s="4"/>
      <c r="J343" s="5"/>
      <c r="K343" s="5"/>
      <c r="L343" s="5"/>
      <c r="M343" s="5"/>
      <c r="N343" s="5"/>
      <c r="O343" s="5"/>
      <c r="P343" s="5"/>
      <c r="Q343" s="5"/>
      <c r="R343" s="4"/>
      <c r="S343" s="5"/>
      <c r="T343" s="4"/>
      <c r="U343" s="5"/>
      <c r="V343" s="5"/>
      <c r="W343" s="4"/>
      <c r="X343" s="5"/>
      <c r="Z343" s="1" t="str">
        <f t="shared" si="53"/>
        <v xml:space="preserve">
Tapón del puerto del sensor</v>
      </c>
      <c r="AA343" t="str">
        <f t="shared" si="53"/>
        <v>KOM-TZ8637</v>
      </c>
      <c r="AB343" s="12">
        <f t="shared" si="54"/>
        <v>131.8590650798441</v>
      </c>
      <c r="AC343" s="11">
        <f t="shared" si="49"/>
        <v>1.5055842096351233</v>
      </c>
    </row>
    <row r="344" spans="3:29" x14ac:dyDescent="0.3">
      <c r="C344" s="1" t="s">
        <v>227</v>
      </c>
      <c r="D344" s="1">
        <v>251116</v>
      </c>
      <c r="E344" s="1">
        <v>10</v>
      </c>
      <c r="F344" s="1" t="s">
        <v>461</v>
      </c>
      <c r="G344" s="1" t="s">
        <v>84</v>
      </c>
      <c r="H344" s="1">
        <v>185.1</v>
      </c>
      <c r="I344" s="4"/>
      <c r="J344" s="5"/>
      <c r="K344" s="5"/>
      <c r="L344" s="5"/>
      <c r="M344" s="5"/>
      <c r="N344" s="5"/>
      <c r="O344" s="5"/>
      <c r="P344" s="5"/>
      <c r="Q344" s="5"/>
      <c r="R344" s="4"/>
      <c r="S344" s="5"/>
      <c r="T344" s="4"/>
      <c r="U344" s="5"/>
      <c r="V344" s="5"/>
      <c r="W344" s="4"/>
      <c r="X344" s="5"/>
      <c r="Z344" s="1" t="str">
        <f t="shared" si="53"/>
        <v>Tapón</v>
      </c>
      <c r="AA344" t="str">
        <f t="shared" si="53"/>
        <v>KOM-TY8879</v>
      </c>
      <c r="AB344" s="12">
        <f t="shared" si="54"/>
        <v>278.68363720346133</v>
      </c>
      <c r="AC344" s="11">
        <f t="shared" si="49"/>
        <v>1.5055842096351233</v>
      </c>
    </row>
    <row r="345" spans="3:29" x14ac:dyDescent="0.3">
      <c r="C345" s="1">
        <v>348325</v>
      </c>
      <c r="D345" s="1">
        <v>251137</v>
      </c>
      <c r="E345" s="1">
        <v>1</v>
      </c>
      <c r="F345" s="1" t="s">
        <v>466</v>
      </c>
      <c r="G345" s="1" t="s">
        <v>467</v>
      </c>
      <c r="H345" s="1">
        <v>9.4499999999999993</v>
      </c>
      <c r="I345" s="4"/>
      <c r="J345" s="5"/>
      <c r="K345" s="5"/>
      <c r="L345" s="5"/>
      <c r="M345" s="5"/>
      <c r="N345" s="5"/>
      <c r="O345" s="5"/>
      <c r="P345" s="5"/>
      <c r="Q345" s="5"/>
      <c r="R345" s="4"/>
      <c r="S345" s="5"/>
      <c r="T345" s="4"/>
      <c r="U345" s="5"/>
      <c r="V345" s="5"/>
      <c r="W345" s="4"/>
      <c r="X345" s="5"/>
      <c r="Z345" s="1" t="str">
        <f t="shared" si="53"/>
        <v>Válvula purgadora - acero</v>
      </c>
      <c r="AA345" t="str">
        <f t="shared" si="53"/>
        <v>KOM-VF4319</v>
      </c>
      <c r="AB345" s="12">
        <f t="shared" si="54"/>
        <v>14.227770781051913</v>
      </c>
      <c r="AC345" s="11">
        <f t="shared" si="49"/>
        <v>1.5055842096351231</v>
      </c>
    </row>
    <row r="346" spans="3:29" x14ac:dyDescent="0.3">
      <c r="C346" s="1">
        <v>348325</v>
      </c>
      <c r="D346" s="1">
        <v>251137</v>
      </c>
      <c r="E346" s="1">
        <v>1</v>
      </c>
      <c r="F346" s="1" t="s">
        <v>140</v>
      </c>
      <c r="G346" s="1" t="s">
        <v>468</v>
      </c>
      <c r="H346" s="1">
        <v>0.23</v>
      </c>
      <c r="I346" s="4"/>
      <c r="J346" s="5"/>
      <c r="K346" s="5"/>
      <c r="L346" s="5"/>
      <c r="M346" s="5"/>
      <c r="N346" s="5"/>
      <c r="O346" s="5"/>
      <c r="P346" s="5"/>
      <c r="Q346" s="5"/>
      <c r="R346" s="4"/>
      <c r="S346" s="5"/>
      <c r="T346" s="4"/>
      <c r="U346" s="5"/>
      <c r="V346" s="5"/>
      <c r="W346" s="4"/>
      <c r="X346" s="5"/>
      <c r="Z346" s="1" t="str">
        <f t="shared" si="53"/>
        <v>Limpiador</v>
      </c>
      <c r="AA346" t="str">
        <f t="shared" si="53"/>
        <v>KOM-WA0720</v>
      </c>
      <c r="AB346" s="12">
        <f t="shared" si="54"/>
        <v>0.34628436821607839</v>
      </c>
      <c r="AC346" s="11">
        <f t="shared" si="49"/>
        <v>1.5055842096351233</v>
      </c>
    </row>
    <row r="347" spans="3:29" x14ac:dyDescent="0.3">
      <c r="C347" s="1">
        <v>348325</v>
      </c>
      <c r="D347" s="1">
        <v>251137</v>
      </c>
      <c r="E347" s="1">
        <v>1</v>
      </c>
      <c r="F347" s="1" t="s">
        <v>469</v>
      </c>
      <c r="G347" s="1" t="s">
        <v>470</v>
      </c>
      <c r="H347" s="1">
        <v>0.3</v>
      </c>
      <c r="I347" s="4"/>
      <c r="J347" s="5"/>
      <c r="K347" s="5"/>
      <c r="L347" s="5"/>
      <c r="M347" s="5"/>
      <c r="N347" s="5"/>
      <c r="O347" s="5"/>
      <c r="P347" s="5"/>
      <c r="Q347" s="5"/>
      <c r="R347" s="4"/>
      <c r="S347" s="5"/>
      <c r="T347" s="4"/>
      <c r="U347" s="5"/>
      <c r="V347" s="5"/>
      <c r="W347" s="4"/>
      <c r="X347" s="5"/>
      <c r="Y347" t="s">
        <v>471</v>
      </c>
      <c r="Z347" s="1" t="str">
        <f t="shared" si="53"/>
        <v>Perno</v>
      </c>
      <c r="AA347" t="str">
        <f t="shared" si="53"/>
        <v>KOM-C1602</v>
      </c>
      <c r="AB347" s="12">
        <f t="shared" si="54"/>
        <v>0.45167526289053694</v>
      </c>
      <c r="AC347" s="11">
        <f t="shared" si="49"/>
        <v>1.5055842096351233</v>
      </c>
    </row>
    <row r="348" spans="3:29" x14ac:dyDescent="0.3">
      <c r="AB348" s="12"/>
      <c r="AC348" s="11"/>
    </row>
    <row r="349" spans="3:29" x14ac:dyDescent="0.3">
      <c r="C349" s="1" t="s">
        <v>227</v>
      </c>
      <c r="D349" s="1">
        <v>251116</v>
      </c>
      <c r="E349" s="1">
        <v>3</v>
      </c>
      <c r="F349" s="1" t="s">
        <v>460</v>
      </c>
      <c r="G349" s="1" t="s">
        <v>85</v>
      </c>
      <c r="H349" s="19">
        <v>131.37</v>
      </c>
      <c r="I349" s="33">
        <v>9947698272</v>
      </c>
      <c r="J349" s="10">
        <v>46</v>
      </c>
      <c r="K349" s="10">
        <f>18*18*13</f>
        <v>4212</v>
      </c>
      <c r="L349" s="10">
        <v>441.24</v>
      </c>
      <c r="M349" s="30">
        <v>45912</v>
      </c>
      <c r="N349" s="30">
        <f>M349+5</f>
        <v>45917</v>
      </c>
      <c r="O349" s="30">
        <v>45915</v>
      </c>
      <c r="P349" s="10">
        <f>O349-M349</f>
        <v>3</v>
      </c>
      <c r="Q349" s="10"/>
      <c r="R349" s="4" t="s">
        <v>472</v>
      </c>
      <c r="S349" s="5">
        <v>842.29</v>
      </c>
      <c r="T349" s="4" t="s">
        <v>473</v>
      </c>
      <c r="U349" s="9">
        <f>2145+1350</f>
        <v>3495</v>
      </c>
      <c r="V349" s="10"/>
      <c r="W349" s="33" t="s">
        <v>455</v>
      </c>
      <c r="X349" s="10">
        <v>377.4</v>
      </c>
      <c r="Z349" s="1" t="str">
        <f t="shared" ref="Z349:AA362" si="55">F349</f>
        <v xml:space="preserve">
Tapón del puerto del sensor</v>
      </c>
      <c r="AA349" t="str">
        <f t="shared" si="55"/>
        <v>KOM-TZ8637</v>
      </c>
      <c r="AB349" s="12">
        <f>H349+($S$349+$U$349)*H349/SUM($H$349:$H$357)/3.74+$X$349*H349/SUM($H$349:$H$357)</f>
        <v>232.85728376540254</v>
      </c>
      <c r="AC349" s="11">
        <f t="shared" ref="AC349:AC362" si="56">AB349/H349</f>
        <v>1.7725301344705986</v>
      </c>
    </row>
    <row r="350" spans="3:29" x14ac:dyDescent="0.3">
      <c r="C350" s="1">
        <v>350325</v>
      </c>
      <c r="D350" s="1">
        <v>251153</v>
      </c>
      <c r="E350" s="1">
        <v>2</v>
      </c>
      <c r="F350" s="1" t="s">
        <v>474</v>
      </c>
      <c r="G350" s="1" t="s">
        <v>475</v>
      </c>
      <c r="H350" s="1">
        <v>220</v>
      </c>
      <c r="I350" s="33"/>
      <c r="J350" s="10"/>
      <c r="K350" s="10"/>
      <c r="L350" s="10"/>
      <c r="M350" s="10"/>
      <c r="N350" s="10"/>
      <c r="O350" s="10"/>
      <c r="P350" s="10"/>
      <c r="Q350" s="10"/>
      <c r="R350" s="4"/>
      <c r="S350" s="5"/>
      <c r="T350" s="4"/>
      <c r="U350" s="5"/>
      <c r="V350" s="10"/>
      <c r="W350" s="33"/>
      <c r="X350" s="10"/>
      <c r="Z350" s="1" t="str">
        <f t="shared" si="55"/>
        <v>Juego de sellos</v>
      </c>
      <c r="AA350" t="str">
        <f t="shared" si="55"/>
        <v>CAT-2295507</v>
      </c>
      <c r="AB350" s="12">
        <f t="shared" ref="AB350:AB357" si="57">H350+($S$349+$U$349)*H350/SUM($H$349:$H$357)/3.74+$X$349*H350/SUM($H$349:$H$357)</f>
        <v>389.95662958353165</v>
      </c>
      <c r="AC350" s="11">
        <f t="shared" si="56"/>
        <v>1.7725301344705984</v>
      </c>
    </row>
    <row r="351" spans="3:29" x14ac:dyDescent="0.3">
      <c r="C351" s="1">
        <v>348725</v>
      </c>
      <c r="D351" s="1">
        <v>251157</v>
      </c>
      <c r="E351" s="1">
        <v>2</v>
      </c>
      <c r="F351" s="1" t="s">
        <v>476</v>
      </c>
      <c r="G351" s="1" t="s">
        <v>97</v>
      </c>
      <c r="H351" s="1">
        <v>301.2</v>
      </c>
      <c r="I351" s="33"/>
      <c r="J351" s="10"/>
      <c r="K351" s="10"/>
      <c r="L351" s="10"/>
      <c r="M351" s="10"/>
      <c r="N351" s="10"/>
      <c r="O351" s="10"/>
      <c r="P351" s="10"/>
      <c r="Q351" s="10"/>
      <c r="R351" s="4"/>
      <c r="S351" s="5"/>
      <c r="T351" s="4"/>
      <c r="U351" s="5"/>
      <c r="V351" s="10"/>
      <c r="W351" s="33"/>
      <c r="X351" s="10"/>
      <c r="Z351" s="1" t="str">
        <f t="shared" si="55"/>
        <v>Buje de rodamiento</v>
      </c>
      <c r="AA351" t="str">
        <f t="shared" si="55"/>
        <v>CAT-1722848</v>
      </c>
      <c r="AB351" s="12">
        <f t="shared" si="57"/>
        <v>533.88607650254426</v>
      </c>
      <c r="AC351" s="11">
        <f t="shared" si="56"/>
        <v>1.7725301344705986</v>
      </c>
    </row>
    <row r="352" spans="3:29" x14ac:dyDescent="0.3">
      <c r="C352" s="1">
        <v>350225</v>
      </c>
      <c r="D352" s="1">
        <v>251159</v>
      </c>
      <c r="E352" s="1">
        <v>8</v>
      </c>
      <c r="F352" s="1" t="s">
        <v>477</v>
      </c>
      <c r="G352" s="1" t="s">
        <v>80</v>
      </c>
      <c r="H352" s="1">
        <v>200</v>
      </c>
      <c r="I352" s="33"/>
      <c r="J352" s="10"/>
      <c r="K352" s="10"/>
      <c r="L352" s="10"/>
      <c r="M352" s="10"/>
      <c r="N352" s="10"/>
      <c r="O352" s="10"/>
      <c r="P352" s="10"/>
      <c r="Q352" s="10"/>
      <c r="R352" s="4"/>
      <c r="S352" s="5"/>
      <c r="T352" s="4"/>
      <c r="U352" s="5"/>
      <c r="V352" s="10"/>
      <c r="W352" s="33"/>
      <c r="X352" s="10"/>
      <c r="Z352" s="1" t="str">
        <f t="shared" si="55"/>
        <v>Anillo de retención</v>
      </c>
      <c r="AA352" t="str">
        <f t="shared" si="55"/>
        <v>KOM-SV5921</v>
      </c>
      <c r="AB352" s="12">
        <f t="shared" si="57"/>
        <v>354.50602689411966</v>
      </c>
      <c r="AC352" s="11">
        <f t="shared" si="56"/>
        <v>1.7725301344705984</v>
      </c>
    </row>
    <row r="353" spans="3:29" x14ac:dyDescent="0.3">
      <c r="C353" s="1">
        <v>350025</v>
      </c>
      <c r="D353" s="1">
        <v>251172</v>
      </c>
      <c r="E353" s="1">
        <v>1</v>
      </c>
      <c r="F353" s="1" t="s">
        <v>478</v>
      </c>
      <c r="G353" s="1" t="s">
        <v>271</v>
      </c>
      <c r="H353" s="1">
        <v>772.13</v>
      </c>
      <c r="I353" s="33"/>
      <c r="J353" s="10"/>
      <c r="K353" s="10"/>
      <c r="L353" s="10"/>
      <c r="M353" s="10"/>
      <c r="N353" s="10"/>
      <c r="O353" s="10"/>
      <c r="P353" s="10"/>
      <c r="Q353" s="10"/>
      <c r="R353" s="4"/>
      <c r="S353" s="5"/>
      <c r="T353" s="4"/>
      <c r="U353" s="5"/>
      <c r="V353" s="10"/>
      <c r="W353" s="33"/>
      <c r="X353" s="10"/>
      <c r="Z353" s="1" t="str">
        <f t="shared" si="55"/>
        <v>Kit acumulador</v>
      </c>
      <c r="AA353" t="str">
        <f t="shared" si="55"/>
        <v>KOM-58B/98/01320</v>
      </c>
      <c r="AB353" s="12">
        <f t="shared" si="57"/>
        <v>1368.6236927287832</v>
      </c>
      <c r="AC353" s="11">
        <f t="shared" si="56"/>
        <v>1.7725301344705986</v>
      </c>
    </row>
    <row r="354" spans="3:29" x14ac:dyDescent="0.3">
      <c r="C354" s="1">
        <v>338525</v>
      </c>
      <c r="D354" s="1">
        <v>250800</v>
      </c>
      <c r="E354" s="1">
        <v>2</v>
      </c>
      <c r="F354" s="1" t="s">
        <v>474</v>
      </c>
      <c r="G354" s="1" t="s">
        <v>77</v>
      </c>
      <c r="H354" s="1">
        <v>117.2</v>
      </c>
      <c r="I354" s="33"/>
      <c r="J354" s="10"/>
      <c r="K354" s="10"/>
      <c r="L354" s="10"/>
      <c r="M354" s="10"/>
      <c r="N354" s="10"/>
      <c r="O354" s="10"/>
      <c r="P354" s="10"/>
      <c r="Q354" s="10"/>
      <c r="R354" s="4"/>
      <c r="S354" s="5"/>
      <c r="T354" s="4"/>
      <c r="U354" s="5"/>
      <c r="V354" s="10"/>
      <c r="W354" s="33"/>
      <c r="X354" s="10"/>
      <c r="Z354" s="1" t="str">
        <f t="shared" si="55"/>
        <v>Juego de sellos</v>
      </c>
      <c r="AA354" t="str">
        <f t="shared" si="55"/>
        <v>CAT-4388593</v>
      </c>
      <c r="AB354" s="12">
        <f t="shared" si="57"/>
        <v>207.74053175995414</v>
      </c>
      <c r="AC354" s="11">
        <f t="shared" si="56"/>
        <v>1.7725301344705984</v>
      </c>
    </row>
    <row r="355" spans="3:29" x14ac:dyDescent="0.3">
      <c r="C355" s="1" t="s">
        <v>479</v>
      </c>
      <c r="D355" s="1">
        <v>250818</v>
      </c>
      <c r="E355" s="1">
        <v>3</v>
      </c>
      <c r="F355" s="1" t="s">
        <v>474</v>
      </c>
      <c r="G355" s="1" t="s">
        <v>77</v>
      </c>
      <c r="H355" s="1">
        <v>175.8</v>
      </c>
      <c r="I355" s="33"/>
      <c r="J355" s="10"/>
      <c r="K355" s="10"/>
      <c r="L355" s="10"/>
      <c r="M355" s="10"/>
      <c r="N355" s="10"/>
      <c r="O355" s="10"/>
      <c r="P355" s="10"/>
      <c r="Q355" s="10"/>
      <c r="R355" s="4"/>
      <c r="S355" s="5"/>
      <c r="T355" s="4"/>
      <c r="U355" s="5"/>
      <c r="V355" s="10"/>
      <c r="W355" s="33"/>
      <c r="X355" s="10"/>
      <c r="Z355" s="1" t="str">
        <f t="shared" si="55"/>
        <v>Juego de sellos</v>
      </c>
      <c r="AA355" t="str">
        <f t="shared" si="55"/>
        <v>CAT-4388593</v>
      </c>
      <c r="AB355" s="12">
        <f t="shared" si="57"/>
        <v>311.61079763993126</v>
      </c>
      <c r="AC355" s="11">
        <f t="shared" si="56"/>
        <v>1.7725301344705986</v>
      </c>
    </row>
    <row r="356" spans="3:29" x14ac:dyDescent="0.3">
      <c r="C356" s="1">
        <v>340825</v>
      </c>
      <c r="D356" s="1">
        <v>250894</v>
      </c>
      <c r="E356" s="1">
        <v>3</v>
      </c>
      <c r="F356" s="1" t="s">
        <v>480</v>
      </c>
      <c r="G356" s="1" t="s">
        <v>408</v>
      </c>
      <c r="H356" s="1">
        <v>54</v>
      </c>
      <c r="I356" s="33"/>
      <c r="J356" s="10"/>
      <c r="K356" s="10"/>
      <c r="L356" s="10"/>
      <c r="M356" s="10"/>
      <c r="N356" s="10"/>
      <c r="O356" s="10"/>
      <c r="P356" s="10"/>
      <c r="Q356" s="10"/>
      <c r="R356" s="4"/>
      <c r="S356" s="5"/>
      <c r="T356" s="4"/>
      <c r="U356" s="5"/>
      <c r="V356" s="10"/>
      <c r="W356" s="33"/>
      <c r="X356" s="10"/>
      <c r="Z356" s="1" t="str">
        <f t="shared" si="55"/>
        <v>Limpiador de vástago</v>
      </c>
      <c r="AA356" t="str">
        <f t="shared" si="55"/>
        <v>CAT-9X7700</v>
      </c>
      <c r="AB356" s="12">
        <f t="shared" si="57"/>
        <v>95.716627261412313</v>
      </c>
      <c r="AC356" s="11">
        <f t="shared" si="56"/>
        <v>1.7725301344705984</v>
      </c>
    </row>
    <row r="357" spans="3:29" x14ac:dyDescent="0.3">
      <c r="C357" s="1">
        <v>340725</v>
      </c>
      <c r="D357" s="1">
        <v>250894</v>
      </c>
      <c r="E357" s="1">
        <v>1</v>
      </c>
      <c r="F357" s="1" t="s">
        <v>480</v>
      </c>
      <c r="G357" s="1" t="s">
        <v>408</v>
      </c>
      <c r="H357" s="1">
        <v>18</v>
      </c>
      <c r="I357" s="33"/>
      <c r="J357" s="10"/>
      <c r="K357" s="10"/>
      <c r="L357" s="10"/>
      <c r="M357" s="10"/>
      <c r="N357" s="10"/>
      <c r="O357" s="10"/>
      <c r="P357" s="10"/>
      <c r="Q357" s="10"/>
      <c r="R357" s="4"/>
      <c r="S357" s="5"/>
      <c r="T357" s="4"/>
      <c r="U357" s="5"/>
      <c r="V357" s="10"/>
      <c r="W357" s="33"/>
      <c r="X357" s="10"/>
      <c r="Z357" s="1" t="str">
        <f t="shared" si="55"/>
        <v>Limpiador de vástago</v>
      </c>
      <c r="AA357" t="str">
        <f t="shared" si="55"/>
        <v>CAT-9X7700</v>
      </c>
      <c r="AB357" s="12">
        <f t="shared" si="57"/>
        <v>31.905542420470773</v>
      </c>
      <c r="AC357" s="11">
        <f t="shared" si="56"/>
        <v>1.7725301344705986</v>
      </c>
    </row>
    <row r="358" spans="3:29" x14ac:dyDescent="0.3">
      <c r="AB358" s="12"/>
      <c r="AC358" s="11"/>
    </row>
    <row r="359" spans="3:29" x14ac:dyDescent="0.3">
      <c r="C359" s="1" t="s">
        <v>481</v>
      </c>
      <c r="D359" s="1">
        <v>251181</v>
      </c>
      <c r="E359" s="1">
        <v>5</v>
      </c>
      <c r="F359" s="1" t="s">
        <v>482</v>
      </c>
      <c r="G359" s="1" t="s">
        <v>76</v>
      </c>
      <c r="H359" s="19">
        <v>1400.4</v>
      </c>
      <c r="I359" s="4">
        <v>5495693512</v>
      </c>
      <c r="J359" s="5">
        <v>18</v>
      </c>
      <c r="K359" s="5">
        <f>18*18*12</f>
        <v>3888</v>
      </c>
      <c r="L359" s="5">
        <v>324.06</v>
      </c>
      <c r="M359" s="6">
        <v>45919</v>
      </c>
      <c r="N359" s="6">
        <v>45925</v>
      </c>
      <c r="O359" s="6">
        <v>45924</v>
      </c>
      <c r="P359" s="7">
        <f>O359-M359</f>
        <v>5</v>
      </c>
      <c r="Q359" s="5"/>
      <c r="R359" s="4" t="s">
        <v>483</v>
      </c>
      <c r="S359" s="5">
        <v>142.9</v>
      </c>
      <c r="T359" s="4" t="s">
        <v>484</v>
      </c>
      <c r="U359" s="9">
        <v>1650</v>
      </c>
      <c r="V359" s="5"/>
      <c r="W359" s="4" t="s">
        <v>485</v>
      </c>
      <c r="X359" s="5">
        <v>300.94</v>
      </c>
      <c r="Z359" s="1" t="str">
        <f t="shared" si="55"/>
        <v>980E STEERING SEAL KIT</v>
      </c>
      <c r="AA359" t="str">
        <f t="shared" si="55"/>
        <v>KOM-58B/SC/AK030</v>
      </c>
      <c r="AB359" s="12">
        <f>H359+($S$359+$U$359)*H359/SUM($H$359:$H$362)/3.74+$X$359*H359/SUM($H$359:$H$362)</f>
        <v>1955.9868803956797</v>
      </c>
      <c r="AC359" s="11">
        <f t="shared" si="56"/>
        <v>1.396734419020051</v>
      </c>
    </row>
    <row r="360" spans="3:29" x14ac:dyDescent="0.3">
      <c r="C360" s="1">
        <v>348625</v>
      </c>
      <c r="E360" s="1">
        <v>1</v>
      </c>
      <c r="F360" s="1" t="s">
        <v>313</v>
      </c>
      <c r="G360" s="1" t="s">
        <v>70</v>
      </c>
      <c r="H360" s="1">
        <v>54.99</v>
      </c>
      <c r="I360" s="4"/>
      <c r="J360" s="5"/>
      <c r="K360" s="5"/>
      <c r="L360" s="5"/>
      <c r="M360" s="5"/>
      <c r="N360" s="5"/>
      <c r="O360" s="5"/>
      <c r="P360" s="7"/>
      <c r="Q360" s="5"/>
      <c r="R360" s="4"/>
      <c r="S360" s="5"/>
      <c r="T360" s="4"/>
      <c r="U360" s="5"/>
      <c r="V360" s="5"/>
      <c r="W360" s="4"/>
      <c r="X360" s="5"/>
      <c r="Z360" s="1" t="str">
        <f t="shared" si="55"/>
        <v>SEAL KIT 5.250 X 3.000"</v>
      </c>
      <c r="AA360" t="str">
        <f t="shared" si="55"/>
        <v>CAT-2442073</v>
      </c>
      <c r="AB360" s="12">
        <f>H360+($S$359+$U$359)*H360/SUM($H$359:$H$362)/3.74+$X$359*H360/SUM($H$359:$H$362)</f>
        <v>76.806425701912616</v>
      </c>
      <c r="AC360" s="11">
        <f t="shared" si="56"/>
        <v>1.3967344190200512</v>
      </c>
    </row>
    <row r="361" spans="3:29" x14ac:dyDescent="0.3">
      <c r="C361" s="1">
        <v>351125</v>
      </c>
      <c r="E361" s="1">
        <v>1</v>
      </c>
      <c r="F361" s="1" t="s">
        <v>486</v>
      </c>
      <c r="G361" s="1" t="s">
        <v>487</v>
      </c>
      <c r="H361" s="1">
        <v>56.48</v>
      </c>
      <c r="I361" s="4"/>
      <c r="J361" s="5"/>
      <c r="K361" s="5"/>
      <c r="L361" s="5"/>
      <c r="M361" s="5"/>
      <c r="N361" s="5"/>
      <c r="O361" s="5"/>
      <c r="P361" s="7"/>
      <c r="Q361" s="5"/>
      <c r="R361" s="4"/>
      <c r="S361" s="5"/>
      <c r="T361" s="4"/>
      <c r="U361" s="5"/>
      <c r="V361" s="5"/>
      <c r="W361" s="4"/>
      <c r="X361" s="5"/>
      <c r="Z361" s="1" t="str">
        <f t="shared" si="55"/>
        <v>160.00MM. - ROD BUSHING</v>
      </c>
      <c r="AA361" t="str">
        <f t="shared" si="55"/>
        <v>KOM-707/52/11610</v>
      </c>
      <c r="AB361" s="12">
        <f>H361+($S$359+$U$359)*H361/SUM($H$359:$H$362)/3.74+$X$359*H361/SUM($H$359:$H$362)</f>
        <v>78.887559986252484</v>
      </c>
      <c r="AC361" s="11">
        <f t="shared" si="56"/>
        <v>1.3967344190200512</v>
      </c>
    </row>
    <row r="362" spans="3:29" x14ac:dyDescent="0.3">
      <c r="C362" s="1">
        <v>351125</v>
      </c>
      <c r="E362" s="1">
        <v>1</v>
      </c>
      <c r="F362" s="1" t="s">
        <v>488</v>
      </c>
      <c r="G362" s="1" t="s">
        <v>489</v>
      </c>
      <c r="H362" s="1">
        <v>455</v>
      </c>
      <c r="I362" s="4"/>
      <c r="J362" s="5"/>
      <c r="K362" s="5"/>
      <c r="L362" s="5"/>
      <c r="M362" s="5"/>
      <c r="N362" s="5"/>
      <c r="O362" s="5"/>
      <c r="P362" s="7"/>
      <c r="Q362" s="5"/>
      <c r="R362" s="4"/>
      <c r="S362" s="5"/>
      <c r="T362" s="4"/>
      <c r="U362" s="5"/>
      <c r="V362" s="5"/>
      <c r="W362" s="4"/>
      <c r="X362" s="5"/>
      <c r="Y362" t="s">
        <v>490</v>
      </c>
      <c r="Z362" s="1" t="str">
        <f t="shared" si="55"/>
        <v>WA900 LIFT SEAL KIT</v>
      </c>
      <c r="AA362" t="str">
        <f t="shared" si="55"/>
        <v>KOM-707/99/85900</v>
      </c>
      <c r="AB362" s="12">
        <f>H362+($S$359+$U$359)*H362/SUM($H$359:$H$362)/3.74+$X$359*H362/SUM($H$359:$H$362)</f>
        <v>635.5141606541232</v>
      </c>
      <c r="AC362" s="11">
        <f t="shared" si="56"/>
        <v>1.396734419020051</v>
      </c>
    </row>
    <row r="363" spans="3:29" x14ac:dyDescent="0.3">
      <c r="I363" s="2"/>
      <c r="J363" s="2"/>
      <c r="K363" s="2"/>
      <c r="L363" s="2"/>
      <c r="M363" s="2"/>
      <c r="N363" s="2"/>
      <c r="O363" s="2"/>
      <c r="Q363" s="2"/>
      <c r="R363" s="2"/>
      <c r="S363" s="2"/>
      <c r="T363" s="22"/>
      <c r="U363" s="22"/>
      <c r="V363" s="22"/>
      <c r="W363" s="22"/>
      <c r="X363" s="22"/>
      <c r="AB363" s="12"/>
      <c r="AC363" s="11"/>
    </row>
    <row r="364" spans="3:29" x14ac:dyDescent="0.3">
      <c r="C364" s="1">
        <v>351225</v>
      </c>
      <c r="D364" s="1">
        <v>251200</v>
      </c>
      <c r="E364" s="1">
        <v>2</v>
      </c>
      <c r="F364" s="1" t="s">
        <v>240</v>
      </c>
      <c r="G364" s="1" t="s">
        <v>491</v>
      </c>
      <c r="H364" s="19">
        <v>97.62</v>
      </c>
      <c r="I364" s="4">
        <v>5194131445</v>
      </c>
      <c r="J364" s="5">
        <f>28+38</f>
        <v>66</v>
      </c>
      <c r="K364" s="5">
        <f>14*14*13+18*18*9</f>
        <v>5464</v>
      </c>
      <c r="L364" s="5">
        <v>549.62</v>
      </c>
      <c r="M364" s="6">
        <v>45936</v>
      </c>
      <c r="N364" s="6">
        <v>45940</v>
      </c>
      <c r="O364" s="6">
        <f>N364</f>
        <v>45940</v>
      </c>
      <c r="P364" s="5">
        <f>O364-M364</f>
        <v>4</v>
      </c>
      <c r="Q364" s="5"/>
      <c r="R364" s="4" t="s">
        <v>492</v>
      </c>
      <c r="S364" s="5">
        <v>830.96</v>
      </c>
      <c r="T364" s="4" t="s">
        <v>493</v>
      </c>
      <c r="U364" s="9">
        <v>2985</v>
      </c>
      <c r="V364" s="5"/>
      <c r="W364" s="4" t="s">
        <v>494</v>
      </c>
      <c r="X364" s="5">
        <v>541.72</v>
      </c>
      <c r="Z364" s="1" t="str">
        <f t="shared" ref="Z364:AA388" si="58">F364</f>
        <v>REPLACEMENT BEARING SLEEVE</v>
      </c>
      <c r="AA364" t="str">
        <f t="shared" si="58"/>
        <v>CAT-2003926</v>
      </c>
      <c r="AB364" s="12">
        <f>H364+($S$364+$U$364)*H364/SUM($H$364:$H$388)/3.74+$X$364*H364/SUM($H$364:$H$388)</f>
        <v>146.89450769594961</v>
      </c>
      <c r="AC364" s="11">
        <f t="shared" ref="AC364:AC391" si="59">AB364/H364</f>
        <v>1.5047583250968</v>
      </c>
    </row>
    <row r="365" spans="3:29" x14ac:dyDescent="0.3">
      <c r="C365" s="1">
        <v>351225</v>
      </c>
      <c r="D365" s="1">
        <v>251200</v>
      </c>
      <c r="E365" s="1">
        <v>1</v>
      </c>
      <c r="F365" s="1" t="s">
        <v>495</v>
      </c>
      <c r="G365" s="1" t="s">
        <v>496</v>
      </c>
      <c r="H365" s="1">
        <v>29.63</v>
      </c>
      <c r="I365" s="4"/>
      <c r="J365" s="5"/>
      <c r="K365" s="5"/>
      <c r="L365" s="5"/>
      <c r="M365" s="6"/>
      <c r="N365" s="6"/>
      <c r="O365" s="5"/>
      <c r="P365" s="5"/>
      <c r="Q365" s="5"/>
      <c r="R365" s="4"/>
      <c r="S365" s="5"/>
      <c r="T365" s="4"/>
      <c r="U365" s="5"/>
      <c r="V365" s="5"/>
      <c r="W365" s="4"/>
      <c r="X365" s="5"/>
      <c r="Z365" s="1" t="str">
        <f t="shared" si="58"/>
        <v>CATERPILLAR REPLACMENT PART</v>
      </c>
      <c r="AA365" t="str">
        <f t="shared" si="58"/>
        <v>CAT-1J2192</v>
      </c>
      <c r="AB365" s="12">
        <f t="shared" ref="AB365:AB388" si="60">H365+($S$364+$U$364)*H365/SUM($H$364:$H$388)/3.74+$X$364*H365/SUM($H$364:$H$388)</f>
        <v>44.585989172618177</v>
      </c>
      <c r="AC365" s="11">
        <f t="shared" si="59"/>
        <v>1.5047583250967997</v>
      </c>
    </row>
    <row r="366" spans="3:29" x14ac:dyDescent="0.3">
      <c r="C366" s="1">
        <v>351225</v>
      </c>
      <c r="D366" s="1">
        <v>251200</v>
      </c>
      <c r="E366" s="1">
        <v>1</v>
      </c>
      <c r="F366" s="1" t="s">
        <v>497</v>
      </c>
      <c r="G366" s="1" t="s">
        <v>498</v>
      </c>
      <c r="H366" s="1">
        <v>110</v>
      </c>
      <c r="I366" s="4"/>
      <c r="J366" s="5"/>
      <c r="K366" s="5"/>
      <c r="L366" s="5"/>
      <c r="M366" s="6"/>
      <c r="N366" s="6"/>
      <c r="O366" s="5"/>
      <c r="P366" s="5"/>
      <c r="Q366" s="5"/>
      <c r="R366" s="4"/>
      <c r="S366" s="5"/>
      <c r="T366" s="4"/>
      <c r="U366" s="5"/>
      <c r="V366" s="5"/>
      <c r="W366" s="4"/>
      <c r="X366" s="5"/>
      <c r="Z366" s="1" t="str">
        <f t="shared" si="58"/>
        <v>SEAL KIT 7.000 X 4.000"</v>
      </c>
      <c r="AA366" t="str">
        <f t="shared" si="58"/>
        <v xml:space="preserve">CAT-2295507 </v>
      </c>
      <c r="AB366" s="12">
        <f t="shared" si="60"/>
        <v>165.52341576064796</v>
      </c>
      <c r="AC366" s="11">
        <f t="shared" si="59"/>
        <v>1.5047583250967997</v>
      </c>
    </row>
    <row r="367" spans="3:29" x14ac:dyDescent="0.3">
      <c r="C367" s="1">
        <v>352212</v>
      </c>
      <c r="D367" s="1">
        <v>251217</v>
      </c>
      <c r="E367" s="1">
        <v>1</v>
      </c>
      <c r="F367" s="1" t="s">
        <v>497</v>
      </c>
      <c r="G367" s="1" t="s">
        <v>475</v>
      </c>
      <c r="H367" s="1">
        <v>110</v>
      </c>
      <c r="I367" s="4"/>
      <c r="J367" s="5"/>
      <c r="K367" s="5"/>
      <c r="L367" s="5"/>
      <c r="M367" s="6"/>
      <c r="N367" s="6"/>
      <c r="O367" s="5"/>
      <c r="P367" s="5"/>
      <c r="Q367" s="5"/>
      <c r="R367" s="4"/>
      <c r="S367" s="5"/>
      <c r="T367" s="4"/>
      <c r="U367" s="5"/>
      <c r="V367" s="5"/>
      <c r="W367" s="4"/>
      <c r="X367" s="5"/>
      <c r="Z367" s="1" t="str">
        <f t="shared" si="58"/>
        <v>SEAL KIT 7.000 X 4.000"</v>
      </c>
      <c r="AA367" t="str">
        <f t="shared" si="58"/>
        <v>CAT-2295507</v>
      </c>
      <c r="AB367" s="12">
        <f t="shared" si="60"/>
        <v>165.52341576064796</v>
      </c>
      <c r="AC367" s="11">
        <f t="shared" si="59"/>
        <v>1.5047583250967997</v>
      </c>
    </row>
    <row r="368" spans="3:29" x14ac:dyDescent="0.3">
      <c r="C368" s="1">
        <v>352212</v>
      </c>
      <c r="D368" s="1">
        <v>251227</v>
      </c>
      <c r="E368" s="1">
        <v>6</v>
      </c>
      <c r="F368" s="1" t="s">
        <v>337</v>
      </c>
      <c r="G368" s="1" t="s">
        <v>24</v>
      </c>
      <c r="H368" s="1">
        <v>519.48</v>
      </c>
      <c r="I368" s="4"/>
      <c r="J368" s="5"/>
      <c r="K368" s="5"/>
      <c r="L368" s="5"/>
      <c r="M368" s="6"/>
      <c r="N368" s="6"/>
      <c r="O368" s="5"/>
      <c r="P368" s="5"/>
      <c r="Q368" s="5"/>
      <c r="R368" s="4"/>
      <c r="S368" s="5"/>
      <c r="T368" s="4"/>
      <c r="U368" s="5"/>
      <c r="V368" s="5"/>
      <c r="W368" s="4"/>
      <c r="X368" s="5"/>
      <c r="Z368" s="1" t="str">
        <f t="shared" si="58"/>
        <v>KOMATSU REPLACEMENT O'RING</v>
      </c>
      <c r="AA368" t="str">
        <f t="shared" si="58"/>
        <v>KOM-EH7197</v>
      </c>
      <c r="AB368" s="12">
        <f t="shared" si="60"/>
        <v>781.69185472128561</v>
      </c>
      <c r="AC368" s="11">
        <f t="shared" si="59"/>
        <v>1.5047583250967997</v>
      </c>
    </row>
    <row r="369" spans="3:29" x14ac:dyDescent="0.3">
      <c r="C369" s="1">
        <v>352212</v>
      </c>
      <c r="D369" s="1">
        <v>251227</v>
      </c>
      <c r="E369" s="1">
        <v>3</v>
      </c>
      <c r="F369" s="1" t="s">
        <v>337</v>
      </c>
      <c r="G369" s="1" t="s">
        <v>52</v>
      </c>
      <c r="H369" s="1">
        <v>242.31</v>
      </c>
      <c r="I369" s="4"/>
      <c r="J369" s="5"/>
      <c r="K369" s="5"/>
      <c r="L369" s="5"/>
      <c r="M369" s="6"/>
      <c r="N369" s="6"/>
      <c r="O369" s="5"/>
      <c r="P369" s="5"/>
      <c r="Q369" s="5"/>
      <c r="R369" s="4"/>
      <c r="S369" s="5"/>
      <c r="T369" s="4"/>
      <c r="U369" s="5"/>
      <c r="V369" s="5"/>
      <c r="W369" s="4"/>
      <c r="X369" s="5"/>
      <c r="Z369" s="1" t="str">
        <f t="shared" si="58"/>
        <v>KOMATSU REPLACEMENT O'RING</v>
      </c>
      <c r="AA369" t="str">
        <f t="shared" si="58"/>
        <v>KOM-EH7196</v>
      </c>
      <c r="AB369" s="12">
        <f t="shared" si="60"/>
        <v>364.61798975420555</v>
      </c>
      <c r="AC369" s="11">
        <f t="shared" si="59"/>
        <v>1.5047583250967997</v>
      </c>
    </row>
    <row r="370" spans="3:29" x14ac:dyDescent="0.3">
      <c r="C370" s="1">
        <v>352212</v>
      </c>
      <c r="D370" s="1">
        <v>251227</v>
      </c>
      <c r="E370" s="1">
        <v>3</v>
      </c>
      <c r="F370" s="1" t="s">
        <v>337</v>
      </c>
      <c r="G370" s="1" t="s">
        <v>28</v>
      </c>
      <c r="H370" s="1">
        <v>115.05</v>
      </c>
      <c r="I370" s="4"/>
      <c r="J370" s="5"/>
      <c r="K370" s="5"/>
      <c r="L370" s="5"/>
      <c r="M370" s="6"/>
      <c r="N370" s="6"/>
      <c r="O370" s="5"/>
      <c r="P370" s="5"/>
      <c r="Q370" s="5"/>
      <c r="R370" s="4"/>
      <c r="S370" s="5"/>
      <c r="T370" s="4"/>
      <c r="U370" s="5"/>
      <c r="V370" s="5"/>
      <c r="W370" s="4"/>
      <c r="X370" s="5"/>
      <c r="Z370" s="1" t="str">
        <f t="shared" si="58"/>
        <v>KOMATSU REPLACEMENT O'RING</v>
      </c>
      <c r="AA370" t="str">
        <f t="shared" si="58"/>
        <v>KOM-EH7192</v>
      </c>
      <c r="AB370" s="12">
        <f t="shared" si="60"/>
        <v>173.12244530238684</v>
      </c>
      <c r="AC370" s="11">
        <f t="shared" si="59"/>
        <v>1.5047583250968</v>
      </c>
    </row>
    <row r="371" spans="3:29" x14ac:dyDescent="0.3">
      <c r="C371" s="1">
        <v>352212</v>
      </c>
      <c r="D371" s="1">
        <v>251227</v>
      </c>
      <c r="E371" s="1">
        <v>3</v>
      </c>
      <c r="F371" s="1" t="s">
        <v>337</v>
      </c>
      <c r="G371" s="1" t="s">
        <v>29</v>
      </c>
      <c r="H371" s="1">
        <v>139.71</v>
      </c>
      <c r="I371" s="4"/>
      <c r="J371" s="5"/>
      <c r="K371" s="5"/>
      <c r="L371" s="5"/>
      <c r="M371" s="6"/>
      <c r="N371" s="6"/>
      <c r="O371" s="5"/>
      <c r="P371" s="5"/>
      <c r="Q371" s="5"/>
      <c r="R371" s="4"/>
      <c r="S371" s="5"/>
      <c r="T371" s="4"/>
      <c r="U371" s="5"/>
      <c r="V371" s="5"/>
      <c r="W371" s="4"/>
      <c r="X371" s="5"/>
      <c r="Z371" s="1" t="str">
        <f t="shared" si="58"/>
        <v>KOMATSU REPLACEMENT O'RING</v>
      </c>
      <c r="AA371" t="str">
        <f t="shared" si="58"/>
        <v>KOM-EH7194</v>
      </c>
      <c r="AB371" s="12">
        <f t="shared" si="60"/>
        <v>210.22978559927392</v>
      </c>
      <c r="AC371" s="11">
        <f t="shared" si="59"/>
        <v>1.5047583250968</v>
      </c>
    </row>
    <row r="372" spans="3:29" x14ac:dyDescent="0.3">
      <c r="C372" s="1">
        <v>352212</v>
      </c>
      <c r="D372" s="1">
        <v>251227</v>
      </c>
      <c r="E372" s="1">
        <v>3</v>
      </c>
      <c r="F372" s="1" t="s">
        <v>337</v>
      </c>
      <c r="G372" s="1" t="s">
        <v>30</v>
      </c>
      <c r="H372" s="1">
        <v>20.28</v>
      </c>
      <c r="I372" s="4"/>
      <c r="J372" s="5"/>
      <c r="K372" s="5"/>
      <c r="L372" s="5"/>
      <c r="M372" s="6"/>
      <c r="N372" s="6"/>
      <c r="O372" s="5"/>
      <c r="P372" s="5"/>
      <c r="Q372" s="5"/>
      <c r="R372" s="4"/>
      <c r="S372" s="5"/>
      <c r="T372" s="4"/>
      <c r="U372" s="5"/>
      <c r="V372" s="5"/>
      <c r="W372" s="4"/>
      <c r="X372" s="5"/>
      <c r="Z372" s="1" t="str">
        <f t="shared" si="58"/>
        <v>KOMATSU REPLACEMENT O'RING</v>
      </c>
      <c r="AA372" t="str">
        <f t="shared" si="58"/>
        <v>KOM-EH7190</v>
      </c>
      <c r="AB372" s="12">
        <f t="shared" si="60"/>
        <v>30.516498832963102</v>
      </c>
      <c r="AC372" s="11">
        <f t="shared" si="59"/>
        <v>1.5047583250967997</v>
      </c>
    </row>
    <row r="373" spans="3:29" x14ac:dyDescent="0.3">
      <c r="C373" s="1">
        <v>352212</v>
      </c>
      <c r="D373" s="1">
        <v>251227</v>
      </c>
      <c r="E373" s="1">
        <v>3</v>
      </c>
      <c r="F373" s="1" t="s">
        <v>337</v>
      </c>
      <c r="G373" s="1" t="s">
        <v>499</v>
      </c>
      <c r="H373" s="1">
        <v>214.8</v>
      </c>
      <c r="I373" s="4"/>
      <c r="J373" s="5"/>
      <c r="K373" s="5"/>
      <c r="L373" s="5"/>
      <c r="M373" s="6"/>
      <c r="N373" s="6"/>
      <c r="O373" s="5"/>
      <c r="P373" s="5"/>
      <c r="Q373" s="5"/>
      <c r="R373" s="4"/>
      <c r="S373" s="5"/>
      <c r="T373" s="4"/>
      <c r="U373" s="5"/>
      <c r="V373" s="5"/>
      <c r="W373" s="4"/>
      <c r="X373" s="5"/>
      <c r="Z373" s="1" t="str">
        <f t="shared" si="58"/>
        <v>KOMATSU REPLACEMENT O'RING</v>
      </c>
      <c r="AA373" t="str">
        <f t="shared" si="58"/>
        <v xml:space="preserve">KOM-EH7195 </v>
      </c>
      <c r="AB373" s="12">
        <f t="shared" si="60"/>
        <v>323.22208823079262</v>
      </c>
      <c r="AC373" s="11">
        <f t="shared" si="59"/>
        <v>1.5047583250967997</v>
      </c>
    </row>
    <row r="374" spans="3:29" x14ac:dyDescent="0.3">
      <c r="C374" s="1" t="s">
        <v>500</v>
      </c>
      <c r="D374" s="1">
        <v>251235</v>
      </c>
      <c r="E374" s="1">
        <v>10</v>
      </c>
      <c r="F374" s="1" t="s">
        <v>218</v>
      </c>
      <c r="G374" s="1" t="s">
        <v>90</v>
      </c>
      <c r="H374" s="1">
        <v>212</v>
      </c>
      <c r="I374" s="4"/>
      <c r="J374" s="5"/>
      <c r="K374" s="5"/>
      <c r="L374" s="5"/>
      <c r="M374" s="6"/>
      <c r="N374" s="6"/>
      <c r="O374" s="5"/>
      <c r="P374" s="5"/>
      <c r="Q374" s="5"/>
      <c r="R374" s="4"/>
      <c r="S374" s="5"/>
      <c r="T374" s="4"/>
      <c r="U374" s="5"/>
      <c r="V374" s="5"/>
      <c r="W374" s="4"/>
      <c r="X374" s="5"/>
      <c r="Z374" s="1" t="str">
        <f t="shared" si="58"/>
        <v>REPLACEMENT SNAP RING</v>
      </c>
      <c r="AA374" t="str">
        <f t="shared" si="58"/>
        <v>KOM-VN9350</v>
      </c>
      <c r="AB374" s="12">
        <f t="shared" si="60"/>
        <v>319.00876492052157</v>
      </c>
      <c r="AC374" s="11">
        <f t="shared" si="59"/>
        <v>1.5047583250968</v>
      </c>
    </row>
    <row r="375" spans="3:29" x14ac:dyDescent="0.3">
      <c r="C375" s="1" t="s">
        <v>500</v>
      </c>
      <c r="D375" s="1">
        <v>251235</v>
      </c>
      <c r="E375" s="1">
        <v>10</v>
      </c>
      <c r="F375" s="1" t="s">
        <v>218</v>
      </c>
      <c r="G375" s="1" t="s">
        <v>94</v>
      </c>
      <c r="H375" s="1">
        <v>300</v>
      </c>
      <c r="I375" s="4"/>
      <c r="J375" s="5"/>
      <c r="K375" s="5"/>
      <c r="L375" s="5"/>
      <c r="M375" s="6"/>
      <c r="N375" s="6"/>
      <c r="O375" s="5"/>
      <c r="P375" s="5"/>
      <c r="Q375" s="5"/>
      <c r="R375" s="4"/>
      <c r="S375" s="5"/>
      <c r="T375" s="4"/>
      <c r="U375" s="5"/>
      <c r="V375" s="5"/>
      <c r="W375" s="4"/>
      <c r="X375" s="5"/>
      <c r="Z375" s="1" t="str">
        <f t="shared" si="58"/>
        <v>REPLACEMENT SNAP RING</v>
      </c>
      <c r="AA375" t="str">
        <f t="shared" si="58"/>
        <v>KOM-VN9353</v>
      </c>
      <c r="AB375" s="12">
        <f t="shared" si="60"/>
        <v>451.42749752903995</v>
      </c>
      <c r="AC375" s="11">
        <f t="shared" si="59"/>
        <v>1.5047583250967997</v>
      </c>
    </row>
    <row r="376" spans="3:29" x14ac:dyDescent="0.3">
      <c r="C376" s="1" t="s">
        <v>500</v>
      </c>
      <c r="D376" s="1">
        <v>251235</v>
      </c>
      <c r="E376" s="1">
        <v>20</v>
      </c>
      <c r="F376" s="1" t="s">
        <v>136</v>
      </c>
      <c r="G376" s="1" t="s">
        <v>33</v>
      </c>
      <c r="H376" s="1">
        <v>38</v>
      </c>
      <c r="I376" s="4"/>
      <c r="J376" s="5"/>
      <c r="K376" s="5"/>
      <c r="L376" s="5"/>
      <c r="M376" s="6"/>
      <c r="N376" s="6"/>
      <c r="O376" s="5"/>
      <c r="P376" s="5"/>
      <c r="Q376" s="5"/>
      <c r="R376" s="4"/>
      <c r="S376" s="5"/>
      <c r="T376" s="4"/>
      <c r="U376" s="5"/>
      <c r="V376" s="5"/>
      <c r="W376" s="4"/>
      <c r="X376" s="5"/>
      <c r="Z376" s="1" t="str">
        <f t="shared" si="58"/>
        <v>BALL</v>
      </c>
      <c r="AA376" t="str">
        <f t="shared" si="58"/>
        <v>KOM-H2981</v>
      </c>
      <c r="AB376" s="12">
        <f t="shared" si="60"/>
        <v>57.180816353678395</v>
      </c>
      <c r="AC376" s="11">
        <f t="shared" si="59"/>
        <v>1.5047583250968</v>
      </c>
    </row>
    <row r="377" spans="3:29" x14ac:dyDescent="0.3">
      <c r="C377" s="1" t="s">
        <v>500</v>
      </c>
      <c r="D377" s="1">
        <v>251235</v>
      </c>
      <c r="E377" s="1">
        <v>5</v>
      </c>
      <c r="F377" s="1" t="s">
        <v>363</v>
      </c>
      <c r="G377" s="1" t="s">
        <v>501</v>
      </c>
      <c r="H377" s="1">
        <v>4.75</v>
      </c>
      <c r="I377" s="4"/>
      <c r="J377" s="5"/>
      <c r="K377" s="5"/>
      <c r="L377" s="5"/>
      <c r="M377" s="6"/>
      <c r="N377" s="6"/>
      <c r="O377" s="5"/>
      <c r="P377" s="5"/>
      <c r="Q377" s="5"/>
      <c r="R377" s="4"/>
      <c r="S377" s="5"/>
      <c r="T377" s="4"/>
      <c r="U377" s="5"/>
      <c r="V377" s="5"/>
      <c r="W377" s="4"/>
      <c r="X377" s="5"/>
      <c r="Z377" s="1" t="str">
        <f t="shared" si="58"/>
        <v>KOMATSU REPLACEMENT B/UP</v>
      </c>
      <c r="AA377" t="str">
        <f t="shared" si="58"/>
        <v xml:space="preserve">KOM-WA1443 </v>
      </c>
      <c r="AB377" s="12">
        <f t="shared" si="60"/>
        <v>7.1476020442097994</v>
      </c>
      <c r="AC377" s="11">
        <f t="shared" si="59"/>
        <v>1.5047583250968</v>
      </c>
    </row>
    <row r="378" spans="3:29" x14ac:dyDescent="0.3">
      <c r="C378" s="1" t="s">
        <v>500</v>
      </c>
      <c r="D378" s="1">
        <v>251235</v>
      </c>
      <c r="E378" s="1">
        <v>5</v>
      </c>
      <c r="F378" s="1" t="s">
        <v>337</v>
      </c>
      <c r="G378" s="1" t="s">
        <v>103</v>
      </c>
      <c r="H378" s="1">
        <v>5.85</v>
      </c>
      <c r="I378" s="4"/>
      <c r="J378" s="5"/>
      <c r="K378" s="5"/>
      <c r="L378" s="5"/>
      <c r="M378" s="6"/>
      <c r="N378" s="6"/>
      <c r="O378" s="5"/>
      <c r="P378" s="5"/>
      <c r="Q378" s="5"/>
      <c r="R378" s="4"/>
      <c r="S378" s="5"/>
      <c r="T378" s="4"/>
      <c r="U378" s="5"/>
      <c r="V378" s="5"/>
      <c r="W378" s="4"/>
      <c r="X378" s="5"/>
      <c r="Z378" s="1" t="str">
        <f t="shared" si="58"/>
        <v>KOMATSU REPLACEMENT O'RING</v>
      </c>
      <c r="AA378" t="str">
        <f t="shared" si="58"/>
        <v>KOM-WA0443</v>
      </c>
      <c r="AB378" s="12">
        <f t="shared" si="60"/>
        <v>8.8028362018162785</v>
      </c>
      <c r="AC378" s="11">
        <f t="shared" si="59"/>
        <v>1.5047583250967997</v>
      </c>
    </row>
    <row r="379" spans="3:29" x14ac:dyDescent="0.3">
      <c r="C379" s="1" t="s">
        <v>500</v>
      </c>
      <c r="D379" s="1">
        <v>251235</v>
      </c>
      <c r="E379" s="1">
        <v>2</v>
      </c>
      <c r="F379" s="1" t="s">
        <v>325</v>
      </c>
      <c r="G379" s="1" t="s">
        <v>326</v>
      </c>
      <c r="H379" s="1">
        <v>17</v>
      </c>
      <c r="I379" s="4"/>
      <c r="J379" s="5"/>
      <c r="K379" s="5"/>
      <c r="L379" s="5"/>
      <c r="M379" s="6"/>
      <c r="N379" s="6"/>
      <c r="O379" s="5"/>
      <c r="P379" s="5"/>
      <c r="Q379" s="5"/>
      <c r="R379" s="4"/>
      <c r="S379" s="5"/>
      <c r="T379" s="4"/>
      <c r="U379" s="5"/>
      <c r="V379" s="5"/>
      <c r="W379" s="4"/>
      <c r="X379" s="5"/>
      <c r="Z379" s="1" t="str">
        <f t="shared" si="58"/>
        <v>100.00MM - ROD WIPER</v>
      </c>
      <c r="AA379" t="str">
        <f t="shared" si="58"/>
        <v>CAT-9X4597</v>
      </c>
      <c r="AB379" s="12">
        <f t="shared" si="60"/>
        <v>25.580891526645598</v>
      </c>
      <c r="AC379" s="11">
        <f t="shared" si="59"/>
        <v>1.5047583250968</v>
      </c>
    </row>
    <row r="380" spans="3:29" x14ac:dyDescent="0.3">
      <c r="C380" s="1" t="s">
        <v>500</v>
      </c>
      <c r="D380" s="1">
        <v>251235</v>
      </c>
      <c r="E380" s="1">
        <v>1</v>
      </c>
      <c r="F380" s="1" t="s">
        <v>502</v>
      </c>
      <c r="G380" s="1" t="s">
        <v>503</v>
      </c>
      <c r="H380" s="1">
        <v>20.2</v>
      </c>
      <c r="I380" s="4"/>
      <c r="J380" s="5"/>
      <c r="K380" s="5"/>
      <c r="L380" s="5"/>
      <c r="M380" s="6"/>
      <c r="N380" s="6"/>
      <c r="O380" s="5"/>
      <c r="P380" s="5"/>
      <c r="Q380" s="5"/>
      <c r="R380" s="4"/>
      <c r="S380" s="5"/>
      <c r="T380" s="4"/>
      <c r="U380" s="5"/>
      <c r="V380" s="5"/>
      <c r="W380" s="4"/>
      <c r="X380" s="5"/>
      <c r="Z380" s="1" t="str">
        <f t="shared" si="58"/>
        <v>04.750" - PISTON WEAR RING</v>
      </c>
      <c r="AA380" t="str">
        <f t="shared" si="58"/>
        <v>CAT-8T8390</v>
      </c>
      <c r="AB380" s="12">
        <f t="shared" si="60"/>
        <v>30.396118166955354</v>
      </c>
      <c r="AC380" s="11">
        <f t="shared" si="59"/>
        <v>1.5047583250967997</v>
      </c>
    </row>
    <row r="381" spans="3:29" x14ac:dyDescent="0.3">
      <c r="C381" s="1" t="s">
        <v>504</v>
      </c>
      <c r="D381" s="1">
        <v>251198</v>
      </c>
      <c r="E381" s="1">
        <v>6</v>
      </c>
      <c r="F381" s="1" t="s">
        <v>218</v>
      </c>
      <c r="G381" s="1" t="s">
        <v>94</v>
      </c>
      <c r="H381" s="1">
        <v>180</v>
      </c>
      <c r="I381" s="4"/>
      <c r="J381" s="5"/>
      <c r="K381" s="5"/>
      <c r="L381" s="5"/>
      <c r="M381" s="6"/>
      <c r="N381" s="6"/>
      <c r="O381" s="5"/>
      <c r="P381" s="5"/>
      <c r="Q381" s="5"/>
      <c r="R381" s="4"/>
      <c r="S381" s="5"/>
      <c r="T381" s="4"/>
      <c r="U381" s="5"/>
      <c r="V381" s="5"/>
      <c r="W381" s="4"/>
      <c r="X381" s="5"/>
      <c r="Z381" s="1" t="str">
        <f t="shared" si="58"/>
        <v>REPLACEMENT SNAP RING</v>
      </c>
      <c r="AA381" t="str">
        <f t="shared" si="58"/>
        <v>KOM-VN9353</v>
      </c>
      <c r="AB381" s="12">
        <f t="shared" si="60"/>
        <v>270.85649851742397</v>
      </c>
      <c r="AC381" s="11">
        <f t="shared" si="59"/>
        <v>1.5047583250967997</v>
      </c>
    </row>
    <row r="382" spans="3:29" x14ac:dyDescent="0.3">
      <c r="C382" s="1" t="s">
        <v>505</v>
      </c>
      <c r="D382" s="1">
        <v>251245</v>
      </c>
      <c r="E382" s="1">
        <v>1</v>
      </c>
      <c r="F382" s="1" t="s">
        <v>506</v>
      </c>
      <c r="G382" t="s">
        <v>54</v>
      </c>
      <c r="H382" s="1">
        <v>25</v>
      </c>
      <c r="I382" s="4"/>
      <c r="J382" s="5"/>
      <c r="K382" s="5"/>
      <c r="L382" s="5"/>
      <c r="M382" s="6"/>
      <c r="N382" s="6"/>
      <c r="O382" s="5"/>
      <c r="P382" s="5"/>
      <c r="Q382" s="5"/>
      <c r="R382" s="4"/>
      <c r="S382" s="5"/>
      <c r="T382" s="4"/>
      <c r="U382" s="5"/>
      <c r="V382" s="5"/>
      <c r="W382" s="4"/>
      <c r="X382" s="5"/>
      <c r="Z382" s="1" t="str">
        <f t="shared" si="58"/>
        <v>115.00MM. - ROD BUSHING</v>
      </c>
      <c r="AA382" t="str">
        <f t="shared" si="58"/>
        <v>KOM-707/52/11631</v>
      </c>
      <c r="AB382" s="12">
        <f t="shared" si="60"/>
        <v>37.618958127419994</v>
      </c>
      <c r="AC382" s="11">
        <f t="shared" si="59"/>
        <v>1.5047583250967997</v>
      </c>
    </row>
    <row r="383" spans="3:29" x14ac:dyDescent="0.3">
      <c r="C383" s="1" t="s">
        <v>505</v>
      </c>
      <c r="D383" s="1">
        <v>251245</v>
      </c>
      <c r="E383" s="1">
        <v>2</v>
      </c>
      <c r="F383" s="1" t="s">
        <v>507</v>
      </c>
      <c r="G383" t="s">
        <v>150</v>
      </c>
      <c r="H383" s="19">
        <v>100.92</v>
      </c>
      <c r="I383" s="4"/>
      <c r="J383" s="5"/>
      <c r="K383" s="5"/>
      <c r="L383" s="5"/>
      <c r="M383" s="6"/>
      <c r="N383" s="6"/>
      <c r="O383" s="5"/>
      <c r="P383" s="5"/>
      <c r="Q383" s="5"/>
      <c r="R383" s="4"/>
      <c r="S383" s="5"/>
      <c r="T383" s="4"/>
      <c r="U383" s="5"/>
      <c r="V383" s="5"/>
      <c r="W383" s="4"/>
      <c r="X383" s="5"/>
      <c r="Z383" s="1" t="str">
        <f t="shared" si="58"/>
        <v>160.00MM - PISTON RING</v>
      </c>
      <c r="AA383" t="str">
        <f t="shared" si="58"/>
        <v>KOM-707/44/16910</v>
      </c>
      <c r="AB383" s="12">
        <f t="shared" si="60"/>
        <v>151.86021016876904</v>
      </c>
      <c r="AC383" s="11">
        <f t="shared" si="59"/>
        <v>1.5047583250967997</v>
      </c>
    </row>
    <row r="384" spans="3:29" x14ac:dyDescent="0.3">
      <c r="C384" s="1" t="s">
        <v>505</v>
      </c>
      <c r="D384" s="1">
        <v>251245</v>
      </c>
      <c r="E384" s="1">
        <v>1</v>
      </c>
      <c r="F384" s="1" t="s">
        <v>298</v>
      </c>
      <c r="G384" t="s">
        <v>508</v>
      </c>
      <c r="H384" s="1">
        <v>30</v>
      </c>
      <c r="I384" s="4"/>
      <c r="J384" s="5"/>
      <c r="K384" s="5"/>
      <c r="L384" s="5"/>
      <c r="M384" s="6"/>
      <c r="N384" s="6"/>
      <c r="O384" s="5"/>
      <c r="P384" s="5"/>
      <c r="Q384" s="5"/>
      <c r="R384" s="4"/>
      <c r="S384" s="5"/>
      <c r="T384" s="4"/>
      <c r="U384" s="5"/>
      <c r="V384" s="5"/>
      <c r="W384" s="4"/>
      <c r="X384" s="5"/>
      <c r="Z384" s="1" t="str">
        <f t="shared" si="58"/>
        <v>REPLACEMENT ROD BEARING</v>
      </c>
      <c r="AA384" t="str">
        <f t="shared" si="58"/>
        <v>CAT-1289262</v>
      </c>
      <c r="AB384" s="12">
        <f t="shared" si="60"/>
        <v>45.142749752903995</v>
      </c>
      <c r="AC384" s="11">
        <f t="shared" si="59"/>
        <v>1.5047583250967997</v>
      </c>
    </row>
    <row r="385" spans="3:29" x14ac:dyDescent="0.3">
      <c r="C385" s="1" t="s">
        <v>505</v>
      </c>
      <c r="D385" s="1">
        <v>251245</v>
      </c>
      <c r="E385" s="1">
        <v>2</v>
      </c>
      <c r="F385" s="1" t="s">
        <v>218</v>
      </c>
      <c r="G385" t="s">
        <v>410</v>
      </c>
      <c r="H385" s="1">
        <v>9.8800000000000008</v>
      </c>
      <c r="I385" s="4"/>
      <c r="J385" s="5"/>
      <c r="K385" s="5"/>
      <c r="L385" s="5"/>
      <c r="M385" s="6"/>
      <c r="N385" s="6"/>
      <c r="O385" s="5"/>
      <c r="P385" s="5"/>
      <c r="Q385" s="5"/>
      <c r="R385" s="4"/>
      <c r="S385" s="5"/>
      <c r="T385" s="4"/>
      <c r="U385" s="5"/>
      <c r="V385" s="5"/>
      <c r="W385" s="4"/>
      <c r="X385" s="5"/>
      <c r="Z385" s="1" t="str">
        <f t="shared" si="58"/>
        <v>REPLACEMENT SNAP RING</v>
      </c>
      <c r="AA385" t="str">
        <f t="shared" si="58"/>
        <v>CAT-5334824</v>
      </c>
      <c r="AB385" s="12">
        <f t="shared" si="60"/>
        <v>14.867012251956382</v>
      </c>
      <c r="AC385" s="11">
        <f t="shared" si="59"/>
        <v>1.5047583250967997</v>
      </c>
    </row>
    <row r="386" spans="3:29" x14ac:dyDescent="0.3">
      <c r="C386" s="1" t="s">
        <v>505</v>
      </c>
      <c r="D386" s="1">
        <v>251245</v>
      </c>
      <c r="E386" s="1">
        <v>2</v>
      </c>
      <c r="F386" s="1" t="s">
        <v>240</v>
      </c>
      <c r="G386" t="s">
        <v>97</v>
      </c>
      <c r="H386" s="1">
        <v>301.2</v>
      </c>
      <c r="I386" s="4"/>
      <c r="J386" s="5"/>
      <c r="K386" s="5"/>
      <c r="L386" s="5"/>
      <c r="M386" s="6"/>
      <c r="N386" s="6"/>
      <c r="O386" s="5"/>
      <c r="P386" s="5"/>
      <c r="Q386" s="5"/>
      <c r="R386" s="4"/>
      <c r="S386" s="5"/>
      <c r="T386" s="4"/>
      <c r="U386" s="5"/>
      <c r="V386" s="5"/>
      <c r="W386" s="4"/>
      <c r="X386" s="5"/>
      <c r="Z386" s="1" t="str">
        <f t="shared" si="58"/>
        <v>REPLACEMENT BEARING SLEEVE</v>
      </c>
      <c r="AA386" t="str">
        <f t="shared" si="58"/>
        <v>CAT-1722848</v>
      </c>
      <c r="AB386" s="12">
        <f t="shared" si="60"/>
        <v>453.23320751915605</v>
      </c>
      <c r="AC386" s="11">
        <f t="shared" si="59"/>
        <v>1.5047583250967997</v>
      </c>
    </row>
    <row r="387" spans="3:29" x14ac:dyDescent="0.3">
      <c r="C387" s="1" t="s">
        <v>505</v>
      </c>
      <c r="D387" s="1">
        <v>251245</v>
      </c>
      <c r="E387" s="1">
        <v>1</v>
      </c>
      <c r="F387" s="1" t="s">
        <v>361</v>
      </c>
      <c r="G387" t="s">
        <v>411</v>
      </c>
      <c r="H387" s="1">
        <v>86</v>
      </c>
      <c r="I387" s="4"/>
      <c r="J387" s="5"/>
      <c r="K387" s="5"/>
      <c r="L387" s="5"/>
      <c r="M387" s="6"/>
      <c r="N387" s="6"/>
      <c r="O387" s="5"/>
      <c r="P387" s="5"/>
      <c r="Q387" s="5"/>
      <c r="R387" s="4"/>
      <c r="S387" s="5"/>
      <c r="T387" s="4"/>
      <c r="U387" s="5"/>
      <c r="V387" s="5"/>
      <c r="W387" s="4"/>
      <c r="X387" s="5"/>
      <c r="Z387" s="1" t="str">
        <f t="shared" si="58"/>
        <v>793 STEERING SEAL KIT</v>
      </c>
      <c r="AA387" t="str">
        <f t="shared" si="58"/>
        <v>CAT-3234199</v>
      </c>
      <c r="AB387" s="12">
        <f t="shared" si="60"/>
        <v>129.40921595832478</v>
      </c>
      <c r="AC387" s="11">
        <f t="shared" si="59"/>
        <v>1.5047583250967997</v>
      </c>
    </row>
    <row r="388" spans="3:29" x14ac:dyDescent="0.3">
      <c r="C388" s="1" t="s">
        <v>505</v>
      </c>
      <c r="D388" s="1">
        <v>251245</v>
      </c>
      <c r="E388" s="1">
        <v>1</v>
      </c>
      <c r="F388" s="1" t="s">
        <v>509</v>
      </c>
      <c r="G388" t="s">
        <v>55</v>
      </c>
      <c r="H388" s="1">
        <v>164.93</v>
      </c>
      <c r="I388" s="4"/>
      <c r="J388" s="5"/>
      <c r="K388" s="5"/>
      <c r="L388" s="5"/>
      <c r="M388" s="6"/>
      <c r="N388" s="6"/>
      <c r="O388" s="5"/>
      <c r="P388" s="5"/>
      <c r="Q388" s="5"/>
      <c r="R388" s="4"/>
      <c r="S388" s="5"/>
      <c r="T388" s="4"/>
      <c r="U388" s="5"/>
      <c r="V388" s="5"/>
      <c r="W388" s="4"/>
      <c r="X388" s="5"/>
      <c r="Z388" s="1" t="str">
        <f t="shared" si="58"/>
        <v>SEAL KIT 160.00 X 115.00MM.</v>
      </c>
      <c r="AA388" t="str">
        <f t="shared" si="58"/>
        <v>KOM-707/99/72390</v>
      </c>
      <c r="AB388" s="12">
        <f t="shared" si="60"/>
        <v>248.17979055821522</v>
      </c>
      <c r="AC388" s="11">
        <f t="shared" si="59"/>
        <v>1.5047583250968</v>
      </c>
    </row>
    <row r="390" spans="3:29" x14ac:dyDescent="0.3">
      <c r="E390" s="2">
        <v>2</v>
      </c>
      <c r="F390" s="2" t="s">
        <v>120</v>
      </c>
      <c r="G390" s="2" t="s">
        <v>510</v>
      </c>
      <c r="H390" s="17">
        <f>3230.18*1.06</f>
        <v>3423.9908</v>
      </c>
      <c r="I390" s="4">
        <v>4238334343</v>
      </c>
      <c r="J390" s="5">
        <v>41</v>
      </c>
      <c r="K390" s="5">
        <f>12*13*20</f>
        <v>3120</v>
      </c>
      <c r="L390" s="5">
        <v>448.89</v>
      </c>
      <c r="M390" s="6">
        <v>45939</v>
      </c>
      <c r="N390" s="6">
        <v>45944</v>
      </c>
      <c r="O390" s="6">
        <f>N390</f>
        <v>45944</v>
      </c>
      <c r="P390" s="5">
        <f>O390-M390</f>
        <v>5</v>
      </c>
      <c r="Q390" s="5"/>
      <c r="R390" s="4" t="s">
        <v>511</v>
      </c>
      <c r="S390" s="5">
        <v>734.51</v>
      </c>
      <c r="T390" s="4" t="s">
        <v>512</v>
      </c>
      <c r="U390" s="9">
        <v>3391</v>
      </c>
      <c r="V390" s="5"/>
      <c r="W390" s="4" t="s">
        <v>494</v>
      </c>
      <c r="X390" s="5">
        <v>477.91</v>
      </c>
      <c r="Z390" s="1" t="str">
        <f>F390</f>
        <v>Bushing</v>
      </c>
      <c r="AA390" t="str">
        <f>G390</f>
        <v>707-76-18030</v>
      </c>
      <c r="AB390" s="12">
        <f>H390+($S$390+$U$390)*H390/SUM($H$390:$H$391)/3.74+$X$390*H390/SUM($H$390:$H$391)</f>
        <v>4770.4633959066105</v>
      </c>
      <c r="AC390" s="11">
        <f t="shared" si="59"/>
        <v>1.3932465577613733</v>
      </c>
    </row>
    <row r="391" spans="3:29" x14ac:dyDescent="0.3">
      <c r="E391" s="2">
        <v>4</v>
      </c>
      <c r="F391" s="2" t="s">
        <v>513</v>
      </c>
      <c r="G391" s="2" t="s">
        <v>514</v>
      </c>
      <c r="H391" s="2">
        <f>562.6*1.06</f>
        <v>596.35600000000011</v>
      </c>
      <c r="I391" s="4"/>
      <c r="J391" s="5"/>
      <c r="K391" s="5"/>
      <c r="L391" s="5"/>
      <c r="M391" s="5"/>
      <c r="N391" s="5"/>
      <c r="O391" s="5"/>
      <c r="P391" s="5"/>
      <c r="Q391" s="5"/>
      <c r="R391" s="4"/>
      <c r="S391" s="5"/>
      <c r="T391" s="4"/>
      <c r="U391" s="5"/>
      <c r="V391" s="5"/>
      <c r="W391" s="4"/>
      <c r="X391" s="5"/>
      <c r="Z391" s="1" t="str">
        <f>F391</f>
        <v>Dust Seal</v>
      </c>
      <c r="AA391" t="str">
        <f>G391</f>
        <v>427-09-11120</v>
      </c>
      <c r="AB391" s="12">
        <f>H391+($S$390+$U$390)*H391/SUM($H$390:$H$391)/3.74+$X$390*H391/SUM($H$390:$H$391)</f>
        <v>830.87094420034168</v>
      </c>
      <c r="AC391" s="11">
        <f t="shared" si="59"/>
        <v>1.3932465577613733</v>
      </c>
    </row>
    <row r="392" spans="3:29" x14ac:dyDescent="0.3">
      <c r="I392" s="2"/>
      <c r="J392" s="2"/>
      <c r="K392" s="2"/>
      <c r="L392" s="2"/>
      <c r="M392" s="2"/>
      <c r="N392" s="2"/>
      <c r="O392" s="2"/>
      <c r="Q392" s="2"/>
      <c r="R392" s="2"/>
      <c r="S392" s="2"/>
      <c r="T392" s="22"/>
      <c r="U392" s="22"/>
      <c r="V392" s="22"/>
      <c r="W392" s="22"/>
      <c r="X392" s="22"/>
      <c r="AB392" s="12"/>
      <c r="AC392" s="11"/>
    </row>
    <row r="393" spans="3:29" x14ac:dyDescent="0.3">
      <c r="D393" s="1">
        <v>251116</v>
      </c>
      <c r="E393" s="1">
        <v>5</v>
      </c>
      <c r="F393" s="1" t="s">
        <v>515</v>
      </c>
      <c r="G393" s="1" t="s">
        <v>85</v>
      </c>
      <c r="H393" s="19">
        <v>236.25</v>
      </c>
      <c r="I393" s="4">
        <v>1870465321</v>
      </c>
      <c r="J393" s="5">
        <v>30</v>
      </c>
      <c r="K393" s="5">
        <f>17*17*14</f>
        <v>4046</v>
      </c>
      <c r="L393" s="5">
        <v>345.07</v>
      </c>
      <c r="M393" s="6">
        <v>45954</v>
      </c>
      <c r="N393" s="6">
        <v>45958</v>
      </c>
      <c r="O393" s="6">
        <v>45957</v>
      </c>
      <c r="P393" s="5">
        <f>O393-M393</f>
        <v>3</v>
      </c>
      <c r="Q393" s="5"/>
      <c r="R393" s="4" t="s">
        <v>516</v>
      </c>
      <c r="S393" s="5">
        <v>229.68</v>
      </c>
      <c r="T393" s="4" t="s">
        <v>517</v>
      </c>
      <c r="U393" s="9">
        <v>1638</v>
      </c>
      <c r="V393" s="5"/>
      <c r="W393" s="4" t="s">
        <v>518</v>
      </c>
      <c r="X393" s="5">
        <v>305.93</v>
      </c>
      <c r="Z393" s="1" t="str">
        <f t="shared" ref="Z393:AA401" si="61">F393</f>
        <v>tapon</v>
      </c>
      <c r="AA393" t="str">
        <f t="shared" si="61"/>
        <v>KOM-TZ8637</v>
      </c>
      <c r="AB393" s="12">
        <f>H393+($S$393+$U$393)*H393/SUM($H$393:$H$401)/3.74+$X$393*H393/SUM($H$393:$H$401)</f>
        <v>332.72398264667811</v>
      </c>
      <c r="AC393" s="11">
        <f t="shared" ref="AC393:AC401" si="62">AB393/H393</f>
        <v>1.4083554821023412</v>
      </c>
    </row>
    <row r="394" spans="3:29" x14ac:dyDescent="0.3">
      <c r="D394" s="1">
        <v>251316</v>
      </c>
      <c r="E394" s="1">
        <v>12</v>
      </c>
      <c r="F394" s="1" t="s">
        <v>519</v>
      </c>
      <c r="G394" s="1" t="s">
        <v>394</v>
      </c>
      <c r="H394" s="1">
        <v>216</v>
      </c>
      <c r="I394" s="4"/>
      <c r="J394" s="5"/>
      <c r="K394" s="5"/>
      <c r="L394" s="5"/>
      <c r="M394" s="6"/>
      <c r="N394" s="6"/>
      <c r="O394" s="6"/>
      <c r="P394" s="5"/>
      <c r="Q394" s="5"/>
      <c r="R394" s="4"/>
      <c r="S394" s="5"/>
      <c r="T394" s="4"/>
      <c r="U394" s="9"/>
      <c r="V394" s="5"/>
      <c r="W394" s="4"/>
      <c r="X394" s="5"/>
      <c r="Z394" s="1" t="str">
        <f t="shared" si="61"/>
        <v>cojinetes</v>
      </c>
      <c r="AA394" t="str">
        <f t="shared" si="61"/>
        <v>CAT-8J8905</v>
      </c>
      <c r="AB394" s="12">
        <f>H394+($S$393+$U$393)*H394/SUM($H$393:$H$401)/3.74+$X$393*H394/SUM($H$393:$H$401)</f>
        <v>304.20478413410575</v>
      </c>
      <c r="AC394" s="11">
        <f t="shared" si="62"/>
        <v>1.4083554821023414</v>
      </c>
    </row>
    <row r="395" spans="3:29" x14ac:dyDescent="0.3">
      <c r="D395" s="1">
        <v>251316</v>
      </c>
      <c r="E395" s="1">
        <v>3</v>
      </c>
      <c r="F395" s="1" t="s">
        <v>520</v>
      </c>
      <c r="G395" s="1" t="s">
        <v>75</v>
      </c>
      <c r="H395" s="1">
        <v>395.04</v>
      </c>
      <c r="I395" s="4"/>
      <c r="J395" s="5"/>
      <c r="K395" s="5"/>
      <c r="L395" s="5"/>
      <c r="M395" s="6"/>
      <c r="N395" s="6"/>
      <c r="O395" s="6"/>
      <c r="P395" s="5"/>
      <c r="Q395" s="5"/>
      <c r="R395" s="4"/>
      <c r="S395" s="5"/>
      <c r="T395" s="4"/>
      <c r="U395" s="9"/>
      <c r="V395" s="5"/>
      <c r="W395" s="4"/>
      <c r="X395" s="5"/>
      <c r="Z395" s="1" t="str">
        <f t="shared" si="61"/>
        <v>juego de sellos</v>
      </c>
      <c r="AA395" t="str">
        <f t="shared" si="61"/>
        <v>CAT-2460649</v>
      </c>
      <c r="AB395" s="12">
        <f t="shared" ref="AB395:AB401" si="63">H395+($S$393+$U$393)*H395/SUM($H$393:$H$401)/3.74+$X$393*H395/SUM($H$393:$H$401)</f>
        <v>556.35674964970883</v>
      </c>
      <c r="AC395" s="11">
        <f t="shared" si="62"/>
        <v>1.408355482102341</v>
      </c>
    </row>
    <row r="396" spans="3:29" x14ac:dyDescent="0.3">
      <c r="D396" s="1">
        <v>251320</v>
      </c>
      <c r="E396" s="1">
        <v>12</v>
      </c>
      <c r="F396" s="1" t="s">
        <v>521</v>
      </c>
      <c r="G396" s="1" t="s">
        <v>80</v>
      </c>
      <c r="H396" s="1">
        <v>300</v>
      </c>
      <c r="I396" s="4"/>
      <c r="J396" s="5"/>
      <c r="K396" s="5"/>
      <c r="L396" s="5"/>
      <c r="M396" s="6"/>
      <c r="N396" s="6"/>
      <c r="O396" s="6"/>
      <c r="P396" s="5"/>
      <c r="Q396" s="5"/>
      <c r="R396" s="4"/>
      <c r="S396" s="5"/>
      <c r="T396" s="4"/>
      <c r="U396" s="9"/>
      <c r="V396" s="5"/>
      <c r="W396" s="4"/>
      <c r="X396" s="5"/>
      <c r="Z396" s="1" t="str">
        <f t="shared" si="61"/>
        <v>anillo reten - seguros</v>
      </c>
      <c r="AA396" t="str">
        <f t="shared" si="61"/>
        <v>KOM-SV5921</v>
      </c>
      <c r="AB396" s="12">
        <f t="shared" si="63"/>
        <v>422.50664463070234</v>
      </c>
      <c r="AC396" s="11">
        <f t="shared" si="62"/>
        <v>1.4083554821023412</v>
      </c>
    </row>
    <row r="397" spans="3:29" x14ac:dyDescent="0.3">
      <c r="D397" s="1">
        <v>251322</v>
      </c>
      <c r="E397" s="1">
        <v>4</v>
      </c>
      <c r="F397" s="1" t="s">
        <v>521</v>
      </c>
      <c r="G397" s="1" t="s">
        <v>111</v>
      </c>
      <c r="H397" s="1">
        <v>126</v>
      </c>
      <c r="I397" s="4"/>
      <c r="J397" s="5"/>
      <c r="K397" s="5"/>
      <c r="L397" s="5"/>
      <c r="M397" s="6"/>
      <c r="N397" s="6"/>
      <c r="O397" s="6"/>
      <c r="P397" s="5"/>
      <c r="Q397" s="5"/>
      <c r="R397" s="4"/>
      <c r="S397" s="5"/>
      <c r="T397" s="4"/>
      <c r="U397" s="9"/>
      <c r="V397" s="5"/>
      <c r="W397" s="4"/>
      <c r="X397" s="5"/>
      <c r="Z397" s="1" t="str">
        <f t="shared" si="61"/>
        <v>anillo reten - seguros</v>
      </c>
      <c r="AA397" t="str">
        <f t="shared" si="61"/>
        <v>KOM-VN9351</v>
      </c>
      <c r="AB397" s="12">
        <f t="shared" si="63"/>
        <v>177.45279074489497</v>
      </c>
      <c r="AC397" s="11">
        <f t="shared" si="62"/>
        <v>1.408355482102341</v>
      </c>
    </row>
    <row r="398" spans="3:29" x14ac:dyDescent="0.3">
      <c r="D398" s="1">
        <v>251323</v>
      </c>
      <c r="E398" s="1">
        <v>10</v>
      </c>
      <c r="F398" s="1" t="s">
        <v>522</v>
      </c>
      <c r="G398" s="1" t="s">
        <v>523</v>
      </c>
      <c r="H398" s="1">
        <v>513.79999999999995</v>
      </c>
      <c r="I398" s="4"/>
      <c r="J398" s="5"/>
      <c r="K398" s="5"/>
      <c r="L398" s="5"/>
      <c r="M398" s="6"/>
      <c r="N398" s="6"/>
      <c r="O398" s="6"/>
      <c r="P398" s="5"/>
      <c r="Q398" s="5"/>
      <c r="R398" s="4"/>
      <c r="S398" s="5"/>
      <c r="T398" s="4"/>
      <c r="U398" s="9"/>
      <c r="V398" s="5"/>
      <c r="W398" s="4"/>
      <c r="X398" s="5"/>
      <c r="Z398" s="1" t="str">
        <f t="shared" si="61"/>
        <v>valvula</v>
      </c>
      <c r="AA398" t="str">
        <f t="shared" si="61"/>
        <v>KOM-PB2194</v>
      </c>
      <c r="AB398" s="12">
        <f t="shared" si="63"/>
        <v>723.61304670418281</v>
      </c>
      <c r="AC398" s="11">
        <f t="shared" si="62"/>
        <v>1.4083554821023412</v>
      </c>
    </row>
    <row r="399" spans="3:29" x14ac:dyDescent="0.3">
      <c r="D399" s="1">
        <v>251326</v>
      </c>
      <c r="E399" s="1">
        <v>1</v>
      </c>
      <c r="F399" s="1" t="s">
        <v>520</v>
      </c>
      <c r="G399" s="1" t="s">
        <v>70</v>
      </c>
      <c r="H399" s="1">
        <v>54.99</v>
      </c>
      <c r="I399" s="4"/>
      <c r="J399" s="5"/>
      <c r="K399" s="5"/>
      <c r="L399" s="5"/>
      <c r="M399" s="6"/>
      <c r="N399" s="6"/>
      <c r="O399" s="6"/>
      <c r="P399" s="5"/>
      <c r="Q399" s="5"/>
      <c r="R399" s="4"/>
      <c r="S399" s="5"/>
      <c r="T399" s="4"/>
      <c r="U399" s="9"/>
      <c r="V399" s="5"/>
      <c r="W399" s="4"/>
      <c r="X399" s="5"/>
      <c r="Z399" s="1" t="str">
        <f t="shared" si="61"/>
        <v>juego de sellos</v>
      </c>
      <c r="AA399" t="str">
        <f t="shared" si="61"/>
        <v>CAT-2442073</v>
      </c>
      <c r="AB399" s="12">
        <f t="shared" si="63"/>
        <v>77.445467960807747</v>
      </c>
      <c r="AC399" s="11">
        <f t="shared" si="62"/>
        <v>1.4083554821023412</v>
      </c>
    </row>
    <row r="400" spans="3:29" x14ac:dyDescent="0.3">
      <c r="D400" s="1">
        <v>251327</v>
      </c>
      <c r="E400" s="1">
        <v>1</v>
      </c>
      <c r="F400" s="1" t="s">
        <v>519</v>
      </c>
      <c r="G400" s="1" t="s">
        <v>524</v>
      </c>
      <c r="H400" s="1">
        <v>55</v>
      </c>
      <c r="I400" s="4"/>
      <c r="J400" s="5"/>
      <c r="K400" s="5"/>
      <c r="L400" s="5"/>
      <c r="M400" s="6"/>
      <c r="N400" s="6"/>
      <c r="O400" s="6"/>
      <c r="P400" s="5"/>
      <c r="Q400" s="5"/>
      <c r="R400" s="4"/>
      <c r="S400" s="5"/>
      <c r="T400" s="4"/>
      <c r="U400" s="9"/>
      <c r="V400" s="5"/>
      <c r="W400" s="4"/>
      <c r="X400" s="5"/>
      <c r="Z400" s="1" t="str">
        <f t="shared" si="61"/>
        <v>cojinetes</v>
      </c>
      <c r="AA400" t="str">
        <f t="shared" si="61"/>
        <v xml:space="preserve">CAT-5J1446 </v>
      </c>
      <c r="AB400" s="12">
        <f t="shared" si="63"/>
        <v>77.45955151562876</v>
      </c>
      <c r="AC400" s="11">
        <f t="shared" si="62"/>
        <v>1.4083554821023412</v>
      </c>
    </row>
    <row r="401" spans="1:29" x14ac:dyDescent="0.3">
      <c r="D401" s="1">
        <v>251327</v>
      </c>
      <c r="E401" s="1">
        <v>1</v>
      </c>
      <c r="F401" s="1" t="s">
        <v>520</v>
      </c>
      <c r="G401" s="1" t="s">
        <v>323</v>
      </c>
      <c r="H401" s="1">
        <v>75</v>
      </c>
      <c r="I401" s="4"/>
      <c r="J401" s="5"/>
      <c r="K401" s="5"/>
      <c r="L401" s="5"/>
      <c r="M401" s="6"/>
      <c r="N401" s="6"/>
      <c r="O401" s="6"/>
      <c r="P401" s="5"/>
      <c r="Q401" s="5"/>
      <c r="R401" s="4"/>
      <c r="S401" s="5"/>
      <c r="T401" s="4"/>
      <c r="U401" s="9"/>
      <c r="V401" s="5"/>
      <c r="W401" s="4"/>
      <c r="X401" s="5"/>
      <c r="Z401" s="1" t="str">
        <f t="shared" si="61"/>
        <v>juego de sellos</v>
      </c>
      <c r="AA401" t="str">
        <f t="shared" si="61"/>
        <v>CAT-2525105</v>
      </c>
      <c r="AB401" s="12">
        <f t="shared" si="63"/>
        <v>105.62666115767558</v>
      </c>
      <c r="AC401" s="11">
        <f t="shared" si="62"/>
        <v>1.4083554821023412</v>
      </c>
    </row>
    <row r="402" spans="1:29" x14ac:dyDescent="0.3">
      <c r="AB402" s="12"/>
      <c r="AC402" s="11"/>
    </row>
    <row r="403" spans="1:29" x14ac:dyDescent="0.3">
      <c r="D403" s="1">
        <v>250584</v>
      </c>
      <c r="E403" s="1">
        <v>1</v>
      </c>
      <c r="F403" s="1" t="s">
        <v>525</v>
      </c>
      <c r="G403" s="1" t="s">
        <v>526</v>
      </c>
      <c r="H403" s="19">
        <v>2740.1</v>
      </c>
      <c r="I403" s="4">
        <v>7424504625</v>
      </c>
      <c r="J403" s="5">
        <f>52*2</f>
        <v>104</v>
      </c>
      <c r="K403" s="5">
        <f>9*9*9*2</f>
        <v>1458</v>
      </c>
      <c r="L403" s="5">
        <v>744.8</v>
      </c>
      <c r="M403" s="6">
        <v>45972</v>
      </c>
      <c r="N403" s="6">
        <v>45979</v>
      </c>
      <c r="O403" s="30">
        <v>45985</v>
      </c>
      <c r="P403" s="10">
        <f>O403-M403</f>
        <v>13</v>
      </c>
      <c r="Q403" s="10"/>
      <c r="R403" s="4" t="s">
        <v>527</v>
      </c>
      <c r="S403" s="5">
        <v>721.9</v>
      </c>
      <c r="T403" s="4" t="s">
        <v>528</v>
      </c>
      <c r="U403" s="9">
        <v>3505</v>
      </c>
      <c r="V403" s="10"/>
      <c r="W403" s="33" t="s">
        <v>529</v>
      </c>
      <c r="X403" s="10">
        <v>793.98</v>
      </c>
      <c r="Z403" s="1" t="str">
        <f t="shared" ref="Z403:AA412" si="64">F403</f>
        <v>Brake D-Mount MICO</v>
      </c>
      <c r="AA403" t="str">
        <f t="shared" si="64"/>
        <v>Model 13-552-070</v>
      </c>
      <c r="AB403" s="12">
        <f>H403+($S$403+$U$403)*H403/SUM($H$403:$H$404)/3.74+$X$403*H403/SUM($H$403:$H$404)</f>
        <v>3702.1835828877001</v>
      </c>
      <c r="AC403" s="11">
        <f>AB403/H403</f>
        <v>1.3511125808867195</v>
      </c>
    </row>
    <row r="404" spans="1:29" x14ac:dyDescent="0.3">
      <c r="D404" s="1">
        <v>250584</v>
      </c>
      <c r="E404" s="1">
        <v>1</v>
      </c>
      <c r="F404" s="1" t="s">
        <v>525</v>
      </c>
      <c r="G404" s="1" t="s">
        <v>526</v>
      </c>
      <c r="H404" s="19">
        <v>2740.1</v>
      </c>
      <c r="I404" s="4"/>
      <c r="J404" s="5"/>
      <c r="K404" s="5"/>
      <c r="L404" s="5"/>
      <c r="M404" s="5"/>
      <c r="N404" s="5"/>
      <c r="O404" s="10"/>
      <c r="P404" s="10"/>
      <c r="Q404" s="10"/>
      <c r="R404" s="4"/>
      <c r="S404" s="5"/>
      <c r="T404" s="4"/>
      <c r="U404" s="5"/>
      <c r="V404" s="10"/>
      <c r="W404" s="33"/>
      <c r="X404" s="10"/>
      <c r="Z404" s="1" t="str">
        <f t="shared" si="64"/>
        <v>Brake D-Mount MICO</v>
      </c>
      <c r="AA404" t="str">
        <f t="shared" si="64"/>
        <v>Model 13-552-070</v>
      </c>
      <c r="AB404" s="12">
        <f>H404+($S$403+$U$403)*H404/SUM($H$403:$H$404)/3.74+$X$403*H404/SUM($H$403:$H$404)</f>
        <v>3702.1835828877001</v>
      </c>
      <c r="AC404" s="11">
        <f t="shared" ref="AC404:AC412" si="65">AB404/H404</f>
        <v>1.3511125808867195</v>
      </c>
    </row>
    <row r="405" spans="1:29" x14ac:dyDescent="0.3">
      <c r="AB405" s="12"/>
      <c r="AC405" s="11"/>
    </row>
    <row r="406" spans="1:29" x14ac:dyDescent="0.3">
      <c r="C406" s="1">
        <v>355125</v>
      </c>
      <c r="D406" s="1">
        <v>251424</v>
      </c>
      <c r="E406" s="1">
        <v>1</v>
      </c>
      <c r="F406" s="1" t="s">
        <v>530</v>
      </c>
      <c r="G406" s="1" t="s">
        <v>531</v>
      </c>
      <c r="H406" s="19">
        <f>2619.45*1.06</f>
        <v>2776.6169999999997</v>
      </c>
      <c r="I406" s="4">
        <v>3857483560</v>
      </c>
      <c r="J406" s="5">
        <v>14</v>
      </c>
      <c r="K406" s="5">
        <f>20*18*18</f>
        <v>6480</v>
      </c>
      <c r="L406" s="5">
        <v>505.99</v>
      </c>
      <c r="M406" s="6">
        <v>45982</v>
      </c>
      <c r="N406" s="6">
        <v>45988</v>
      </c>
      <c r="O406" s="6">
        <v>45987</v>
      </c>
      <c r="P406" s="4">
        <f>O406-M406</f>
        <v>5</v>
      </c>
      <c r="Q406" s="10"/>
      <c r="R406" s="4" t="s">
        <v>532</v>
      </c>
      <c r="S406" s="5">
        <v>724.25</v>
      </c>
      <c r="T406" s="4" t="s">
        <v>533</v>
      </c>
      <c r="U406" s="9">
        <v>4783</v>
      </c>
      <c r="V406" s="5"/>
      <c r="W406" s="4" t="s">
        <v>529</v>
      </c>
      <c r="X406" s="5">
        <v>571.36</v>
      </c>
      <c r="Y406" s="22"/>
      <c r="Z406" s="2" t="str">
        <f t="shared" si="64"/>
        <v>Rear Susp. OH.Kit</v>
      </c>
      <c r="AA406" s="22" t="str">
        <f t="shared" si="64"/>
        <v>58F-RS-AK010</v>
      </c>
      <c r="AB406" s="12">
        <f>H406+($S$406+$U$406)*H406/SUM($H$406:$H$408)/3.74+$X$406*H406/SUM($H$406:$H$408)</f>
        <v>3672.0908602679551</v>
      </c>
      <c r="AC406" s="27">
        <f>AB406/H406</f>
        <v>1.3225053582355635</v>
      </c>
    </row>
    <row r="407" spans="1:29" x14ac:dyDescent="0.3">
      <c r="C407" s="1">
        <v>355125</v>
      </c>
      <c r="D407" s="1">
        <v>251424</v>
      </c>
      <c r="E407" s="1">
        <v>1</v>
      </c>
      <c r="F407" s="1" t="s">
        <v>534</v>
      </c>
      <c r="G407" s="1" t="s">
        <v>535</v>
      </c>
      <c r="H407" s="19">
        <f>1597.27*1.06</f>
        <v>1693.1062000000002</v>
      </c>
      <c r="I407" s="4"/>
      <c r="J407" s="5"/>
      <c r="K407" s="5"/>
      <c r="L407" s="5"/>
      <c r="M407" s="5"/>
      <c r="N407" s="5"/>
      <c r="O407" s="5"/>
      <c r="P407" s="4"/>
      <c r="Q407" s="10"/>
      <c r="R407" s="4"/>
      <c r="S407" s="5"/>
      <c r="T407" s="4"/>
      <c r="U407" s="5"/>
      <c r="V407" s="5"/>
      <c r="W407" s="4"/>
      <c r="X407" s="5"/>
      <c r="Y407" s="22"/>
      <c r="Z407" s="2" t="str">
        <f t="shared" si="64"/>
        <v>Bearing, Upper16</v>
      </c>
      <c r="AA407" s="22" t="str">
        <f t="shared" si="64"/>
        <v>58B-60-01290</v>
      </c>
      <c r="AB407" s="12">
        <f>H407+($S$406+$U$406)*H407/SUM($H$406:$H$408)/3.74+$X$406*H407/SUM($H$406:$H$408)</f>
        <v>2239.1420215618537</v>
      </c>
      <c r="AC407" s="27">
        <f t="shared" si="65"/>
        <v>1.3225053582355635</v>
      </c>
    </row>
    <row r="408" spans="1:29" x14ac:dyDescent="0.3">
      <c r="C408" s="1">
        <v>355125</v>
      </c>
      <c r="D408" s="1">
        <v>251424</v>
      </c>
      <c r="E408" s="1">
        <v>1</v>
      </c>
      <c r="F408" s="1" t="s">
        <v>536</v>
      </c>
      <c r="G408" s="1" t="s">
        <v>537</v>
      </c>
      <c r="H408" s="19">
        <f>1762.08*1.06</f>
        <v>1867.8048000000001</v>
      </c>
      <c r="I408" s="4"/>
      <c r="J408" s="5"/>
      <c r="K408" s="5"/>
      <c r="L408" s="5"/>
      <c r="M408" s="5"/>
      <c r="N408" s="5"/>
      <c r="O408" s="5"/>
      <c r="P408" s="4"/>
      <c r="Q408" s="10"/>
      <c r="R408" s="4"/>
      <c r="S408" s="5"/>
      <c r="T408" s="4"/>
      <c r="U408" s="5"/>
      <c r="V408" s="5"/>
      <c r="W408" s="4"/>
      <c r="X408" s="5"/>
      <c r="Y408" s="22"/>
      <c r="Z408" s="2" t="str">
        <f t="shared" si="64"/>
        <v xml:space="preserve">Bearing, Lower14 </v>
      </c>
      <c r="AA408" s="22" t="str">
        <f t="shared" si="64"/>
        <v>58B-60-01280</v>
      </c>
      <c r="AB408" s="12">
        <f>H408+($S$406+$U$406)*H408/SUM($H$406:$H$408)/3.74+$X$406*H408/SUM($H$406:$H$408)</f>
        <v>2470.1818561381051</v>
      </c>
      <c r="AC408" s="27">
        <f t="shared" si="65"/>
        <v>1.3225053582355635</v>
      </c>
    </row>
    <row r="409" spans="1:29" x14ac:dyDescent="0.3">
      <c r="I409" s="2"/>
      <c r="J409" s="2"/>
      <c r="K409" s="2"/>
      <c r="L409" s="2"/>
      <c r="M409" s="2"/>
      <c r="N409" s="2"/>
      <c r="AB409" s="12"/>
      <c r="AC409" s="11"/>
    </row>
    <row r="410" spans="1:29" x14ac:dyDescent="0.3">
      <c r="E410" s="1">
        <v>1</v>
      </c>
      <c r="F410" s="1" t="s">
        <v>525</v>
      </c>
      <c r="G410" s="1" t="s">
        <v>526</v>
      </c>
      <c r="H410" s="19">
        <v>2740.1</v>
      </c>
      <c r="I410" s="4">
        <v>8608046020</v>
      </c>
      <c r="J410" s="5">
        <f>52*3</f>
        <v>156</v>
      </c>
      <c r="K410" s="5">
        <f>10*9*9*3</f>
        <v>2430</v>
      </c>
      <c r="L410" s="9">
        <v>1012.68</v>
      </c>
      <c r="M410" s="6">
        <v>45981</v>
      </c>
      <c r="N410" s="6">
        <v>45988</v>
      </c>
      <c r="O410" s="6">
        <v>45988</v>
      </c>
      <c r="P410" s="5">
        <f>O410-M410</f>
        <v>7</v>
      </c>
      <c r="Q410" s="10"/>
      <c r="R410" s="4" t="s">
        <v>538</v>
      </c>
      <c r="S410" s="5">
        <v>722.53</v>
      </c>
      <c r="T410" s="20" t="s">
        <v>539</v>
      </c>
      <c r="U410" s="8">
        <v>6144.66</v>
      </c>
      <c r="V410" s="10"/>
      <c r="W410" s="33" t="s">
        <v>540</v>
      </c>
      <c r="X410" s="8">
        <v>897.62</v>
      </c>
      <c r="Z410" s="1" t="str">
        <f t="shared" si="64"/>
        <v>Brake D-Mount MICO</v>
      </c>
      <c r="AA410" t="str">
        <f t="shared" si="64"/>
        <v>Model 13-552-070</v>
      </c>
      <c r="AB410" s="12">
        <f>H410+($S$410+$U$410)*H410/SUM($H$410:$H$412)/3.74+$X$410*H410/SUM($H$410:$H$412)</f>
        <v>3651.3556862745099</v>
      </c>
      <c r="AC410" s="11">
        <f>AB410/H410</f>
        <v>1.3325629306501625</v>
      </c>
    </row>
    <row r="411" spans="1:29" x14ac:dyDescent="0.3">
      <c r="E411" s="1">
        <v>1</v>
      </c>
      <c r="F411" s="1" t="s">
        <v>525</v>
      </c>
      <c r="G411" s="1" t="s">
        <v>526</v>
      </c>
      <c r="H411" s="19">
        <v>2740.1</v>
      </c>
      <c r="I411" s="4"/>
      <c r="J411" s="5"/>
      <c r="K411" s="5"/>
      <c r="L411" s="5"/>
      <c r="M411" s="5"/>
      <c r="N411" s="5"/>
      <c r="O411" s="5"/>
      <c r="P411" s="5"/>
      <c r="Q411" s="10"/>
      <c r="R411" s="4"/>
      <c r="S411" s="5"/>
      <c r="T411" s="4"/>
      <c r="U411" s="10"/>
      <c r="V411" s="10"/>
      <c r="W411" s="33"/>
      <c r="X411" s="10"/>
      <c r="Z411" s="1" t="str">
        <f t="shared" si="64"/>
        <v>Brake D-Mount MICO</v>
      </c>
      <c r="AA411" t="str">
        <f t="shared" si="64"/>
        <v>Model 13-552-070</v>
      </c>
      <c r="AB411" s="12">
        <f>H411+($S$410+$U$410)*H411/SUM($H$410:$H$412)/3.74+$X$410*H411/SUM($H$410:$H$412)</f>
        <v>3651.3556862745099</v>
      </c>
      <c r="AC411" s="11">
        <f t="shared" si="65"/>
        <v>1.3325629306501625</v>
      </c>
    </row>
    <row r="412" spans="1:29" x14ac:dyDescent="0.3">
      <c r="E412" s="1">
        <v>1</v>
      </c>
      <c r="F412" s="1" t="s">
        <v>525</v>
      </c>
      <c r="G412" s="1" t="s">
        <v>526</v>
      </c>
      <c r="H412" s="19">
        <v>2740.1</v>
      </c>
      <c r="I412" s="4"/>
      <c r="J412" s="5"/>
      <c r="K412" s="5"/>
      <c r="L412" s="5"/>
      <c r="M412" s="5"/>
      <c r="N412" s="5"/>
      <c r="O412" s="5"/>
      <c r="P412" s="5"/>
      <c r="Q412" s="10"/>
      <c r="R412" s="4"/>
      <c r="S412" s="5"/>
      <c r="T412" s="4"/>
      <c r="U412" s="10"/>
      <c r="V412" s="10"/>
      <c r="W412" s="33"/>
      <c r="X412" s="10"/>
      <c r="Z412" s="1" t="str">
        <f t="shared" si="64"/>
        <v>Brake D-Mount MICO</v>
      </c>
      <c r="AA412" t="str">
        <f t="shared" si="64"/>
        <v>Model 13-552-070</v>
      </c>
      <c r="AB412" s="12">
        <f>H412+($S$410+$U$410)*H412/SUM($H$410:$H$412)/3.74+$X$410*H412/SUM($H$410:$H$412)</f>
        <v>3651.3556862745099</v>
      </c>
      <c r="AC412" s="11">
        <f t="shared" si="65"/>
        <v>1.3325629306501625</v>
      </c>
    </row>
    <row r="413" spans="1:29" x14ac:dyDescent="0.3">
      <c r="AB413" s="12"/>
      <c r="AC413" s="11"/>
    </row>
    <row r="414" spans="1:29" x14ac:dyDescent="0.3">
      <c r="A414" t="s">
        <v>541</v>
      </c>
      <c r="C414" s="1">
        <v>358625</v>
      </c>
      <c r="D414" s="1">
        <v>251420</v>
      </c>
      <c r="E414" s="1">
        <v>1</v>
      </c>
      <c r="F414" s="1" t="s">
        <v>313</v>
      </c>
      <c r="G414" s="1" t="s">
        <v>542</v>
      </c>
      <c r="H414" s="19">
        <v>54.99</v>
      </c>
      <c r="I414" s="4">
        <v>1623221994</v>
      </c>
      <c r="J414" s="5">
        <v>42</v>
      </c>
      <c r="K414" s="5">
        <f>18*18*12</f>
        <v>3888</v>
      </c>
      <c r="L414" s="5">
        <v>430.31</v>
      </c>
      <c r="M414" s="6">
        <v>45981</v>
      </c>
      <c r="N414" s="6">
        <v>45988</v>
      </c>
      <c r="O414" s="6">
        <v>45987</v>
      </c>
      <c r="P414" s="5">
        <f>O414-M414</f>
        <v>6</v>
      </c>
      <c r="Q414" s="5"/>
      <c r="R414" s="4" t="s">
        <v>543</v>
      </c>
      <c r="S414" s="5">
        <v>230.08</v>
      </c>
      <c r="T414" s="4" t="s">
        <v>544</v>
      </c>
      <c r="U414" s="5">
        <v>1228</v>
      </c>
      <c r="V414" s="5"/>
      <c r="W414" s="4" t="s">
        <v>529</v>
      </c>
      <c r="X414" s="5">
        <v>371.43</v>
      </c>
      <c r="Z414" s="1" t="str">
        <f t="shared" ref="Z414:AA428" si="66">F414</f>
        <v>SEAL KIT 5.250 X 3.000"</v>
      </c>
      <c r="AA414" t="str">
        <f t="shared" si="66"/>
        <v xml:space="preserve">CAT-2442073 </v>
      </c>
      <c r="AB414" s="12">
        <f>H414+($S$414+$U$414)*H414/SUM($H$414:$H$428)/3.74+$X$414*H414/SUM($H$414:$H$428)</f>
        <v>84.757405006968966</v>
      </c>
      <c r="AC414" s="11">
        <f t="shared" ref="AC414:AC428" si="67">AB414/H414</f>
        <v>1.5413239681209123</v>
      </c>
    </row>
    <row r="415" spans="1:29" x14ac:dyDescent="0.3">
      <c r="A415" t="s">
        <v>545</v>
      </c>
      <c r="C415" s="1">
        <v>359725</v>
      </c>
      <c r="D415" s="1">
        <v>251441</v>
      </c>
      <c r="E415" s="1">
        <v>2</v>
      </c>
      <c r="F415" s="1" t="s">
        <v>218</v>
      </c>
      <c r="G415" s="1" t="s">
        <v>410</v>
      </c>
      <c r="H415" s="1">
        <v>9.8800000000000008</v>
      </c>
      <c r="I415" s="4"/>
      <c r="J415" s="5"/>
      <c r="K415" s="5"/>
      <c r="L415" s="5"/>
      <c r="M415" s="5"/>
      <c r="N415" s="5"/>
      <c r="O415" s="5"/>
      <c r="P415" s="5"/>
      <c r="Q415" s="5"/>
      <c r="R415" s="4"/>
      <c r="S415" s="5"/>
      <c r="T415" s="4"/>
      <c r="U415" s="5"/>
      <c r="V415" s="5"/>
      <c r="W415" s="4"/>
      <c r="X415" s="5"/>
      <c r="Z415" s="1" t="str">
        <f t="shared" si="66"/>
        <v>REPLACEMENT SNAP RING</v>
      </c>
      <c r="AA415" t="str">
        <f t="shared" si="66"/>
        <v>CAT-5334824</v>
      </c>
      <c r="AB415" s="12">
        <f t="shared" ref="AB415:AB428" si="68">H415+($S$414+$U$414)*H415/SUM($H$414:$H$428)/3.74+$X$414*H415/SUM($H$414:$H$428)</f>
        <v>15.228280805034615</v>
      </c>
      <c r="AC415" s="11">
        <f t="shared" si="67"/>
        <v>1.5413239681209123</v>
      </c>
    </row>
    <row r="416" spans="1:29" x14ac:dyDescent="0.3">
      <c r="A416" t="s">
        <v>545</v>
      </c>
      <c r="C416" s="1">
        <v>359525</v>
      </c>
      <c r="D416" s="1">
        <v>251441</v>
      </c>
      <c r="E416" s="1">
        <v>1</v>
      </c>
      <c r="F416" s="1" t="s">
        <v>315</v>
      </c>
      <c r="G416" s="1" t="s">
        <v>316</v>
      </c>
      <c r="H416" s="1">
        <v>113.48</v>
      </c>
      <c r="I416" s="4"/>
      <c r="J416" s="5"/>
      <c r="K416" s="5"/>
      <c r="L416" s="5"/>
      <c r="M416" s="5"/>
      <c r="N416" s="5"/>
      <c r="O416" s="5"/>
      <c r="P416" s="5"/>
      <c r="Q416" s="5"/>
      <c r="R416" s="4"/>
      <c r="S416" s="5"/>
      <c r="T416" s="4"/>
      <c r="U416" s="5"/>
      <c r="V416" s="5"/>
      <c r="W416" s="4"/>
      <c r="X416" s="5"/>
      <c r="Z416" s="1" t="str">
        <f t="shared" si="66"/>
        <v>REPLACEMENT SPHERICAL BEAR</v>
      </c>
      <c r="AA416" t="str">
        <f t="shared" si="66"/>
        <v>CAT-7J3297</v>
      </c>
      <c r="AB416" s="12">
        <f t="shared" si="68"/>
        <v>174.90944390236112</v>
      </c>
      <c r="AC416" s="11">
        <f t="shared" si="67"/>
        <v>1.5413239681209121</v>
      </c>
    </row>
    <row r="417" spans="1:29" x14ac:dyDescent="0.3">
      <c r="A417" t="s">
        <v>545</v>
      </c>
      <c r="C417" s="1">
        <v>359725</v>
      </c>
      <c r="D417" s="1">
        <v>251441</v>
      </c>
      <c r="E417" s="1">
        <v>2</v>
      </c>
      <c r="F417" s="1" t="s">
        <v>329</v>
      </c>
      <c r="G417" s="1" t="s">
        <v>360</v>
      </c>
      <c r="H417" s="1">
        <v>132.12</v>
      </c>
      <c r="I417" s="4"/>
      <c r="J417" s="5"/>
      <c r="K417" s="5"/>
      <c r="L417" s="5"/>
      <c r="M417" s="5"/>
      <c r="N417" s="5"/>
      <c r="O417" s="5"/>
      <c r="P417" s="5"/>
      <c r="Q417" s="5"/>
      <c r="R417" s="4"/>
      <c r="S417" s="5"/>
      <c r="T417" s="4"/>
      <c r="U417" s="5"/>
      <c r="V417" s="5"/>
      <c r="W417" s="4"/>
      <c r="X417" s="5"/>
      <c r="Z417" s="1" t="str">
        <f t="shared" si="66"/>
        <v>REPLACEMENT CAT NUTS</v>
      </c>
      <c r="AA417" t="str">
        <f t="shared" si="66"/>
        <v>CAT-3J6899</v>
      </c>
      <c r="AB417" s="12">
        <f t="shared" si="68"/>
        <v>203.63972266813494</v>
      </c>
      <c r="AC417" s="11">
        <f t="shared" si="67"/>
        <v>1.5413239681209123</v>
      </c>
    </row>
    <row r="418" spans="1:29" x14ac:dyDescent="0.3">
      <c r="A418" t="s">
        <v>545</v>
      </c>
      <c r="C418" s="1">
        <v>359525</v>
      </c>
      <c r="D418" s="1">
        <v>251441</v>
      </c>
      <c r="E418" s="1">
        <v>1</v>
      </c>
      <c r="F418" s="1" t="s">
        <v>318</v>
      </c>
      <c r="G418" s="1" t="s">
        <v>74</v>
      </c>
      <c r="H418" s="1">
        <v>99.8</v>
      </c>
      <c r="I418" s="4"/>
      <c r="J418" s="5"/>
      <c r="K418" s="5"/>
      <c r="L418" s="5"/>
      <c r="M418" s="5"/>
      <c r="N418" s="5"/>
      <c r="O418" s="5"/>
      <c r="P418" s="5"/>
      <c r="Q418" s="5"/>
      <c r="R418" s="4"/>
      <c r="S418" s="5"/>
      <c r="T418" s="4"/>
      <c r="U418" s="5"/>
      <c r="V418" s="5"/>
      <c r="W418" s="4"/>
      <c r="X418" s="5"/>
      <c r="Z418" s="1" t="str">
        <f t="shared" si="66"/>
        <v>SEAL KIT 8.250 X 3.500"</v>
      </c>
      <c r="AA418" t="str">
        <f t="shared" si="66"/>
        <v>CAT-2456835</v>
      </c>
      <c r="AB418" s="12">
        <f t="shared" si="68"/>
        <v>153.82413201846703</v>
      </c>
      <c r="AC418" s="11">
        <f t="shared" si="67"/>
        <v>1.5413239681209121</v>
      </c>
    </row>
    <row r="419" spans="1:29" x14ac:dyDescent="0.3">
      <c r="A419" t="s">
        <v>545</v>
      </c>
      <c r="C419" s="1">
        <v>359725</v>
      </c>
      <c r="D419" s="1">
        <v>251441</v>
      </c>
      <c r="E419" s="1">
        <v>1</v>
      </c>
      <c r="F419" s="1" t="s">
        <v>361</v>
      </c>
      <c r="G419" s="1" t="s">
        <v>362</v>
      </c>
      <c r="H419" s="1">
        <v>86</v>
      </c>
      <c r="I419" s="4"/>
      <c r="J419" s="5"/>
      <c r="K419" s="5"/>
      <c r="L419" s="5"/>
      <c r="M419" s="5"/>
      <c r="N419" s="5"/>
      <c r="O419" s="5"/>
      <c r="P419" s="5"/>
      <c r="Q419" s="5"/>
      <c r="R419" s="4"/>
      <c r="S419" s="5"/>
      <c r="T419" s="4"/>
      <c r="U419" s="5"/>
      <c r="V419" s="5"/>
      <c r="W419" s="4"/>
      <c r="X419" s="5"/>
      <c r="Z419" s="1" t="str">
        <f t="shared" si="66"/>
        <v>793 STEERING SEAL KIT</v>
      </c>
      <c r="AA419" t="str">
        <f t="shared" si="66"/>
        <v xml:space="preserve">CAT-3234199 </v>
      </c>
      <c r="AB419" s="12">
        <f t="shared" si="68"/>
        <v>132.55386125839846</v>
      </c>
      <c r="AC419" s="11">
        <f t="shared" si="67"/>
        <v>1.5413239681209123</v>
      </c>
    </row>
    <row r="420" spans="1:29" x14ac:dyDescent="0.3">
      <c r="A420" t="s">
        <v>545</v>
      </c>
      <c r="C420" s="1">
        <v>360125</v>
      </c>
      <c r="D420" s="1">
        <v>251441</v>
      </c>
      <c r="E420" s="1">
        <v>1</v>
      </c>
      <c r="F420" s="1" t="s">
        <v>482</v>
      </c>
      <c r="G420" s="1" t="s">
        <v>76</v>
      </c>
      <c r="H420" s="1">
        <v>280.08</v>
      </c>
      <c r="I420" s="4"/>
      <c r="J420" s="5"/>
      <c r="K420" s="5"/>
      <c r="L420" s="5"/>
      <c r="M420" s="5"/>
      <c r="N420" s="5"/>
      <c r="O420" s="5"/>
      <c r="P420" s="5"/>
      <c r="Q420" s="5"/>
      <c r="R420" s="4"/>
      <c r="S420" s="5"/>
      <c r="T420" s="4"/>
      <c r="U420" s="5"/>
      <c r="V420" s="5"/>
      <c r="W420" s="4"/>
      <c r="X420" s="5"/>
      <c r="Z420" s="1" t="str">
        <f t="shared" si="66"/>
        <v>980E STEERING SEAL KIT</v>
      </c>
      <c r="AA420" t="str">
        <f t="shared" si="66"/>
        <v>KOM-58B/SC/AK030</v>
      </c>
      <c r="AB420" s="12">
        <f t="shared" si="68"/>
        <v>431.69401699130503</v>
      </c>
      <c r="AC420" s="11">
        <f t="shared" si="67"/>
        <v>1.5413239681209121</v>
      </c>
    </row>
    <row r="421" spans="1:29" x14ac:dyDescent="0.3">
      <c r="A421" t="s">
        <v>545</v>
      </c>
      <c r="C421" s="1">
        <v>360625</v>
      </c>
      <c r="D421" s="1">
        <v>251441</v>
      </c>
      <c r="E421" s="1">
        <v>1</v>
      </c>
      <c r="F421" s="1" t="s">
        <v>546</v>
      </c>
      <c r="G421" s="1" t="s">
        <v>119</v>
      </c>
      <c r="H421" s="1">
        <v>100</v>
      </c>
      <c r="I421" s="4"/>
      <c r="J421" s="5"/>
      <c r="K421" s="5"/>
      <c r="L421" s="5"/>
      <c r="M421" s="5"/>
      <c r="N421" s="5"/>
      <c r="O421" s="5"/>
      <c r="P421" s="5"/>
      <c r="Q421" s="5"/>
      <c r="R421" s="4"/>
      <c r="S421" s="5"/>
      <c r="T421" s="4"/>
      <c r="U421" s="5"/>
      <c r="V421" s="5"/>
      <c r="W421" s="4"/>
      <c r="X421" s="5"/>
      <c r="Z421" s="1" t="str">
        <f t="shared" si="66"/>
        <v>SEAL KIT 180.00 X 110.00MM</v>
      </c>
      <c r="AA421" t="str">
        <f t="shared" si="66"/>
        <v>KOM-707/99/67640</v>
      </c>
      <c r="AB421" s="12">
        <f t="shared" si="68"/>
        <v>154.13239681209123</v>
      </c>
      <c r="AC421" s="11">
        <f t="shared" si="67"/>
        <v>1.5413239681209123</v>
      </c>
    </row>
    <row r="422" spans="1:29" x14ac:dyDescent="0.3">
      <c r="A422" t="s">
        <v>547</v>
      </c>
      <c r="C422" s="1" t="s">
        <v>548</v>
      </c>
      <c r="D422" s="1">
        <v>251375</v>
      </c>
      <c r="E422" s="1">
        <v>3</v>
      </c>
      <c r="F422" s="1" t="s">
        <v>497</v>
      </c>
      <c r="G422" s="1" t="s">
        <v>475</v>
      </c>
      <c r="H422" s="1">
        <v>315</v>
      </c>
      <c r="I422" s="4"/>
      <c r="J422" s="5"/>
      <c r="K422" s="5"/>
      <c r="L422" s="5"/>
      <c r="M422" s="5"/>
      <c r="N422" s="5"/>
      <c r="O422" s="5"/>
      <c r="P422" s="5"/>
      <c r="Q422" s="5"/>
      <c r="R422" s="4"/>
      <c r="S422" s="5"/>
      <c r="T422" s="4"/>
      <c r="U422" s="5"/>
      <c r="V422" s="5"/>
      <c r="W422" s="4"/>
      <c r="X422" s="5"/>
      <c r="Z422" s="1" t="str">
        <f t="shared" si="66"/>
        <v>SEAL KIT 7.000 X 4.000"</v>
      </c>
      <c r="AA422" t="str">
        <f t="shared" si="66"/>
        <v>CAT-2295507</v>
      </c>
      <c r="AB422" s="12">
        <f t="shared" si="68"/>
        <v>485.51704995808734</v>
      </c>
      <c r="AC422" s="11">
        <f t="shared" si="67"/>
        <v>1.5413239681209121</v>
      </c>
    </row>
    <row r="423" spans="1:29" x14ac:dyDescent="0.3">
      <c r="A423" t="s">
        <v>549</v>
      </c>
      <c r="C423" s="1">
        <v>358725</v>
      </c>
      <c r="D423" s="1">
        <v>251418</v>
      </c>
      <c r="E423" s="1">
        <v>2</v>
      </c>
      <c r="F423" s="1" t="s">
        <v>238</v>
      </c>
      <c r="G423" s="1" t="s">
        <v>141</v>
      </c>
      <c r="H423" s="1">
        <v>9</v>
      </c>
      <c r="I423" s="4"/>
      <c r="J423" s="5"/>
      <c r="K423" s="5"/>
      <c r="L423" s="5"/>
      <c r="M423" s="5"/>
      <c r="N423" s="5"/>
      <c r="O423" s="5"/>
      <c r="P423" s="5"/>
      <c r="Q423" s="5"/>
      <c r="R423" s="4"/>
      <c r="S423" s="5"/>
      <c r="T423" s="4"/>
      <c r="U423" s="5"/>
      <c r="V423" s="5"/>
      <c r="W423" s="4"/>
      <c r="X423" s="5"/>
      <c r="Z423" s="1" t="str">
        <f t="shared" si="66"/>
        <v>REPLACEMENT PIN WIPER</v>
      </c>
      <c r="AA423" t="str">
        <f t="shared" si="66"/>
        <v>CAT-7K9211</v>
      </c>
      <c r="AB423" s="12">
        <f t="shared" si="68"/>
        <v>13.87191571308821</v>
      </c>
      <c r="AC423" s="11">
        <f t="shared" si="67"/>
        <v>1.5413239681209123</v>
      </c>
    </row>
    <row r="424" spans="1:29" x14ac:dyDescent="0.3">
      <c r="A424" t="s">
        <v>549</v>
      </c>
      <c r="C424" s="1">
        <v>358725</v>
      </c>
      <c r="D424" s="1">
        <v>251418</v>
      </c>
      <c r="E424" s="1">
        <v>1</v>
      </c>
      <c r="F424" s="1" t="s">
        <v>329</v>
      </c>
      <c r="G424" s="1" t="s">
        <v>550</v>
      </c>
      <c r="H424" s="1">
        <v>48</v>
      </c>
      <c r="I424" s="4"/>
      <c r="J424" s="5"/>
      <c r="K424" s="5"/>
      <c r="L424" s="5"/>
      <c r="M424" s="5"/>
      <c r="N424" s="5"/>
      <c r="O424" s="5"/>
      <c r="P424" s="5"/>
      <c r="Q424" s="5"/>
      <c r="R424" s="4"/>
      <c r="S424" s="5"/>
      <c r="T424" s="4"/>
      <c r="U424" s="5"/>
      <c r="V424" s="5"/>
      <c r="W424" s="4"/>
      <c r="X424" s="5"/>
      <c r="Z424" s="1" t="str">
        <f t="shared" si="66"/>
        <v>REPLACEMENT CAT NUTS</v>
      </c>
      <c r="AA424" t="str">
        <f t="shared" si="66"/>
        <v>CAT-5J3488</v>
      </c>
      <c r="AB424" s="12">
        <f t="shared" si="68"/>
        <v>73.983550469803788</v>
      </c>
      <c r="AC424" s="11">
        <f t="shared" si="67"/>
        <v>1.5413239681209123</v>
      </c>
    </row>
    <row r="425" spans="1:29" x14ac:dyDescent="0.3">
      <c r="A425" t="s">
        <v>549</v>
      </c>
      <c r="C425" s="1">
        <v>358725</v>
      </c>
      <c r="D425" s="1">
        <v>251418</v>
      </c>
      <c r="E425" s="1">
        <v>1</v>
      </c>
      <c r="F425" s="1" t="s">
        <v>240</v>
      </c>
      <c r="G425" s="1" t="s">
        <v>551</v>
      </c>
      <c r="H425" s="1">
        <v>40.799999999999997</v>
      </c>
      <c r="I425" s="4"/>
      <c r="J425" s="5"/>
      <c r="K425" s="5"/>
      <c r="L425" s="5"/>
      <c r="M425" s="5"/>
      <c r="N425" s="5"/>
      <c r="O425" s="5"/>
      <c r="P425" s="5"/>
      <c r="Q425" s="5"/>
      <c r="R425" s="4"/>
      <c r="S425" s="5"/>
      <c r="T425" s="4"/>
      <c r="U425" s="5"/>
      <c r="V425" s="5"/>
      <c r="W425" s="4"/>
      <c r="X425" s="5"/>
      <c r="Z425" s="1" t="str">
        <f t="shared" si="66"/>
        <v>REPLACEMENT BEARING SLEEVE</v>
      </c>
      <c r="AA425" t="str">
        <f t="shared" si="66"/>
        <v>CAT-3G7624</v>
      </c>
      <c r="AB425" s="12">
        <f t="shared" si="68"/>
        <v>62.886017899333211</v>
      </c>
      <c r="AC425" s="11">
        <f t="shared" si="67"/>
        <v>1.5413239681209121</v>
      </c>
    </row>
    <row r="426" spans="1:29" x14ac:dyDescent="0.3">
      <c r="A426" t="s">
        <v>549</v>
      </c>
      <c r="C426" s="1">
        <v>358725</v>
      </c>
      <c r="D426" s="1">
        <v>251418</v>
      </c>
      <c r="E426" s="1">
        <v>1</v>
      </c>
      <c r="F426" s="1" t="s">
        <v>552</v>
      </c>
      <c r="G426" s="1" t="s">
        <v>553</v>
      </c>
      <c r="H426" s="1">
        <v>80</v>
      </c>
      <c r="I426" s="4"/>
      <c r="J426" s="5"/>
      <c r="K426" s="5"/>
      <c r="L426" s="5"/>
      <c r="M426" s="5"/>
      <c r="N426" s="5"/>
      <c r="O426" s="5"/>
      <c r="P426" s="5"/>
      <c r="Q426" s="5"/>
      <c r="R426" s="4"/>
      <c r="S426" s="5"/>
      <c r="T426" s="4"/>
      <c r="U426" s="5"/>
      <c r="V426" s="5"/>
      <c r="W426" s="4"/>
      <c r="X426" s="5"/>
      <c r="Z426" s="1" t="str">
        <f t="shared" si="66"/>
        <v>SEAL KIT 6.250 X 3.250"</v>
      </c>
      <c r="AA426" t="str">
        <f t="shared" si="66"/>
        <v>CAT-3812334</v>
      </c>
      <c r="AB426" s="12">
        <f t="shared" si="68"/>
        <v>123.30591744967298</v>
      </c>
      <c r="AC426" s="11">
        <f t="shared" si="67"/>
        <v>1.5413239681209121</v>
      </c>
    </row>
    <row r="427" spans="1:29" x14ac:dyDescent="0.3">
      <c r="A427" t="s">
        <v>554</v>
      </c>
      <c r="C427" s="1">
        <v>358525</v>
      </c>
      <c r="D427" s="1">
        <v>251419</v>
      </c>
      <c r="E427" s="1">
        <v>2</v>
      </c>
      <c r="F427" s="1" t="s">
        <v>325</v>
      </c>
      <c r="G427" s="1" t="s">
        <v>326</v>
      </c>
      <c r="H427" s="1">
        <v>17</v>
      </c>
      <c r="I427" s="4"/>
      <c r="J427" s="5"/>
      <c r="K427" s="5"/>
      <c r="L427" s="5"/>
      <c r="M427" s="5"/>
      <c r="N427" s="5"/>
      <c r="O427" s="5"/>
      <c r="P427" s="5"/>
      <c r="Q427" s="5"/>
      <c r="R427" s="4"/>
      <c r="S427" s="5"/>
      <c r="T427" s="4"/>
      <c r="U427" s="5"/>
      <c r="V427" s="5"/>
      <c r="W427" s="4"/>
      <c r="X427" s="5"/>
      <c r="Z427" s="1" t="str">
        <f t="shared" si="66"/>
        <v>100.00MM - ROD WIPER</v>
      </c>
      <c r="AA427" t="str">
        <f t="shared" si="66"/>
        <v>CAT-9X4597</v>
      </c>
      <c r="AB427" s="12">
        <f t="shared" si="68"/>
        <v>26.202507458055511</v>
      </c>
      <c r="AC427" s="11">
        <f t="shared" si="67"/>
        <v>1.5413239681209123</v>
      </c>
    </row>
    <row r="428" spans="1:29" x14ac:dyDescent="0.3">
      <c r="A428" t="s">
        <v>554</v>
      </c>
      <c r="C428" s="1">
        <v>358525</v>
      </c>
      <c r="D428" s="1">
        <v>251419</v>
      </c>
      <c r="E428" s="1">
        <v>1</v>
      </c>
      <c r="F428" s="1" t="s">
        <v>502</v>
      </c>
      <c r="G428" s="1" t="s">
        <v>503</v>
      </c>
      <c r="H428" s="1">
        <v>20.2</v>
      </c>
      <c r="I428" s="4"/>
      <c r="J428" s="5"/>
      <c r="K428" s="5"/>
      <c r="L428" s="5"/>
      <c r="M428" s="5"/>
      <c r="N428" s="5"/>
      <c r="O428" s="5"/>
      <c r="P428" s="5"/>
      <c r="Q428" s="5"/>
      <c r="R428" s="4"/>
      <c r="S428" s="5"/>
      <c r="T428" s="4"/>
      <c r="U428" s="5"/>
      <c r="V428" s="5"/>
      <c r="W428" s="4"/>
      <c r="X428" s="5"/>
      <c r="Z428" s="1" t="str">
        <f t="shared" si="66"/>
        <v>04.750" - PISTON WEAR RING</v>
      </c>
      <c r="AA428" t="str">
        <f t="shared" si="66"/>
        <v>CAT-8T8390</v>
      </c>
      <c r="AB428" s="12">
        <f t="shared" si="68"/>
        <v>31.134744156042427</v>
      </c>
      <c r="AC428" s="11">
        <f t="shared" si="67"/>
        <v>1.5413239681209123</v>
      </c>
    </row>
    <row r="429" spans="1:29" x14ac:dyDescent="0.3">
      <c r="AB429" s="12"/>
      <c r="AC429" s="11"/>
    </row>
    <row r="430" spans="1:29" x14ac:dyDescent="0.3">
      <c r="C430" s="1">
        <v>360225</v>
      </c>
      <c r="D430" s="1">
        <v>251452</v>
      </c>
      <c r="E430" s="1">
        <v>1</v>
      </c>
      <c r="F430" s="1" t="s">
        <v>313</v>
      </c>
      <c r="G430" s="1" t="s">
        <v>70</v>
      </c>
      <c r="H430" s="19">
        <v>54.99</v>
      </c>
      <c r="I430" s="4">
        <v>2926162153</v>
      </c>
      <c r="J430" s="5">
        <v>44</v>
      </c>
      <c r="K430" s="5">
        <f>20*20*18+12*12*9</f>
        <v>8496</v>
      </c>
      <c r="L430" s="5">
        <v>521.1</v>
      </c>
      <c r="M430" s="6">
        <v>46009</v>
      </c>
      <c r="N430" s="6">
        <v>46014</v>
      </c>
      <c r="O430" s="5"/>
      <c r="P430" s="5"/>
      <c r="Q430" s="10"/>
      <c r="R430" s="33" t="s">
        <v>555</v>
      </c>
      <c r="S430" s="10">
        <v>137.28</v>
      </c>
      <c r="T430" s="33" t="s">
        <v>556</v>
      </c>
      <c r="U430" s="8">
        <v>1308</v>
      </c>
      <c r="V430" s="10"/>
      <c r="W430" s="33" t="s">
        <v>557</v>
      </c>
      <c r="X430" s="10">
        <v>445.3</v>
      </c>
      <c r="Z430" s="1" t="str">
        <f t="shared" ref="Z430:AA492" si="69">F430</f>
        <v>SEAL KIT 5.250 X 3.000"</v>
      </c>
      <c r="AA430" t="str">
        <f t="shared" si="69"/>
        <v>CAT-2442073</v>
      </c>
      <c r="AB430" s="12">
        <f>H430+($S$430+$U$430)*H430/SUM($H$430:$H$442)/3.74+$X$430*H430/SUM($H$430:$H$442)</f>
        <v>85.452492598410913</v>
      </c>
      <c r="AC430" s="11">
        <f t="shared" ref="AC430:AC442" si="70">AB430/H430</f>
        <v>1.5539642225570269</v>
      </c>
    </row>
    <row r="431" spans="1:29" x14ac:dyDescent="0.3">
      <c r="C431" s="1">
        <v>360225</v>
      </c>
      <c r="D431" s="1">
        <v>251452</v>
      </c>
      <c r="E431" s="1">
        <v>1</v>
      </c>
      <c r="F431" s="1" t="s">
        <v>424</v>
      </c>
      <c r="G431" s="1" t="s">
        <v>425</v>
      </c>
      <c r="H431" s="1">
        <v>31.8</v>
      </c>
      <c r="I431" s="4"/>
      <c r="J431" s="5"/>
      <c r="K431" s="5"/>
      <c r="L431" s="5"/>
      <c r="M431" s="5"/>
      <c r="N431" s="5"/>
      <c r="O431" s="5"/>
      <c r="P431" s="5"/>
      <c r="Q431" s="10"/>
      <c r="R431" s="33"/>
      <c r="S431" s="10"/>
      <c r="T431" s="33"/>
      <c r="U431" s="10"/>
      <c r="V431" s="10"/>
      <c r="W431" s="33"/>
      <c r="X431" s="10"/>
      <c r="Z431" s="1" t="str">
        <f t="shared" si="69"/>
        <v>03.000" - ROD WEAR RING</v>
      </c>
      <c r="AA431" t="str">
        <f t="shared" si="69"/>
        <v>CAT-9T0094</v>
      </c>
      <c r="AB431" s="12">
        <f t="shared" ref="AB431:AB442" si="71">H431+($S$430+$U$430)*H431/SUM($H$430:$H$442)/3.74+$X$430*H431/SUM($H$430:$H$442)</f>
        <v>49.416062277313458</v>
      </c>
      <c r="AC431" s="11">
        <f t="shared" si="70"/>
        <v>1.5539642225570269</v>
      </c>
    </row>
    <row r="432" spans="1:29" x14ac:dyDescent="0.3">
      <c r="C432" s="1">
        <v>360725</v>
      </c>
      <c r="D432" s="1">
        <v>251452</v>
      </c>
      <c r="E432" s="1">
        <v>1</v>
      </c>
      <c r="F432" s="1" t="s">
        <v>322</v>
      </c>
      <c r="G432" s="1" t="s">
        <v>323</v>
      </c>
      <c r="H432" s="1">
        <v>75</v>
      </c>
      <c r="I432" s="4"/>
      <c r="J432" s="5"/>
      <c r="K432" s="5"/>
      <c r="L432" s="5"/>
      <c r="M432" s="5"/>
      <c r="N432" s="5"/>
      <c r="O432" s="5"/>
      <c r="P432" s="5"/>
      <c r="Q432" s="10"/>
      <c r="R432" s="33"/>
      <c r="S432" s="10"/>
      <c r="T432" s="33"/>
      <c r="U432" s="10"/>
      <c r="V432" s="10"/>
      <c r="W432" s="33"/>
      <c r="X432" s="10"/>
      <c r="Z432" s="1" t="str">
        <f t="shared" si="69"/>
        <v>SEAL KIT 5.000 X 3.250"</v>
      </c>
      <c r="AA432" t="str">
        <f t="shared" si="69"/>
        <v>CAT-2525105</v>
      </c>
      <c r="AB432" s="12">
        <f t="shared" si="71"/>
        <v>116.54731669177701</v>
      </c>
      <c r="AC432" s="11">
        <f t="shared" si="70"/>
        <v>1.5539642225570269</v>
      </c>
    </row>
    <row r="433" spans="2:29" x14ac:dyDescent="0.3">
      <c r="C433" s="1">
        <v>360525</v>
      </c>
      <c r="D433" s="1">
        <v>251475</v>
      </c>
      <c r="E433" s="1">
        <v>2</v>
      </c>
      <c r="F433" s="1" t="s">
        <v>240</v>
      </c>
      <c r="G433" s="1" t="s">
        <v>97</v>
      </c>
      <c r="H433" s="19">
        <v>300</v>
      </c>
      <c r="I433" s="4"/>
      <c r="J433" s="5"/>
      <c r="K433" s="5"/>
      <c r="L433" s="5"/>
      <c r="M433" s="5"/>
      <c r="N433" s="5"/>
      <c r="O433" s="5"/>
      <c r="P433" s="5"/>
      <c r="Q433" s="10"/>
      <c r="R433" s="33"/>
      <c r="S433" s="10"/>
      <c r="T433" s="33"/>
      <c r="U433" s="10"/>
      <c r="V433" s="10"/>
      <c r="W433" s="33"/>
      <c r="X433" s="10"/>
      <c r="Z433" s="1" t="str">
        <f t="shared" si="69"/>
        <v>REPLACEMENT BEARING SLEEVE</v>
      </c>
      <c r="AA433" t="str">
        <f t="shared" si="69"/>
        <v>CAT-1722848</v>
      </c>
      <c r="AB433" s="12">
        <f t="shared" si="71"/>
        <v>466.18926676710805</v>
      </c>
      <c r="AC433" s="11">
        <f t="shared" si="70"/>
        <v>1.5539642225570269</v>
      </c>
    </row>
    <row r="434" spans="2:29" x14ac:dyDescent="0.3">
      <c r="C434" s="1">
        <v>363625</v>
      </c>
      <c r="D434" s="1">
        <v>251540</v>
      </c>
      <c r="E434" s="1">
        <v>2</v>
      </c>
      <c r="F434" s="1" t="s">
        <v>218</v>
      </c>
      <c r="G434" s="1" t="s">
        <v>410</v>
      </c>
      <c r="H434" s="1">
        <v>9.8800000000000008</v>
      </c>
      <c r="I434" s="4"/>
      <c r="J434" s="5"/>
      <c r="K434" s="5"/>
      <c r="L434" s="5"/>
      <c r="M434" s="5"/>
      <c r="N434" s="5"/>
      <c r="O434" s="5"/>
      <c r="P434" s="5"/>
      <c r="Q434" s="10"/>
      <c r="R434" s="33"/>
      <c r="S434" s="10"/>
      <c r="T434" s="33"/>
      <c r="U434" s="10"/>
      <c r="V434" s="10"/>
      <c r="W434" s="33"/>
      <c r="X434" s="10"/>
      <c r="Z434" s="1" t="str">
        <f t="shared" si="69"/>
        <v>REPLACEMENT SNAP RING</v>
      </c>
      <c r="AA434" t="str">
        <f t="shared" si="69"/>
        <v>CAT-5334824</v>
      </c>
      <c r="AB434" s="12">
        <f t="shared" si="71"/>
        <v>15.353166518863425</v>
      </c>
      <c r="AC434" s="11">
        <f t="shared" si="70"/>
        <v>1.5539642225570267</v>
      </c>
    </row>
    <row r="435" spans="2:29" x14ac:dyDescent="0.3">
      <c r="C435" s="1">
        <v>363625</v>
      </c>
      <c r="D435" s="1">
        <v>251540</v>
      </c>
      <c r="E435" s="1">
        <v>2</v>
      </c>
      <c r="F435" s="1" t="s">
        <v>329</v>
      </c>
      <c r="G435" s="1" t="s">
        <v>558</v>
      </c>
      <c r="H435" s="1">
        <v>132.12</v>
      </c>
      <c r="I435" s="4"/>
      <c r="J435" s="5"/>
      <c r="K435" s="5"/>
      <c r="L435" s="5"/>
      <c r="M435" s="5"/>
      <c r="N435" s="5"/>
      <c r="O435" s="5"/>
      <c r="P435" s="5"/>
      <c r="Q435" s="10"/>
      <c r="R435" s="33"/>
      <c r="S435" s="10"/>
      <c r="T435" s="33"/>
      <c r="U435" s="10"/>
      <c r="V435" s="10"/>
      <c r="W435" s="33"/>
      <c r="X435" s="10"/>
      <c r="Z435" s="1" t="str">
        <f t="shared" si="69"/>
        <v>REPLACEMENT CAT NUTS</v>
      </c>
      <c r="AA435" t="str">
        <f t="shared" si="69"/>
        <v xml:space="preserve">CAT-3J6899 </v>
      </c>
      <c r="AB435" s="12">
        <f t="shared" si="71"/>
        <v>205.30975308423439</v>
      </c>
      <c r="AC435" s="11">
        <f t="shared" si="70"/>
        <v>1.5539642225570267</v>
      </c>
    </row>
    <row r="436" spans="2:29" x14ac:dyDescent="0.3">
      <c r="C436" s="1">
        <v>363625</v>
      </c>
      <c r="D436" s="1">
        <v>251540</v>
      </c>
      <c r="E436" s="1">
        <v>1</v>
      </c>
      <c r="F436" s="1" t="s">
        <v>361</v>
      </c>
      <c r="G436" s="1" t="s">
        <v>411</v>
      </c>
      <c r="H436" s="1">
        <v>86</v>
      </c>
      <c r="I436" s="4"/>
      <c r="J436" s="5"/>
      <c r="K436" s="5"/>
      <c r="L436" s="5"/>
      <c r="M436" s="5"/>
      <c r="N436" s="5"/>
      <c r="O436" s="5"/>
      <c r="P436" s="5"/>
      <c r="Q436" s="10"/>
      <c r="R436" s="33"/>
      <c r="S436" s="10"/>
      <c r="T436" s="33"/>
      <c r="U436" s="10"/>
      <c r="V436" s="10"/>
      <c r="W436" s="33"/>
      <c r="X436" s="10"/>
      <c r="Z436" s="1" t="str">
        <f t="shared" si="69"/>
        <v>793 STEERING SEAL KIT</v>
      </c>
      <c r="AA436" t="str">
        <f t="shared" si="69"/>
        <v>CAT-3234199</v>
      </c>
      <c r="AB436" s="12">
        <f t="shared" si="71"/>
        <v>133.64092313990432</v>
      </c>
      <c r="AC436" s="11">
        <f t="shared" si="70"/>
        <v>1.5539642225570269</v>
      </c>
    </row>
    <row r="437" spans="2:29" x14ac:dyDescent="0.3">
      <c r="C437" s="1" t="s">
        <v>227</v>
      </c>
      <c r="D437" s="1">
        <v>251464</v>
      </c>
      <c r="E437" s="1">
        <v>10</v>
      </c>
      <c r="F437" s="1" t="s">
        <v>218</v>
      </c>
      <c r="G437" s="1" t="s">
        <v>559</v>
      </c>
      <c r="H437" s="1">
        <v>212</v>
      </c>
      <c r="I437" s="4"/>
      <c r="J437" s="5"/>
      <c r="K437" s="5"/>
      <c r="L437" s="5"/>
      <c r="M437" s="5"/>
      <c r="N437" s="5"/>
      <c r="O437" s="5"/>
      <c r="P437" s="5"/>
      <c r="Q437" s="10"/>
      <c r="R437" s="33"/>
      <c r="S437" s="10"/>
      <c r="T437" s="33"/>
      <c r="U437" s="10"/>
      <c r="V437" s="10"/>
      <c r="W437" s="33"/>
      <c r="X437" s="10"/>
      <c r="Z437" s="1" t="str">
        <f t="shared" si="69"/>
        <v>REPLACEMENT SNAP RING</v>
      </c>
      <c r="AA437" t="str">
        <f t="shared" si="69"/>
        <v xml:space="preserve">KOM-VN9350 </v>
      </c>
      <c r="AB437" s="12">
        <f t="shared" si="71"/>
        <v>329.44041518208968</v>
      </c>
      <c r="AC437" s="11">
        <f t="shared" si="70"/>
        <v>1.5539642225570267</v>
      </c>
    </row>
    <row r="438" spans="2:29" x14ac:dyDescent="0.3">
      <c r="C438" s="1" t="s">
        <v>227</v>
      </c>
      <c r="D438" s="1">
        <v>251464</v>
      </c>
      <c r="E438" s="1">
        <v>11</v>
      </c>
      <c r="F438" s="1" t="s">
        <v>218</v>
      </c>
      <c r="G438" s="1" t="s">
        <v>94</v>
      </c>
      <c r="H438" s="1">
        <v>330</v>
      </c>
      <c r="I438" s="4"/>
      <c r="J438" s="5"/>
      <c r="K438" s="5"/>
      <c r="L438" s="5"/>
      <c r="M438" s="5"/>
      <c r="N438" s="5"/>
      <c r="O438" s="5"/>
      <c r="P438" s="5"/>
      <c r="Q438" s="10"/>
      <c r="R438" s="33"/>
      <c r="S438" s="10"/>
      <c r="T438" s="33"/>
      <c r="U438" s="10"/>
      <c r="V438" s="10"/>
      <c r="W438" s="33"/>
      <c r="X438" s="10"/>
      <c r="Z438" s="1" t="str">
        <f t="shared" si="69"/>
        <v>REPLACEMENT SNAP RING</v>
      </c>
      <c r="AA438" t="str">
        <f t="shared" si="69"/>
        <v>KOM-VN9353</v>
      </c>
      <c r="AB438" s="12">
        <f t="shared" si="71"/>
        <v>512.80819344381882</v>
      </c>
      <c r="AC438" s="11">
        <f t="shared" si="70"/>
        <v>1.5539642225570267</v>
      </c>
    </row>
    <row r="439" spans="2:29" x14ac:dyDescent="0.3">
      <c r="C439" s="1">
        <v>364125</v>
      </c>
      <c r="D439" s="1">
        <v>251545</v>
      </c>
      <c r="E439" s="1">
        <v>1</v>
      </c>
      <c r="F439" s="1" t="s">
        <v>560</v>
      </c>
      <c r="G439" s="1" t="s">
        <v>561</v>
      </c>
      <c r="H439" s="1">
        <v>70.23</v>
      </c>
      <c r="I439" s="4"/>
      <c r="J439" s="5"/>
      <c r="K439" s="5"/>
      <c r="L439" s="5"/>
      <c r="M439" s="5"/>
      <c r="N439" s="5"/>
      <c r="O439" s="5"/>
      <c r="P439" s="5"/>
      <c r="Q439" s="10"/>
      <c r="R439" s="33"/>
      <c r="S439" s="10"/>
      <c r="T439" s="33"/>
      <c r="U439" s="10"/>
      <c r="V439" s="10"/>
      <c r="W439" s="33"/>
      <c r="X439" s="10"/>
      <c r="Z439" s="1" t="str">
        <f t="shared" si="69"/>
        <v>SEAL KIT 170.00 X 3.250"</v>
      </c>
      <c r="AA439" t="str">
        <f t="shared" si="69"/>
        <v>CAT-4576093</v>
      </c>
      <c r="AB439" s="12">
        <f t="shared" si="71"/>
        <v>109.13490735018</v>
      </c>
      <c r="AC439" s="11">
        <f t="shared" si="70"/>
        <v>1.5539642225570269</v>
      </c>
    </row>
    <row r="440" spans="2:29" x14ac:dyDescent="0.3">
      <c r="C440" s="1">
        <v>364125</v>
      </c>
      <c r="D440" s="1">
        <v>251545</v>
      </c>
      <c r="E440" s="1">
        <v>4</v>
      </c>
      <c r="F440" s="1" t="s">
        <v>238</v>
      </c>
      <c r="G440" s="1" t="s">
        <v>141</v>
      </c>
      <c r="H440" s="1">
        <v>18</v>
      </c>
      <c r="I440" s="4"/>
      <c r="J440" s="5"/>
      <c r="K440" s="5"/>
      <c r="L440" s="5"/>
      <c r="M440" s="5"/>
      <c r="N440" s="5"/>
      <c r="O440" s="5"/>
      <c r="P440" s="5"/>
      <c r="Q440" s="10"/>
      <c r="R440" s="33"/>
      <c r="S440" s="10"/>
      <c r="T440" s="33"/>
      <c r="U440" s="10"/>
      <c r="V440" s="10"/>
      <c r="W440" s="33"/>
      <c r="X440" s="10"/>
      <c r="Z440" s="1" t="str">
        <f t="shared" si="69"/>
        <v>REPLACEMENT PIN WIPER</v>
      </c>
      <c r="AA440" t="str">
        <f t="shared" si="69"/>
        <v>CAT-7K9211</v>
      </c>
      <c r="AB440" s="12">
        <f t="shared" si="71"/>
        <v>27.971356006026483</v>
      </c>
      <c r="AC440" s="11">
        <f t="shared" si="70"/>
        <v>1.5539642225570267</v>
      </c>
    </row>
    <row r="441" spans="2:29" x14ac:dyDescent="0.3">
      <c r="C441" s="1">
        <v>364125</v>
      </c>
      <c r="D441" s="1">
        <v>251545</v>
      </c>
      <c r="E441" s="1">
        <v>1</v>
      </c>
      <c r="F441" s="1" t="s">
        <v>240</v>
      </c>
      <c r="G441" s="1" t="s">
        <v>562</v>
      </c>
      <c r="H441" s="1">
        <v>56.41</v>
      </c>
      <c r="I441" s="4"/>
      <c r="J441" s="5"/>
      <c r="K441" s="5"/>
      <c r="L441" s="5"/>
      <c r="M441" s="5"/>
      <c r="N441" s="5"/>
      <c r="O441" s="5"/>
      <c r="P441" s="5"/>
      <c r="Q441" s="10"/>
      <c r="R441" s="33"/>
      <c r="S441" s="10"/>
      <c r="T441" s="33"/>
      <c r="U441" s="10"/>
      <c r="V441" s="10"/>
      <c r="W441" s="33"/>
      <c r="X441" s="10"/>
      <c r="Z441" s="1" t="str">
        <f t="shared" si="69"/>
        <v>REPLACEMENT BEARING SLEEVE</v>
      </c>
      <c r="AA441" t="str">
        <f t="shared" si="69"/>
        <v>CAT-9J7099</v>
      </c>
      <c r="AB441" s="12">
        <f t="shared" si="71"/>
        <v>87.659121794441873</v>
      </c>
      <c r="AC441" s="11">
        <f t="shared" si="70"/>
        <v>1.5539642225570267</v>
      </c>
    </row>
    <row r="442" spans="2:29" x14ac:dyDescent="0.3">
      <c r="C442" s="1">
        <v>364125</v>
      </c>
      <c r="D442" s="1">
        <v>251545</v>
      </c>
      <c r="E442" s="1">
        <v>1</v>
      </c>
      <c r="F442" s="1" t="s">
        <v>329</v>
      </c>
      <c r="G442" s="1" t="s">
        <v>563</v>
      </c>
      <c r="H442" s="1">
        <v>125</v>
      </c>
      <c r="I442" s="4"/>
      <c r="J442" s="5"/>
      <c r="K442" s="5"/>
      <c r="L442" s="5"/>
      <c r="M442" s="5"/>
      <c r="N442" s="5"/>
      <c r="O442" s="5"/>
      <c r="P442" s="5"/>
      <c r="Q442" s="10"/>
      <c r="R442" s="33"/>
      <c r="S442" s="10"/>
      <c r="T442" s="33"/>
      <c r="U442" s="10"/>
      <c r="V442" s="10"/>
      <c r="W442" s="33"/>
      <c r="X442" s="10"/>
      <c r="Z442" s="1" t="str">
        <f t="shared" si="69"/>
        <v>REPLACEMENT CAT NUTS</v>
      </c>
      <c r="AA442" t="str">
        <f t="shared" si="69"/>
        <v>CAT-2J7686</v>
      </c>
      <c r="AB442" s="12">
        <f t="shared" si="71"/>
        <v>194.24552781962836</v>
      </c>
      <c r="AC442" s="11">
        <f t="shared" si="70"/>
        <v>1.5539642225570269</v>
      </c>
    </row>
    <row r="443" spans="2:29" x14ac:dyDescent="0.3">
      <c r="AB443" s="12"/>
      <c r="AC443" s="11"/>
    </row>
    <row r="444" spans="2:29" x14ac:dyDescent="0.3">
      <c r="B444" t="s">
        <v>564</v>
      </c>
      <c r="D444" s="1" t="s">
        <v>565</v>
      </c>
      <c r="E444" s="1">
        <v>8</v>
      </c>
      <c r="F444" s="1" t="s">
        <v>218</v>
      </c>
      <c r="G444" s="1" t="s">
        <v>566</v>
      </c>
      <c r="H444" s="19">
        <v>328</v>
      </c>
      <c r="I444" s="5">
        <v>2395756510</v>
      </c>
      <c r="J444" s="5">
        <f>68+68+60</f>
        <v>196</v>
      </c>
      <c r="K444" s="5">
        <f>18*18*18*2+18*18*15</f>
        <v>16524</v>
      </c>
      <c r="L444" s="9">
        <v>1350.98</v>
      </c>
      <c r="M444" s="6">
        <v>46042</v>
      </c>
      <c r="N444" s="6">
        <f>M444+5</f>
        <v>46047</v>
      </c>
      <c r="O444" s="10"/>
      <c r="P444" s="10"/>
      <c r="Q444" s="10"/>
      <c r="R444" s="10"/>
      <c r="S444" s="10"/>
      <c r="T444" s="10"/>
      <c r="U444" s="10"/>
      <c r="V444" s="10"/>
      <c r="W444" s="34" t="s">
        <v>567</v>
      </c>
      <c r="X444" s="35">
        <f>L444*0.75</f>
        <v>1013.235</v>
      </c>
      <c r="Z444" s="1" t="str">
        <f t="shared" si="69"/>
        <v>REPLACEMENT SNAP RING</v>
      </c>
      <c r="AA444" t="str">
        <f t="shared" si="69"/>
        <v>CAT-3402376</v>
      </c>
      <c r="AB444" s="12">
        <f>H444+($S$444+$U$444)*H444/SUM($H$444:$H$498)/3.74+$X$444*H444/SUM($H$444:$H$498)</f>
        <v>370.86927840689953</v>
      </c>
      <c r="AC444" s="11">
        <f>AB444/H444</f>
        <v>1.1306990195332303</v>
      </c>
    </row>
    <row r="445" spans="2:29" x14ac:dyDescent="0.3">
      <c r="B445" t="s">
        <v>564</v>
      </c>
      <c r="D445" s="1" t="s">
        <v>565</v>
      </c>
      <c r="E445" s="1">
        <v>2</v>
      </c>
      <c r="F445" s="1" t="s">
        <v>568</v>
      </c>
      <c r="G445" s="1" t="s">
        <v>569</v>
      </c>
      <c r="H445" s="1">
        <v>0.8</v>
      </c>
      <c r="I445" s="5"/>
      <c r="J445" s="5"/>
      <c r="K445" s="5"/>
      <c r="L445" s="5"/>
      <c r="M445" s="5"/>
      <c r="N445" s="5"/>
      <c r="O445" s="10"/>
      <c r="P445" s="10"/>
      <c r="Q445" s="10"/>
      <c r="R445" s="10"/>
      <c r="S445" s="10"/>
      <c r="T445" s="10"/>
      <c r="U445" s="10"/>
      <c r="V445" s="10"/>
      <c r="W445" s="34"/>
      <c r="X445" s="35"/>
      <c r="Z445" s="1" t="str">
        <f t="shared" si="69"/>
        <v>REPLACEMENT CHROME BALL</v>
      </c>
      <c r="AA445" t="str">
        <f t="shared" si="69"/>
        <v xml:space="preserve">CAT-4B9786 </v>
      </c>
      <c r="AB445" s="12">
        <f t="shared" ref="AB445:AB498" si="72">H445+($S$444+$U$444)*H445/SUM($H$444:$H$498)/3.74+$X$444*H445/SUM($H$444:$H$498)</f>
        <v>0.90455921562658426</v>
      </c>
      <c r="AC445" s="11">
        <f t="shared" ref="AC445:AC498" si="73">AB445/H445</f>
        <v>1.1306990195332303</v>
      </c>
    </row>
    <row r="446" spans="2:29" x14ac:dyDescent="0.3">
      <c r="B446" t="s">
        <v>564</v>
      </c>
      <c r="D446" s="1" t="s">
        <v>565</v>
      </c>
      <c r="E446" s="1">
        <v>6</v>
      </c>
      <c r="F446" s="1" t="s">
        <v>224</v>
      </c>
      <c r="G446" s="1" t="s">
        <v>225</v>
      </c>
      <c r="H446" s="1">
        <v>390</v>
      </c>
      <c r="I446" s="5"/>
      <c r="J446" s="5"/>
      <c r="K446" s="5"/>
      <c r="L446" s="5"/>
      <c r="M446" s="5"/>
      <c r="N446" s="5"/>
      <c r="O446" s="10"/>
      <c r="P446" s="10"/>
      <c r="Q446" s="10"/>
      <c r="R446" s="10"/>
      <c r="S446" s="10"/>
      <c r="T446" s="10"/>
      <c r="U446" s="10"/>
      <c r="V446" s="10"/>
      <c r="W446" s="34"/>
      <c r="X446" s="35"/>
      <c r="Z446" s="1" t="str">
        <f t="shared" si="69"/>
        <v>REPLACEMENT VALVE ASSEMBLY</v>
      </c>
      <c r="AA446" t="str">
        <f t="shared" si="69"/>
        <v>CAT-4402667</v>
      </c>
      <c r="AB446" s="12">
        <f t="shared" si="72"/>
        <v>440.97261761795983</v>
      </c>
      <c r="AC446" s="11">
        <f t="shared" si="73"/>
        <v>1.1306990195332303</v>
      </c>
    </row>
    <row r="447" spans="2:29" x14ac:dyDescent="0.3">
      <c r="B447" t="s">
        <v>564</v>
      </c>
      <c r="D447" s="1" t="s">
        <v>565</v>
      </c>
      <c r="E447" s="1">
        <v>4</v>
      </c>
      <c r="F447" s="1" t="s">
        <v>444</v>
      </c>
      <c r="G447" s="1" t="s">
        <v>570</v>
      </c>
      <c r="H447" s="1">
        <v>1.2</v>
      </c>
      <c r="I447" s="5"/>
      <c r="J447" s="5"/>
      <c r="K447" s="5"/>
      <c r="L447" s="5"/>
      <c r="M447" s="5"/>
      <c r="N447" s="5"/>
      <c r="O447" s="10"/>
      <c r="P447" s="10"/>
      <c r="Q447" s="10"/>
      <c r="R447" s="10"/>
      <c r="S447" s="10"/>
      <c r="T447" s="10"/>
      <c r="U447" s="10"/>
      <c r="V447" s="10"/>
      <c r="W447" s="34"/>
      <c r="X447" s="35"/>
      <c r="Z447" s="1" t="str">
        <f t="shared" si="69"/>
        <v>REPLACEMENT O'RING</v>
      </c>
      <c r="AA447" t="str">
        <f t="shared" si="69"/>
        <v>CAT-5P0840</v>
      </c>
      <c r="AB447" s="12">
        <f t="shared" si="72"/>
        <v>1.3568388234398763</v>
      </c>
      <c r="AC447" s="11">
        <f t="shared" si="73"/>
        <v>1.1306990195332303</v>
      </c>
    </row>
    <row r="448" spans="2:29" x14ac:dyDescent="0.3">
      <c r="B448" t="s">
        <v>564</v>
      </c>
      <c r="D448" s="1" t="s">
        <v>565</v>
      </c>
      <c r="E448" s="1">
        <v>2</v>
      </c>
      <c r="F448" s="1" t="s">
        <v>444</v>
      </c>
      <c r="G448" s="1" t="s">
        <v>571</v>
      </c>
      <c r="H448" s="1">
        <v>3.42</v>
      </c>
      <c r="I448" s="5"/>
      <c r="J448" s="5"/>
      <c r="K448" s="5"/>
      <c r="L448" s="5"/>
      <c r="M448" s="5"/>
      <c r="N448" s="5"/>
      <c r="O448" s="10"/>
      <c r="P448" s="10"/>
      <c r="Q448" s="10"/>
      <c r="R448" s="10"/>
      <c r="S448" s="10"/>
      <c r="T448" s="10"/>
      <c r="U448" s="10"/>
      <c r="V448" s="10"/>
      <c r="W448" s="34"/>
      <c r="X448" s="35"/>
      <c r="Z448" s="1" t="str">
        <f t="shared" si="69"/>
        <v>REPLACEMENT O'RING</v>
      </c>
      <c r="AA448" t="str">
        <f t="shared" si="69"/>
        <v>CAT-1143361</v>
      </c>
      <c r="AB448" s="12">
        <f t="shared" si="72"/>
        <v>3.8669906468036475</v>
      </c>
      <c r="AC448" s="11">
        <f t="shared" si="73"/>
        <v>1.1306990195332303</v>
      </c>
    </row>
    <row r="449" spans="2:29" x14ac:dyDescent="0.3">
      <c r="B449" t="s">
        <v>564</v>
      </c>
      <c r="D449" s="1" t="s">
        <v>565</v>
      </c>
      <c r="E449" s="1">
        <v>2</v>
      </c>
      <c r="F449" s="1" t="s">
        <v>444</v>
      </c>
      <c r="G449" s="1" t="s">
        <v>572</v>
      </c>
      <c r="H449" s="1">
        <v>0.52</v>
      </c>
      <c r="I449" s="5"/>
      <c r="J449" s="5"/>
      <c r="K449" s="5"/>
      <c r="L449" s="5"/>
      <c r="M449" s="5"/>
      <c r="N449" s="5"/>
      <c r="O449" s="10"/>
      <c r="P449" s="10"/>
      <c r="Q449" s="10"/>
      <c r="R449" s="10"/>
      <c r="S449" s="10"/>
      <c r="T449" s="10"/>
      <c r="U449" s="10"/>
      <c r="V449" s="10"/>
      <c r="W449" s="34"/>
      <c r="X449" s="35"/>
      <c r="Z449" s="1" t="str">
        <f t="shared" si="69"/>
        <v>REPLACEMENT O'RING</v>
      </c>
      <c r="AA449" t="str">
        <f t="shared" si="69"/>
        <v>CAT-0336039</v>
      </c>
      <c r="AB449" s="12">
        <f t="shared" si="72"/>
        <v>0.58796349015727978</v>
      </c>
      <c r="AC449" s="11">
        <f t="shared" si="73"/>
        <v>1.1306990195332303</v>
      </c>
    </row>
    <row r="450" spans="2:29" x14ac:dyDescent="0.3">
      <c r="B450" t="s">
        <v>564</v>
      </c>
      <c r="D450" s="1" t="s">
        <v>565</v>
      </c>
      <c r="E450" s="1">
        <v>8</v>
      </c>
      <c r="F450" s="1" t="s">
        <v>306</v>
      </c>
      <c r="G450" s="1" t="s">
        <v>84</v>
      </c>
      <c r="H450" s="1">
        <v>148.08000000000001</v>
      </c>
      <c r="I450" s="5"/>
      <c r="J450" s="5"/>
      <c r="K450" s="5"/>
      <c r="L450" s="5"/>
      <c r="M450" s="5"/>
      <c r="N450" s="5"/>
      <c r="O450" s="10"/>
      <c r="P450" s="10"/>
      <c r="Q450" s="10"/>
      <c r="R450" s="10"/>
      <c r="S450" s="10"/>
      <c r="T450" s="10"/>
      <c r="U450" s="10"/>
      <c r="V450" s="10"/>
      <c r="W450" s="34"/>
      <c r="X450" s="35"/>
      <c r="Z450" s="1" t="str">
        <f t="shared" si="69"/>
        <v>KOMATSU REPLACEMENT PART</v>
      </c>
      <c r="AA450" t="str">
        <f t="shared" si="69"/>
        <v>KOM-TY8879</v>
      </c>
      <c r="AB450" s="12">
        <f t="shared" si="72"/>
        <v>167.43391081248075</v>
      </c>
      <c r="AC450" s="11">
        <f t="shared" si="73"/>
        <v>1.1306990195332303</v>
      </c>
    </row>
    <row r="451" spans="2:29" x14ac:dyDescent="0.3">
      <c r="B451" t="s">
        <v>564</v>
      </c>
      <c r="D451" s="1" t="s">
        <v>565</v>
      </c>
      <c r="E451" s="1">
        <v>3</v>
      </c>
      <c r="F451" s="1" t="s">
        <v>218</v>
      </c>
      <c r="G451" s="1" t="s">
        <v>80</v>
      </c>
      <c r="H451" s="1">
        <v>75</v>
      </c>
      <c r="I451" s="5"/>
      <c r="J451" s="5"/>
      <c r="K451" s="5"/>
      <c r="L451" s="5"/>
      <c r="M451" s="5"/>
      <c r="N451" s="5"/>
      <c r="O451" s="10"/>
      <c r="P451" s="10"/>
      <c r="Q451" s="10"/>
      <c r="R451" s="10"/>
      <c r="S451" s="10"/>
      <c r="T451" s="10"/>
      <c r="U451" s="10"/>
      <c r="V451" s="10"/>
      <c r="W451" s="34"/>
      <c r="X451" s="35"/>
      <c r="Z451" s="1" t="str">
        <f t="shared" si="69"/>
        <v>REPLACEMENT SNAP RING</v>
      </c>
      <c r="AA451" t="str">
        <f t="shared" si="69"/>
        <v>KOM-SV5921</v>
      </c>
      <c r="AB451" s="12">
        <f t="shared" si="72"/>
        <v>84.802426464992266</v>
      </c>
      <c r="AC451" s="11">
        <f t="shared" si="73"/>
        <v>1.1306990195332303</v>
      </c>
    </row>
    <row r="452" spans="2:29" x14ac:dyDescent="0.3">
      <c r="B452" t="s">
        <v>564</v>
      </c>
      <c r="D452" s="1" t="s">
        <v>565</v>
      </c>
      <c r="E452" s="1">
        <v>2</v>
      </c>
      <c r="F452" s="1" t="s">
        <v>218</v>
      </c>
      <c r="G452" s="1" t="s">
        <v>410</v>
      </c>
      <c r="H452" s="1">
        <v>9.8800000000000008</v>
      </c>
      <c r="I452" s="5"/>
      <c r="J452" s="5"/>
      <c r="K452" s="5"/>
      <c r="L452" s="5"/>
      <c r="M452" s="5"/>
      <c r="N452" s="5"/>
      <c r="O452" s="10"/>
      <c r="P452" s="10"/>
      <c r="Q452" s="10"/>
      <c r="R452" s="10"/>
      <c r="S452" s="10"/>
      <c r="T452" s="10"/>
      <c r="U452" s="10"/>
      <c r="V452" s="10"/>
      <c r="W452" s="34"/>
      <c r="X452" s="35"/>
      <c r="Z452" s="1" t="str">
        <f t="shared" si="69"/>
        <v>REPLACEMENT SNAP RING</v>
      </c>
      <c r="AA452" t="str">
        <f t="shared" si="69"/>
        <v>CAT-5334824</v>
      </c>
      <c r="AB452" s="12">
        <f t="shared" si="72"/>
        <v>11.171306312988316</v>
      </c>
      <c r="AC452" s="11">
        <f t="shared" si="73"/>
        <v>1.1306990195332303</v>
      </c>
    </row>
    <row r="453" spans="2:29" x14ac:dyDescent="0.3">
      <c r="B453" t="s">
        <v>564</v>
      </c>
      <c r="D453" s="1" t="s">
        <v>565</v>
      </c>
      <c r="E453" s="1">
        <v>2</v>
      </c>
      <c r="F453" s="1" t="s">
        <v>329</v>
      </c>
      <c r="G453" s="1" t="s">
        <v>360</v>
      </c>
      <c r="H453" s="1">
        <v>132.12</v>
      </c>
      <c r="I453" s="5"/>
      <c r="J453" s="5"/>
      <c r="K453" s="5"/>
      <c r="L453" s="5"/>
      <c r="M453" s="5"/>
      <c r="N453" s="5"/>
      <c r="O453" s="10"/>
      <c r="P453" s="10"/>
      <c r="Q453" s="10"/>
      <c r="R453" s="10"/>
      <c r="S453" s="10"/>
      <c r="T453" s="10"/>
      <c r="U453" s="10"/>
      <c r="V453" s="10"/>
      <c r="W453" s="34"/>
      <c r="X453" s="35"/>
      <c r="Z453" s="1" t="str">
        <f t="shared" si="69"/>
        <v>REPLACEMENT CAT NUTS</v>
      </c>
      <c r="AA453" t="str">
        <f t="shared" si="69"/>
        <v>CAT-3J6899</v>
      </c>
      <c r="AB453" s="12">
        <f t="shared" si="72"/>
        <v>149.38795446073038</v>
      </c>
      <c r="AC453" s="11">
        <f t="shared" si="73"/>
        <v>1.1306990195332303</v>
      </c>
    </row>
    <row r="454" spans="2:29" x14ac:dyDescent="0.3">
      <c r="B454" t="s">
        <v>564</v>
      </c>
      <c r="D454" s="1" t="s">
        <v>565</v>
      </c>
      <c r="E454" s="1">
        <v>1</v>
      </c>
      <c r="F454" s="1" t="s">
        <v>240</v>
      </c>
      <c r="G454" s="1" t="s">
        <v>293</v>
      </c>
      <c r="H454" s="1">
        <v>25.32</v>
      </c>
      <c r="I454" s="5"/>
      <c r="J454" s="5"/>
      <c r="K454" s="5"/>
      <c r="L454" s="5"/>
      <c r="M454" s="5"/>
      <c r="N454" s="5"/>
      <c r="O454" s="10"/>
      <c r="P454" s="10"/>
      <c r="Q454" s="10"/>
      <c r="R454" s="10"/>
      <c r="S454" s="10"/>
      <c r="T454" s="10"/>
      <c r="U454" s="10"/>
      <c r="V454" s="10"/>
      <c r="W454" s="34"/>
      <c r="X454" s="35"/>
      <c r="Z454" s="1" t="str">
        <f t="shared" si="69"/>
        <v>REPLACEMENT BEARING SLEEVE</v>
      </c>
      <c r="AA454" t="str">
        <f t="shared" si="69"/>
        <v>CAT-2K4507</v>
      </c>
      <c r="AB454" s="12">
        <f t="shared" si="72"/>
        <v>28.629299174581391</v>
      </c>
      <c r="AC454" s="11">
        <f t="shared" si="73"/>
        <v>1.1306990195332303</v>
      </c>
    </row>
    <row r="455" spans="2:29" x14ac:dyDescent="0.3">
      <c r="B455" t="s">
        <v>564</v>
      </c>
      <c r="D455" s="1" t="s">
        <v>565</v>
      </c>
      <c r="E455" s="1">
        <v>1</v>
      </c>
      <c r="F455" s="1" t="s">
        <v>361</v>
      </c>
      <c r="G455" s="1" t="s">
        <v>411</v>
      </c>
      <c r="H455" s="1">
        <v>86</v>
      </c>
      <c r="I455" s="5"/>
      <c r="J455" s="5"/>
      <c r="K455" s="5"/>
      <c r="L455" s="5"/>
      <c r="M455" s="5"/>
      <c r="N455" s="5"/>
      <c r="O455" s="10"/>
      <c r="P455" s="10"/>
      <c r="Q455" s="10"/>
      <c r="R455" s="10"/>
      <c r="S455" s="10"/>
      <c r="T455" s="10"/>
      <c r="U455" s="10"/>
      <c r="V455" s="10"/>
      <c r="W455" s="34"/>
      <c r="X455" s="35"/>
      <c r="Z455" s="1" t="str">
        <f t="shared" si="69"/>
        <v>793 STEERING SEAL KIT</v>
      </c>
      <c r="AA455" t="str">
        <f t="shared" si="69"/>
        <v>CAT-3234199</v>
      </c>
      <c r="AB455" s="12">
        <f t="shared" si="72"/>
        <v>97.240115679857809</v>
      </c>
      <c r="AC455" s="11">
        <f t="shared" si="73"/>
        <v>1.1306990195332303</v>
      </c>
    </row>
    <row r="456" spans="2:29" x14ac:dyDescent="0.3">
      <c r="B456" t="s">
        <v>564</v>
      </c>
      <c r="D456" s="1" t="s">
        <v>565</v>
      </c>
      <c r="E456" s="1">
        <v>1</v>
      </c>
      <c r="F456" s="1" t="s">
        <v>573</v>
      </c>
      <c r="G456" s="1" t="s">
        <v>574</v>
      </c>
      <c r="H456" s="1">
        <v>678.5</v>
      </c>
      <c r="I456" s="5"/>
      <c r="J456" s="5"/>
      <c r="K456" s="5"/>
      <c r="L456" s="5"/>
      <c r="M456" s="5"/>
      <c r="N456" s="5"/>
      <c r="O456" s="10"/>
      <c r="P456" s="10"/>
      <c r="Q456" s="10"/>
      <c r="R456" s="10"/>
      <c r="S456" s="10"/>
      <c r="T456" s="10"/>
      <c r="U456" s="10"/>
      <c r="V456" s="10"/>
      <c r="W456" s="34"/>
      <c r="X456" s="35"/>
      <c r="Z456" s="1" t="str">
        <f t="shared" si="69"/>
        <v>HD1500-5 HOIST SEAL KIT</v>
      </c>
      <c r="AA456" t="str">
        <f t="shared" si="69"/>
        <v>KOM-AK4955</v>
      </c>
      <c r="AB456" s="12">
        <f t="shared" si="72"/>
        <v>767.17928475329677</v>
      </c>
      <c r="AC456" s="11">
        <f t="shared" si="73"/>
        <v>1.1306990195332303</v>
      </c>
    </row>
    <row r="457" spans="2:29" x14ac:dyDescent="0.3">
      <c r="B457" t="s">
        <v>564</v>
      </c>
      <c r="D457" s="1" t="s">
        <v>565</v>
      </c>
      <c r="E457" s="1">
        <v>2</v>
      </c>
      <c r="F457" s="1" t="s">
        <v>575</v>
      </c>
      <c r="G457" s="1" t="s">
        <v>576</v>
      </c>
      <c r="H457" s="1">
        <v>732.44</v>
      </c>
      <c r="I457" s="5"/>
      <c r="J457" s="5"/>
      <c r="K457" s="5"/>
      <c r="L457" s="5"/>
      <c r="M457" s="5"/>
      <c r="N457" s="5"/>
      <c r="O457" s="10"/>
      <c r="P457" s="10"/>
      <c r="Q457" s="10"/>
      <c r="R457" s="10"/>
      <c r="S457" s="10"/>
      <c r="T457" s="10"/>
      <c r="U457" s="10"/>
      <c r="V457" s="10"/>
      <c r="W457" s="34"/>
      <c r="X457" s="35"/>
      <c r="Z457" s="1" t="str">
        <f t="shared" si="69"/>
        <v>793 REAR SUSPESION SEAL KIT</v>
      </c>
      <c r="AA457" t="str">
        <f t="shared" si="69"/>
        <v>CAT-3802688</v>
      </c>
      <c r="AB457" s="12">
        <f t="shared" si="72"/>
        <v>828.16918986691917</v>
      </c>
      <c r="AC457" s="11">
        <f t="shared" si="73"/>
        <v>1.1306990195332303</v>
      </c>
    </row>
    <row r="458" spans="2:29" x14ac:dyDescent="0.3">
      <c r="B458" t="s">
        <v>577</v>
      </c>
      <c r="D458" s="1">
        <v>251464</v>
      </c>
      <c r="E458" s="1">
        <v>5</v>
      </c>
      <c r="F458" s="1" t="s">
        <v>306</v>
      </c>
      <c r="G458" s="1" t="s">
        <v>84</v>
      </c>
      <c r="H458" s="1">
        <v>92.55</v>
      </c>
      <c r="I458" s="5"/>
      <c r="J458" s="5"/>
      <c r="K458" s="5"/>
      <c r="L458" s="5"/>
      <c r="M458" s="5"/>
      <c r="N458" s="5"/>
      <c r="O458" s="10"/>
      <c r="P458" s="10"/>
      <c r="Q458" s="10"/>
      <c r="R458" s="10"/>
      <c r="S458" s="10"/>
      <c r="T458" s="10"/>
      <c r="U458" s="10"/>
      <c r="V458" s="10"/>
      <c r="W458" s="34"/>
      <c r="X458" s="35"/>
      <c r="Z458" s="1" t="str">
        <f t="shared" si="69"/>
        <v>KOMATSU REPLACEMENT PART</v>
      </c>
      <c r="AA458" t="str">
        <f t="shared" si="69"/>
        <v>KOM-TY8879</v>
      </c>
      <c r="AB458" s="12">
        <f t="shared" si="72"/>
        <v>104.64619425780046</v>
      </c>
      <c r="AC458" s="11">
        <f t="shared" si="73"/>
        <v>1.1306990195332303</v>
      </c>
    </row>
    <row r="459" spans="2:29" x14ac:dyDescent="0.3">
      <c r="B459" t="s">
        <v>578</v>
      </c>
      <c r="D459" s="1">
        <v>251570</v>
      </c>
      <c r="E459" s="1">
        <v>1</v>
      </c>
      <c r="F459" s="1" t="s">
        <v>579</v>
      </c>
      <c r="G459" s="1" t="s">
        <v>119</v>
      </c>
      <c r="H459" s="1">
        <v>100</v>
      </c>
      <c r="I459" s="5"/>
      <c r="J459" s="5"/>
      <c r="K459" s="5"/>
      <c r="L459" s="5"/>
      <c r="M459" s="5"/>
      <c r="N459" s="5"/>
      <c r="O459" s="10"/>
      <c r="P459" s="10"/>
      <c r="Q459" s="10"/>
      <c r="R459" s="10"/>
      <c r="S459" s="10"/>
      <c r="T459" s="10"/>
      <c r="U459" s="10"/>
      <c r="V459" s="10"/>
      <c r="W459" s="34"/>
      <c r="X459" s="35"/>
      <c r="Z459" s="1" t="str">
        <f t="shared" si="69"/>
        <v>SEAL KIT 180.00 X 110.00MM.</v>
      </c>
      <c r="AA459" t="str">
        <f t="shared" si="69"/>
        <v>KOM-707/99/67640</v>
      </c>
      <c r="AB459" s="12">
        <f t="shared" si="72"/>
        <v>113.06990195332303</v>
      </c>
      <c r="AC459" s="11">
        <f t="shared" si="73"/>
        <v>1.1306990195332303</v>
      </c>
    </row>
    <row r="460" spans="2:29" x14ac:dyDescent="0.3">
      <c r="B460" t="s">
        <v>580</v>
      </c>
      <c r="D460" s="1" t="s">
        <v>581</v>
      </c>
      <c r="E460" s="1">
        <v>1</v>
      </c>
      <c r="F460" s="1" t="s">
        <v>582</v>
      </c>
      <c r="G460" s="1" t="s">
        <v>583</v>
      </c>
      <c r="H460" s="1">
        <v>71.34</v>
      </c>
      <c r="I460" s="5"/>
      <c r="J460" s="5"/>
      <c r="K460" s="5"/>
      <c r="L460" s="5"/>
      <c r="M460" s="5"/>
      <c r="N460" s="5"/>
      <c r="O460" s="10"/>
      <c r="P460" s="10"/>
      <c r="Q460" s="10"/>
      <c r="R460" s="10"/>
      <c r="S460" s="10"/>
      <c r="T460" s="10"/>
      <c r="U460" s="10"/>
      <c r="V460" s="10"/>
      <c r="W460" s="34"/>
      <c r="X460" s="35"/>
      <c r="Z460" s="1" t="str">
        <f t="shared" si="69"/>
        <v>SEAL KIT 160.00 X 110.00MM</v>
      </c>
      <c r="AA460" t="str">
        <f t="shared" si="69"/>
        <v>CAT-3338750</v>
      </c>
      <c r="AB460" s="12">
        <f t="shared" si="72"/>
        <v>80.664068053500642</v>
      </c>
      <c r="AC460" s="11">
        <f t="shared" si="73"/>
        <v>1.13069901953323</v>
      </c>
    </row>
    <row r="461" spans="2:29" x14ac:dyDescent="0.3">
      <c r="B461" t="s">
        <v>580</v>
      </c>
      <c r="D461" s="1" t="s">
        <v>581</v>
      </c>
      <c r="E461" s="1">
        <v>1</v>
      </c>
      <c r="F461" s="1" t="s">
        <v>298</v>
      </c>
      <c r="G461" s="1" t="s">
        <v>584</v>
      </c>
      <c r="H461" s="1">
        <v>12.15</v>
      </c>
      <c r="I461" s="5"/>
      <c r="J461" s="5"/>
      <c r="K461" s="5"/>
      <c r="L461" s="5"/>
      <c r="M461" s="5"/>
      <c r="N461" s="5"/>
      <c r="O461" s="10"/>
      <c r="P461" s="10"/>
      <c r="Q461" s="10"/>
      <c r="R461" s="10"/>
      <c r="S461" s="10"/>
      <c r="T461" s="10"/>
      <c r="U461" s="10"/>
      <c r="V461" s="10"/>
      <c r="W461" s="34"/>
      <c r="X461" s="35"/>
      <c r="Z461" s="1" t="str">
        <f t="shared" si="69"/>
        <v>REPLACEMENT ROD BEARING</v>
      </c>
      <c r="AA461" t="str">
        <f t="shared" si="69"/>
        <v>CAT-1140762</v>
      </c>
      <c r="AB461" s="12">
        <f t="shared" si="72"/>
        <v>13.737993087328748</v>
      </c>
      <c r="AC461" s="11">
        <f t="shared" si="73"/>
        <v>1.1306990195332303</v>
      </c>
    </row>
    <row r="462" spans="2:29" x14ac:dyDescent="0.3">
      <c r="B462" t="s">
        <v>580</v>
      </c>
      <c r="D462" s="1" t="s">
        <v>581</v>
      </c>
      <c r="E462" s="1">
        <v>2</v>
      </c>
      <c r="F462" s="1" t="s">
        <v>585</v>
      </c>
      <c r="G462" s="1" t="s">
        <v>586</v>
      </c>
      <c r="H462" s="1">
        <v>21.5</v>
      </c>
      <c r="I462" s="5"/>
      <c r="J462" s="5"/>
      <c r="K462" s="5"/>
      <c r="L462" s="5"/>
      <c r="M462" s="5"/>
      <c r="N462" s="5"/>
      <c r="O462" s="10"/>
      <c r="P462" s="10"/>
      <c r="Q462" s="10"/>
      <c r="R462" s="10"/>
      <c r="S462" s="10"/>
      <c r="T462" s="10"/>
      <c r="U462" s="10"/>
      <c r="V462" s="10"/>
      <c r="W462" s="34"/>
      <c r="X462" s="35"/>
      <c r="Z462" s="1" t="str">
        <f t="shared" si="69"/>
        <v>90.00MM. - PIN SEAL</v>
      </c>
      <c r="AA462" t="str">
        <f t="shared" si="69"/>
        <v>CAT-7X4803</v>
      </c>
      <c r="AB462" s="12">
        <f t="shared" si="72"/>
        <v>24.310028919964452</v>
      </c>
      <c r="AC462" s="11">
        <f t="shared" si="73"/>
        <v>1.1306990195332303</v>
      </c>
    </row>
    <row r="463" spans="2:29" x14ac:dyDescent="0.3">
      <c r="B463" t="s">
        <v>580</v>
      </c>
      <c r="D463" s="1" t="s">
        <v>581</v>
      </c>
      <c r="E463" s="1">
        <v>2</v>
      </c>
      <c r="F463" s="1" t="s">
        <v>325</v>
      </c>
      <c r="G463" s="1" t="s">
        <v>326</v>
      </c>
      <c r="H463" s="1">
        <v>17</v>
      </c>
      <c r="I463" s="5"/>
      <c r="J463" s="5"/>
      <c r="K463" s="5"/>
      <c r="L463" s="5"/>
      <c r="M463" s="5"/>
      <c r="N463" s="5"/>
      <c r="O463" s="10"/>
      <c r="P463" s="10"/>
      <c r="Q463" s="10"/>
      <c r="R463" s="10"/>
      <c r="S463" s="10"/>
      <c r="T463" s="10"/>
      <c r="U463" s="10"/>
      <c r="V463" s="10"/>
      <c r="W463" s="34"/>
      <c r="X463" s="35"/>
      <c r="Z463" s="1" t="str">
        <f t="shared" si="69"/>
        <v>100.00MM - ROD WIPER</v>
      </c>
      <c r="AA463" t="str">
        <f t="shared" si="69"/>
        <v>CAT-9X4597</v>
      </c>
      <c r="AB463" s="12">
        <f t="shared" si="72"/>
        <v>19.221883332064913</v>
      </c>
      <c r="AC463" s="11">
        <f t="shared" si="73"/>
        <v>1.13069901953323</v>
      </c>
    </row>
    <row r="464" spans="2:29" x14ac:dyDescent="0.3">
      <c r="B464" t="s">
        <v>580</v>
      </c>
      <c r="D464" s="1" t="s">
        <v>581</v>
      </c>
      <c r="E464" s="1">
        <v>2</v>
      </c>
      <c r="F464" s="1" t="s">
        <v>218</v>
      </c>
      <c r="G464" s="1" t="s">
        <v>559</v>
      </c>
      <c r="H464" s="1">
        <v>42.4</v>
      </c>
      <c r="I464" s="5"/>
      <c r="J464" s="5"/>
      <c r="K464" s="5"/>
      <c r="L464" s="5"/>
      <c r="M464" s="5"/>
      <c r="N464" s="5"/>
      <c r="O464" s="10"/>
      <c r="P464" s="10"/>
      <c r="Q464" s="10"/>
      <c r="R464" s="10"/>
      <c r="S464" s="10"/>
      <c r="T464" s="10"/>
      <c r="U464" s="10"/>
      <c r="V464" s="10"/>
      <c r="W464" s="34"/>
      <c r="X464" s="35"/>
      <c r="Z464" s="1" t="str">
        <f t="shared" si="69"/>
        <v>REPLACEMENT SNAP RING</v>
      </c>
      <c r="AA464" t="str">
        <f t="shared" si="69"/>
        <v xml:space="preserve">KOM-VN9350 </v>
      </c>
      <c r="AB464" s="12">
        <f t="shared" si="72"/>
        <v>47.941638428208961</v>
      </c>
      <c r="AC464" s="11">
        <f t="shared" si="73"/>
        <v>1.1306990195332303</v>
      </c>
    </row>
    <row r="465" spans="2:29" x14ac:dyDescent="0.3">
      <c r="B465" t="s">
        <v>580</v>
      </c>
      <c r="D465" s="1" t="s">
        <v>581</v>
      </c>
      <c r="E465" s="1">
        <v>2</v>
      </c>
      <c r="F465" s="1" t="s">
        <v>218</v>
      </c>
      <c r="G465" s="1" t="s">
        <v>94</v>
      </c>
      <c r="H465" s="1">
        <v>60</v>
      </c>
      <c r="I465" s="5"/>
      <c r="J465" s="5"/>
      <c r="K465" s="5"/>
      <c r="L465" s="5"/>
      <c r="M465" s="5"/>
      <c r="N465" s="5"/>
      <c r="O465" s="10"/>
      <c r="P465" s="10"/>
      <c r="Q465" s="10"/>
      <c r="R465" s="10"/>
      <c r="S465" s="10"/>
      <c r="T465" s="10"/>
      <c r="U465" s="10"/>
      <c r="V465" s="10"/>
      <c r="W465" s="34"/>
      <c r="X465" s="35"/>
      <c r="Z465" s="1" t="str">
        <f t="shared" si="69"/>
        <v>REPLACEMENT SNAP RING</v>
      </c>
      <c r="AA465" t="str">
        <f t="shared" si="69"/>
        <v>KOM-VN9353</v>
      </c>
      <c r="AB465" s="12">
        <f t="shared" si="72"/>
        <v>67.84194117199381</v>
      </c>
      <c r="AC465" s="11">
        <f t="shared" si="73"/>
        <v>1.1306990195332303</v>
      </c>
    </row>
    <row r="466" spans="2:29" x14ac:dyDescent="0.3">
      <c r="B466" t="s">
        <v>580</v>
      </c>
      <c r="D466" s="1" t="s">
        <v>581</v>
      </c>
      <c r="E466" s="1">
        <v>2</v>
      </c>
      <c r="F466" s="1" t="s">
        <v>218</v>
      </c>
      <c r="G466" s="1" t="s">
        <v>90</v>
      </c>
      <c r="H466" s="1">
        <v>42.4</v>
      </c>
      <c r="I466" s="5"/>
      <c r="J466" s="5"/>
      <c r="K466" s="5"/>
      <c r="L466" s="5"/>
      <c r="M466" s="5"/>
      <c r="N466" s="5"/>
      <c r="O466" s="10"/>
      <c r="P466" s="10"/>
      <c r="Q466" s="10"/>
      <c r="R466" s="10"/>
      <c r="S466" s="10"/>
      <c r="T466" s="10"/>
      <c r="U466" s="10"/>
      <c r="V466" s="10"/>
      <c r="W466" s="34"/>
      <c r="X466" s="35"/>
      <c r="Z466" s="1" t="str">
        <f t="shared" si="69"/>
        <v>REPLACEMENT SNAP RING</v>
      </c>
      <c r="AA466" t="str">
        <f t="shared" si="69"/>
        <v>KOM-VN9350</v>
      </c>
      <c r="AB466" s="12">
        <f t="shared" si="72"/>
        <v>47.941638428208961</v>
      </c>
      <c r="AC466" s="11">
        <f t="shared" si="73"/>
        <v>1.1306990195332303</v>
      </c>
    </row>
    <row r="467" spans="2:29" x14ac:dyDescent="0.3">
      <c r="B467" t="s">
        <v>580</v>
      </c>
      <c r="D467" s="1" t="s">
        <v>581</v>
      </c>
      <c r="E467" s="1">
        <v>2</v>
      </c>
      <c r="F467" s="1" t="s">
        <v>218</v>
      </c>
      <c r="G467" s="1" t="s">
        <v>94</v>
      </c>
      <c r="H467" s="1">
        <v>60</v>
      </c>
      <c r="I467" s="5"/>
      <c r="J467" s="5"/>
      <c r="K467" s="5"/>
      <c r="L467" s="5"/>
      <c r="M467" s="5"/>
      <c r="N467" s="5"/>
      <c r="O467" s="10"/>
      <c r="P467" s="10"/>
      <c r="Q467" s="10"/>
      <c r="R467" s="10"/>
      <c r="S467" s="10"/>
      <c r="T467" s="10"/>
      <c r="U467" s="10"/>
      <c r="V467" s="10"/>
      <c r="W467" s="34"/>
      <c r="X467" s="35"/>
      <c r="Z467" s="1" t="str">
        <f t="shared" si="69"/>
        <v>REPLACEMENT SNAP RING</v>
      </c>
      <c r="AA467" t="str">
        <f t="shared" si="69"/>
        <v>KOM-VN9353</v>
      </c>
      <c r="AB467" s="12">
        <f t="shared" si="72"/>
        <v>67.84194117199381</v>
      </c>
      <c r="AC467" s="11">
        <f t="shared" si="73"/>
        <v>1.1306990195332303</v>
      </c>
    </row>
    <row r="468" spans="2:29" x14ac:dyDescent="0.3">
      <c r="B468" t="s">
        <v>580</v>
      </c>
      <c r="D468" s="1" t="s">
        <v>581</v>
      </c>
      <c r="E468" s="1">
        <v>4</v>
      </c>
      <c r="F468" s="1" t="s">
        <v>587</v>
      </c>
      <c r="G468" s="1" t="s">
        <v>588</v>
      </c>
      <c r="H468" s="1">
        <v>60.96</v>
      </c>
      <c r="I468" s="5"/>
      <c r="J468" s="5"/>
      <c r="K468" s="5"/>
      <c r="L468" s="5"/>
      <c r="M468" s="5"/>
      <c r="N468" s="5"/>
      <c r="O468" s="10"/>
      <c r="P468" s="10"/>
      <c r="Q468" s="10"/>
      <c r="R468" s="10"/>
      <c r="S468" s="10"/>
      <c r="T468" s="10"/>
      <c r="U468" s="10"/>
      <c r="V468" s="10"/>
      <c r="W468" s="34"/>
      <c r="X468" s="35"/>
      <c r="Z468" s="1" t="str">
        <f t="shared" si="69"/>
        <v>130.00MM.- ROD WIPER</v>
      </c>
      <c r="AA468" t="str">
        <f t="shared" si="69"/>
        <v>CAT-9X4600</v>
      </c>
      <c r="AB468" s="12">
        <f t="shared" si="72"/>
        <v>68.927412230745716</v>
      </c>
      <c r="AC468" s="11">
        <f t="shared" si="73"/>
        <v>1.1306990195332303</v>
      </c>
    </row>
    <row r="469" spans="2:29" x14ac:dyDescent="0.3">
      <c r="B469" t="s">
        <v>580</v>
      </c>
      <c r="D469" s="1" t="s">
        <v>581</v>
      </c>
      <c r="E469" s="1">
        <v>1</v>
      </c>
      <c r="F469" s="1" t="s">
        <v>589</v>
      </c>
      <c r="G469" s="1" t="s">
        <v>590</v>
      </c>
      <c r="H469" s="1">
        <v>12.91</v>
      </c>
      <c r="I469" s="5"/>
      <c r="J469" s="5"/>
      <c r="K469" s="5"/>
      <c r="L469" s="5"/>
      <c r="M469" s="5"/>
      <c r="N469" s="5"/>
      <c r="O469" s="10"/>
      <c r="P469" s="10"/>
      <c r="Q469" s="10"/>
      <c r="R469" s="10"/>
      <c r="S469" s="10"/>
      <c r="T469" s="10"/>
      <c r="U469" s="10"/>
      <c r="V469" s="10"/>
      <c r="W469" s="34"/>
      <c r="X469" s="35"/>
      <c r="Z469" s="1" t="str">
        <f t="shared" si="69"/>
        <v>150.00MM - ROD WEAR RING</v>
      </c>
      <c r="AA469" t="str">
        <f t="shared" si="69"/>
        <v>CAT-5701984</v>
      </c>
      <c r="AB469" s="12">
        <f t="shared" si="72"/>
        <v>14.597324342174002</v>
      </c>
      <c r="AC469" s="11">
        <f t="shared" si="73"/>
        <v>1.1306990195332303</v>
      </c>
    </row>
    <row r="470" spans="2:29" x14ac:dyDescent="0.3">
      <c r="B470" t="s">
        <v>580</v>
      </c>
      <c r="D470" s="1" t="s">
        <v>581</v>
      </c>
      <c r="E470" s="1">
        <v>1</v>
      </c>
      <c r="F470" s="1" t="s">
        <v>591</v>
      </c>
      <c r="G470" s="1" t="s">
        <v>316</v>
      </c>
      <c r="H470" s="1">
        <v>113.48</v>
      </c>
      <c r="I470" s="5"/>
      <c r="J470" s="5"/>
      <c r="K470" s="5"/>
      <c r="L470" s="5"/>
      <c r="M470" s="5"/>
      <c r="N470" s="5"/>
      <c r="O470" s="10"/>
      <c r="P470" s="10"/>
      <c r="Q470" s="10"/>
      <c r="R470" s="10"/>
      <c r="S470" s="10"/>
      <c r="T470" s="10"/>
      <c r="U470" s="10"/>
      <c r="V470" s="10"/>
      <c r="W470" s="34"/>
      <c r="X470" s="35"/>
      <c r="Z470" s="1" t="str">
        <f t="shared" si="69"/>
        <v>REPLACEMENT SPHERICAL BEAR.</v>
      </c>
      <c r="AA470" t="str">
        <f t="shared" si="69"/>
        <v>CAT-7J3297</v>
      </c>
      <c r="AB470" s="12">
        <f t="shared" si="72"/>
        <v>128.31172473663096</v>
      </c>
      <c r="AC470" s="11">
        <f t="shared" si="73"/>
        <v>1.1306990195332303</v>
      </c>
    </row>
    <row r="471" spans="2:29" x14ac:dyDescent="0.3">
      <c r="B471" t="s">
        <v>580</v>
      </c>
      <c r="D471" s="1" t="s">
        <v>581</v>
      </c>
      <c r="E471" s="1">
        <v>1</v>
      </c>
      <c r="F471" s="1" t="s">
        <v>591</v>
      </c>
      <c r="G471" s="1" t="s">
        <v>316</v>
      </c>
      <c r="H471" s="1">
        <v>113.48</v>
      </c>
      <c r="I471" s="5"/>
      <c r="J471" s="5"/>
      <c r="K471" s="5"/>
      <c r="L471" s="5"/>
      <c r="M471" s="5"/>
      <c r="N471" s="5"/>
      <c r="O471" s="10"/>
      <c r="P471" s="10"/>
      <c r="Q471" s="10"/>
      <c r="R471" s="10"/>
      <c r="S471" s="10"/>
      <c r="T471" s="10"/>
      <c r="U471" s="10"/>
      <c r="V471" s="10"/>
      <c r="W471" s="34"/>
      <c r="X471" s="35"/>
      <c r="Z471" s="1" t="str">
        <f t="shared" si="69"/>
        <v>REPLACEMENT SPHERICAL BEAR.</v>
      </c>
      <c r="AA471" t="str">
        <f t="shared" si="69"/>
        <v>CAT-7J3297</v>
      </c>
      <c r="AB471" s="12">
        <f t="shared" si="72"/>
        <v>128.31172473663096</v>
      </c>
      <c r="AC471" s="11">
        <f t="shared" si="73"/>
        <v>1.1306990195332303</v>
      </c>
    </row>
    <row r="472" spans="2:29" x14ac:dyDescent="0.3">
      <c r="B472" t="s">
        <v>580</v>
      </c>
      <c r="D472" s="1" t="s">
        <v>581</v>
      </c>
      <c r="E472" s="1">
        <v>2</v>
      </c>
      <c r="F472" s="1" t="s">
        <v>240</v>
      </c>
      <c r="G472" s="1" t="s">
        <v>97</v>
      </c>
      <c r="H472" s="1">
        <v>300</v>
      </c>
      <c r="I472" s="5"/>
      <c r="J472" s="5"/>
      <c r="K472" s="5"/>
      <c r="L472" s="5"/>
      <c r="M472" s="5"/>
      <c r="N472" s="5"/>
      <c r="O472" s="10"/>
      <c r="P472" s="10"/>
      <c r="Q472" s="10"/>
      <c r="R472" s="10"/>
      <c r="S472" s="10"/>
      <c r="T472" s="10"/>
      <c r="U472" s="10"/>
      <c r="V472" s="10"/>
      <c r="W472" s="34"/>
      <c r="X472" s="35"/>
      <c r="Z472" s="1" t="str">
        <f t="shared" si="69"/>
        <v>REPLACEMENT BEARING SLEEVE</v>
      </c>
      <c r="AA472" t="str">
        <f t="shared" si="69"/>
        <v>CAT-1722848</v>
      </c>
      <c r="AB472" s="12">
        <f t="shared" si="72"/>
        <v>339.20970585996906</v>
      </c>
      <c r="AC472" s="11">
        <f t="shared" si="73"/>
        <v>1.1306990195332303</v>
      </c>
    </row>
    <row r="473" spans="2:29" x14ac:dyDescent="0.3">
      <c r="B473" t="s">
        <v>580</v>
      </c>
      <c r="D473" s="1" t="s">
        <v>581</v>
      </c>
      <c r="E473" s="1">
        <v>1</v>
      </c>
      <c r="F473" s="1" t="s">
        <v>318</v>
      </c>
      <c r="G473" s="1" t="s">
        <v>74</v>
      </c>
      <c r="H473" s="1">
        <v>99.8</v>
      </c>
      <c r="I473" s="5"/>
      <c r="J473" s="5"/>
      <c r="K473" s="5"/>
      <c r="L473" s="5"/>
      <c r="M473" s="5"/>
      <c r="N473" s="5"/>
      <c r="O473" s="10"/>
      <c r="P473" s="10"/>
      <c r="Q473" s="10"/>
      <c r="R473" s="10"/>
      <c r="S473" s="10"/>
      <c r="T473" s="10"/>
      <c r="U473" s="10"/>
      <c r="V473" s="10"/>
      <c r="W473" s="34"/>
      <c r="X473" s="35"/>
      <c r="Z473" s="1" t="str">
        <f t="shared" si="69"/>
        <v>SEAL KIT 8.250 X 3.500"</v>
      </c>
      <c r="AA473" t="str">
        <f t="shared" si="69"/>
        <v>CAT-2456835</v>
      </c>
      <c r="AB473" s="12">
        <f t="shared" si="72"/>
        <v>112.84376214941638</v>
      </c>
      <c r="AC473" s="11">
        <f t="shared" si="73"/>
        <v>1.1306990195332303</v>
      </c>
    </row>
    <row r="474" spans="2:29" x14ac:dyDescent="0.3">
      <c r="B474" t="s">
        <v>580</v>
      </c>
      <c r="D474" s="1" t="s">
        <v>581</v>
      </c>
      <c r="E474" s="1">
        <v>1</v>
      </c>
      <c r="F474" s="1" t="s">
        <v>318</v>
      </c>
      <c r="G474" s="1" t="s">
        <v>74</v>
      </c>
      <c r="H474" s="1">
        <v>99.8</v>
      </c>
      <c r="I474" s="5"/>
      <c r="J474" s="5"/>
      <c r="K474" s="5"/>
      <c r="L474" s="5"/>
      <c r="M474" s="5"/>
      <c r="N474" s="5"/>
      <c r="O474" s="10"/>
      <c r="P474" s="10"/>
      <c r="Q474" s="10"/>
      <c r="R474" s="10"/>
      <c r="S474" s="10"/>
      <c r="T474" s="10"/>
      <c r="U474" s="10"/>
      <c r="V474" s="10"/>
      <c r="W474" s="34"/>
      <c r="X474" s="35"/>
      <c r="Z474" s="1" t="str">
        <f t="shared" si="69"/>
        <v>SEAL KIT 8.250 X 3.500"</v>
      </c>
      <c r="AA474" t="str">
        <f t="shared" si="69"/>
        <v>CAT-2456835</v>
      </c>
      <c r="AB474" s="12">
        <f t="shared" si="72"/>
        <v>112.84376214941638</v>
      </c>
      <c r="AC474" s="11">
        <f t="shared" si="73"/>
        <v>1.1306990195332303</v>
      </c>
    </row>
    <row r="475" spans="2:29" x14ac:dyDescent="0.3">
      <c r="B475" t="s">
        <v>580</v>
      </c>
      <c r="D475" s="1" t="s">
        <v>581</v>
      </c>
      <c r="E475" s="1">
        <v>1</v>
      </c>
      <c r="F475" s="1" t="s">
        <v>329</v>
      </c>
      <c r="G475" s="1" t="s">
        <v>592</v>
      </c>
      <c r="H475" s="1">
        <v>212.4</v>
      </c>
      <c r="I475" s="5"/>
      <c r="J475" s="5"/>
      <c r="K475" s="5"/>
      <c r="L475" s="5"/>
      <c r="M475" s="5"/>
      <c r="N475" s="5"/>
      <c r="O475" s="10"/>
      <c r="P475" s="10"/>
      <c r="Q475" s="10"/>
      <c r="R475" s="10"/>
      <c r="S475" s="10"/>
      <c r="T475" s="10"/>
      <c r="U475" s="10"/>
      <c r="V475" s="10"/>
      <c r="W475" s="34"/>
      <c r="X475" s="35"/>
      <c r="Z475" s="1" t="str">
        <f t="shared" si="69"/>
        <v>REPLACEMENT CAT NUTS</v>
      </c>
      <c r="AA475" t="str">
        <f t="shared" si="69"/>
        <v>CAT-1232112</v>
      </c>
      <c r="AB475" s="12">
        <f t="shared" si="72"/>
        <v>240.1604717488581</v>
      </c>
      <c r="AC475" s="11">
        <f t="shared" si="73"/>
        <v>1.1306990195332303</v>
      </c>
    </row>
    <row r="476" spans="2:29" x14ac:dyDescent="0.3">
      <c r="B476" t="s">
        <v>580</v>
      </c>
      <c r="D476" s="1" t="s">
        <v>581</v>
      </c>
      <c r="E476" s="1">
        <v>1</v>
      </c>
      <c r="F476" s="1" t="s">
        <v>240</v>
      </c>
      <c r="G476" s="1" t="s">
        <v>593</v>
      </c>
      <c r="H476" s="1">
        <v>45.2</v>
      </c>
      <c r="I476" s="5"/>
      <c r="J476" s="5"/>
      <c r="K476" s="5"/>
      <c r="L476" s="5"/>
      <c r="M476" s="5"/>
      <c r="N476" s="5"/>
      <c r="O476" s="10"/>
      <c r="P476" s="10"/>
      <c r="Q476" s="10"/>
      <c r="R476" s="10"/>
      <c r="S476" s="10"/>
      <c r="T476" s="10"/>
      <c r="U476" s="10"/>
      <c r="V476" s="10"/>
      <c r="W476" s="34"/>
      <c r="X476" s="35"/>
      <c r="Z476" s="1" t="str">
        <f t="shared" si="69"/>
        <v>REPLACEMENT BEARING SLEEVE</v>
      </c>
      <c r="AA476" t="str">
        <f t="shared" si="69"/>
        <v xml:space="preserve">CAT-0875533 </v>
      </c>
      <c r="AB476" s="12">
        <f t="shared" si="72"/>
        <v>51.107595682902009</v>
      </c>
      <c r="AC476" s="11">
        <f t="shared" si="73"/>
        <v>1.1306990195332303</v>
      </c>
    </row>
    <row r="477" spans="2:29" x14ac:dyDescent="0.3">
      <c r="B477" t="s">
        <v>580</v>
      </c>
      <c r="D477" s="1" t="s">
        <v>581</v>
      </c>
      <c r="E477" s="1">
        <v>1</v>
      </c>
      <c r="F477" s="1" t="s">
        <v>240</v>
      </c>
      <c r="G477" s="1" t="s">
        <v>594</v>
      </c>
      <c r="H477" s="1">
        <v>40</v>
      </c>
      <c r="I477" s="5"/>
      <c r="J477" s="5"/>
      <c r="K477" s="5"/>
      <c r="L477" s="5"/>
      <c r="M477" s="5"/>
      <c r="N477" s="5"/>
      <c r="O477" s="10"/>
      <c r="P477" s="10"/>
      <c r="Q477" s="10"/>
      <c r="R477" s="10"/>
      <c r="S477" s="10"/>
      <c r="T477" s="10"/>
      <c r="U477" s="10"/>
      <c r="V477" s="10"/>
      <c r="W477" s="34"/>
      <c r="X477" s="35"/>
      <c r="Z477" s="1" t="str">
        <f t="shared" si="69"/>
        <v>REPLACEMENT BEARING SLEEVE</v>
      </c>
      <c r="AA477" t="str">
        <f t="shared" si="69"/>
        <v>CAT-0875548</v>
      </c>
      <c r="AB477" s="12">
        <f t="shared" si="72"/>
        <v>45.227960781329209</v>
      </c>
      <c r="AC477" s="11">
        <f t="shared" si="73"/>
        <v>1.1306990195332303</v>
      </c>
    </row>
    <row r="478" spans="2:29" x14ac:dyDescent="0.3">
      <c r="B478" t="s">
        <v>580</v>
      </c>
      <c r="D478" s="1" t="s">
        <v>581</v>
      </c>
      <c r="E478" s="1">
        <v>2</v>
      </c>
      <c r="F478" s="1" t="s">
        <v>240</v>
      </c>
      <c r="G478" s="1" t="s">
        <v>491</v>
      </c>
      <c r="H478" s="1">
        <v>97.62</v>
      </c>
      <c r="I478" s="5"/>
      <c r="J478" s="5"/>
      <c r="K478" s="5"/>
      <c r="L478" s="5"/>
      <c r="M478" s="5"/>
      <c r="N478" s="5"/>
      <c r="O478" s="10"/>
      <c r="P478" s="10"/>
      <c r="Q478" s="10"/>
      <c r="R478" s="10"/>
      <c r="S478" s="10"/>
      <c r="T478" s="10"/>
      <c r="U478" s="10"/>
      <c r="V478" s="10"/>
      <c r="W478" s="34"/>
      <c r="X478" s="35"/>
      <c r="Z478" s="1" t="str">
        <f t="shared" si="69"/>
        <v>REPLACEMENT BEARING SLEEVE</v>
      </c>
      <c r="AA478" t="str">
        <f t="shared" si="69"/>
        <v>CAT-2003926</v>
      </c>
      <c r="AB478" s="12">
        <f t="shared" si="72"/>
        <v>110.37883828683394</v>
      </c>
      <c r="AC478" s="11">
        <f t="shared" si="73"/>
        <v>1.1306990195332303</v>
      </c>
    </row>
    <row r="479" spans="2:29" x14ac:dyDescent="0.3">
      <c r="B479" t="s">
        <v>580</v>
      </c>
      <c r="D479" s="1" t="s">
        <v>581</v>
      </c>
      <c r="E479" s="1">
        <v>1</v>
      </c>
      <c r="F479" s="1" t="s">
        <v>495</v>
      </c>
      <c r="G479" s="1" t="s">
        <v>595</v>
      </c>
      <c r="H479" s="1">
        <v>29.63</v>
      </c>
      <c r="I479" s="5"/>
      <c r="J479" s="5"/>
      <c r="K479" s="5"/>
      <c r="L479" s="5"/>
      <c r="M479" s="5"/>
      <c r="N479" s="5"/>
      <c r="O479" s="10"/>
      <c r="P479" s="10"/>
      <c r="Q479" s="10"/>
      <c r="R479" s="10"/>
      <c r="S479" s="10"/>
      <c r="T479" s="10"/>
      <c r="U479" s="10"/>
      <c r="V479" s="10"/>
      <c r="W479" s="34"/>
      <c r="X479" s="35"/>
      <c r="Z479" s="1" t="str">
        <f t="shared" si="69"/>
        <v>CATERPILLAR REPLACMENT PART</v>
      </c>
      <c r="AA479" t="str">
        <f t="shared" si="69"/>
        <v xml:space="preserve">CAT-1J2192 </v>
      </c>
      <c r="AB479" s="12">
        <f t="shared" si="72"/>
        <v>33.502611948769612</v>
      </c>
      <c r="AC479" s="11">
        <f t="shared" si="73"/>
        <v>1.1306990195332303</v>
      </c>
    </row>
    <row r="480" spans="2:29" x14ac:dyDescent="0.3">
      <c r="B480" t="s">
        <v>580</v>
      </c>
      <c r="D480" s="1" t="s">
        <v>581</v>
      </c>
      <c r="E480" s="1">
        <v>1</v>
      </c>
      <c r="F480" s="1" t="s">
        <v>497</v>
      </c>
      <c r="G480" s="1" t="s">
        <v>475</v>
      </c>
      <c r="H480" s="1">
        <v>105</v>
      </c>
      <c r="I480" s="5"/>
      <c r="J480" s="5"/>
      <c r="K480" s="5"/>
      <c r="L480" s="5"/>
      <c r="M480" s="5"/>
      <c r="N480" s="5"/>
      <c r="O480" s="10"/>
      <c r="P480" s="10"/>
      <c r="Q480" s="10"/>
      <c r="R480" s="10"/>
      <c r="S480" s="10"/>
      <c r="T480" s="10"/>
      <c r="U480" s="10"/>
      <c r="V480" s="10"/>
      <c r="W480" s="34"/>
      <c r="X480" s="35"/>
      <c r="Z480" s="1" t="str">
        <f t="shared" si="69"/>
        <v>SEAL KIT 7.000 X 4.000"</v>
      </c>
      <c r="AA480" t="str">
        <f t="shared" si="69"/>
        <v>CAT-2295507</v>
      </c>
      <c r="AB480" s="12">
        <f t="shared" si="72"/>
        <v>118.72339705098918</v>
      </c>
      <c r="AC480" s="11">
        <f t="shared" si="73"/>
        <v>1.1306990195332303</v>
      </c>
    </row>
    <row r="481" spans="2:29" x14ac:dyDescent="0.3">
      <c r="B481" t="s">
        <v>596</v>
      </c>
      <c r="D481" s="1" t="s">
        <v>597</v>
      </c>
      <c r="E481" s="1">
        <v>1</v>
      </c>
      <c r="F481" s="1" t="s">
        <v>598</v>
      </c>
      <c r="G481" s="1" t="s">
        <v>599</v>
      </c>
      <c r="H481" s="1">
        <v>750</v>
      </c>
      <c r="I481" s="5"/>
      <c r="J481" s="5"/>
      <c r="K481" s="5"/>
      <c r="L481" s="5"/>
      <c r="M481" s="5"/>
      <c r="N481" s="5"/>
      <c r="O481" s="10"/>
      <c r="P481" s="10"/>
      <c r="Q481" s="10"/>
      <c r="R481" s="10"/>
      <c r="S481" s="10"/>
      <c r="T481" s="10"/>
      <c r="U481" s="10"/>
      <c r="V481" s="10"/>
      <c r="W481" s="34"/>
      <c r="X481" s="35"/>
      <c r="Z481" s="1" t="str">
        <f t="shared" si="69"/>
        <v>PC1250LC-8 BOOM SEAL KIT</v>
      </c>
      <c r="AA481" t="str">
        <f t="shared" si="69"/>
        <v>KOM-707/99/78440</v>
      </c>
      <c r="AB481" s="12">
        <f t="shared" si="72"/>
        <v>848.02426464992266</v>
      </c>
      <c r="AC481" s="11">
        <f t="shared" si="73"/>
        <v>1.1306990195332303</v>
      </c>
    </row>
    <row r="482" spans="2:29" x14ac:dyDescent="0.3">
      <c r="B482" t="s">
        <v>596</v>
      </c>
      <c r="D482" s="1" t="s">
        <v>597</v>
      </c>
      <c r="E482" s="1">
        <v>2</v>
      </c>
      <c r="F482" s="1" t="s">
        <v>600</v>
      </c>
      <c r="G482" s="1" t="s">
        <v>601</v>
      </c>
      <c r="H482" s="1">
        <v>85.08</v>
      </c>
      <c r="I482" s="5"/>
      <c r="J482" s="5"/>
      <c r="K482" s="5"/>
      <c r="L482" s="5"/>
      <c r="M482" s="5"/>
      <c r="N482" s="5"/>
      <c r="O482" s="10"/>
      <c r="P482" s="10"/>
      <c r="Q482" s="10"/>
      <c r="R482" s="10"/>
      <c r="S482" s="10"/>
      <c r="T482" s="10"/>
      <c r="U482" s="10"/>
      <c r="V482" s="10"/>
      <c r="W482" s="34"/>
      <c r="X482" s="35"/>
      <c r="Z482" s="1" t="str">
        <f t="shared" si="69"/>
        <v>225.00MM - PISTON RING</v>
      </c>
      <c r="AA482" t="str">
        <f t="shared" si="69"/>
        <v>KOM-707/44/22920</v>
      </c>
      <c r="AB482" s="12">
        <f t="shared" si="72"/>
        <v>96.199872581887234</v>
      </c>
      <c r="AC482" s="11">
        <f t="shared" si="73"/>
        <v>1.1306990195332303</v>
      </c>
    </row>
    <row r="483" spans="2:29" x14ac:dyDescent="0.3">
      <c r="B483" t="s">
        <v>602</v>
      </c>
      <c r="D483" s="1" t="s">
        <v>603</v>
      </c>
      <c r="E483" s="1">
        <v>10</v>
      </c>
      <c r="F483" s="1" t="s">
        <v>218</v>
      </c>
      <c r="G483" s="1" t="s">
        <v>604</v>
      </c>
      <c r="H483" s="1">
        <v>180</v>
      </c>
      <c r="I483" s="5"/>
      <c r="J483" s="5"/>
      <c r="K483" s="5"/>
      <c r="L483" s="5"/>
      <c r="M483" s="5"/>
      <c r="N483" s="5"/>
      <c r="O483" s="10"/>
      <c r="P483" s="10"/>
      <c r="Q483" s="10"/>
      <c r="R483" s="10"/>
      <c r="S483" s="10"/>
      <c r="T483" s="10"/>
      <c r="U483" s="10"/>
      <c r="V483" s="10"/>
      <c r="W483" s="34"/>
      <c r="X483" s="35"/>
      <c r="Z483" s="1" t="str">
        <f t="shared" si="69"/>
        <v>REPLACEMENT SNAP RING</v>
      </c>
      <c r="AA483" t="str">
        <f t="shared" si="69"/>
        <v xml:space="preserve">CAT-8J8905 </v>
      </c>
      <c r="AB483" s="12">
        <f t="shared" si="72"/>
        <v>203.52582351598144</v>
      </c>
      <c r="AC483" s="11">
        <f t="shared" si="73"/>
        <v>1.1306990195332303</v>
      </c>
    </row>
    <row r="484" spans="2:29" x14ac:dyDescent="0.3">
      <c r="B484" t="s">
        <v>602</v>
      </c>
      <c r="D484" s="1" t="s">
        <v>603</v>
      </c>
      <c r="E484" s="1">
        <v>15</v>
      </c>
      <c r="F484" s="1" t="s">
        <v>306</v>
      </c>
      <c r="G484" s="1" t="s">
        <v>84</v>
      </c>
      <c r="H484" s="1">
        <v>277.64999999999998</v>
      </c>
      <c r="I484" s="5"/>
      <c r="J484" s="5"/>
      <c r="K484" s="5"/>
      <c r="L484" s="5"/>
      <c r="M484" s="5"/>
      <c r="N484" s="5"/>
      <c r="O484" s="10"/>
      <c r="P484" s="10"/>
      <c r="Q484" s="10"/>
      <c r="R484" s="10"/>
      <c r="S484" s="10"/>
      <c r="T484" s="10"/>
      <c r="U484" s="10"/>
      <c r="V484" s="10"/>
      <c r="W484" s="34"/>
      <c r="X484" s="35"/>
      <c r="Z484" s="1" t="str">
        <f t="shared" si="69"/>
        <v>KOMATSU REPLACEMENT PART</v>
      </c>
      <c r="AA484" t="str">
        <f t="shared" si="69"/>
        <v>KOM-TY8879</v>
      </c>
      <c r="AB484" s="12">
        <f t="shared" si="72"/>
        <v>313.93858277340132</v>
      </c>
      <c r="AC484" s="11">
        <f t="shared" si="73"/>
        <v>1.13069901953323</v>
      </c>
    </row>
    <row r="485" spans="2:29" x14ac:dyDescent="0.3">
      <c r="B485" t="s">
        <v>605</v>
      </c>
      <c r="D485" s="1" t="s">
        <v>603</v>
      </c>
      <c r="E485" s="1">
        <v>20</v>
      </c>
      <c r="F485" s="1" t="s">
        <v>606</v>
      </c>
      <c r="G485" s="1" t="s">
        <v>83</v>
      </c>
      <c r="H485" s="1">
        <v>31.4</v>
      </c>
      <c r="I485" s="5"/>
      <c r="J485" s="5"/>
      <c r="K485" s="5"/>
      <c r="L485" s="5"/>
      <c r="M485" s="5"/>
      <c r="N485" s="5"/>
      <c r="O485" s="10"/>
      <c r="P485" s="10"/>
      <c r="Q485" s="10"/>
      <c r="R485" s="10"/>
      <c r="S485" s="10"/>
      <c r="T485" s="10"/>
      <c r="U485" s="10"/>
      <c r="V485" s="10"/>
      <c r="W485" s="34"/>
      <c r="X485" s="35"/>
      <c r="Z485" s="1" t="str">
        <f t="shared" si="69"/>
        <v>KOMATSU REPLACEMENT PLUG</v>
      </c>
      <c r="AA485" t="str">
        <f t="shared" si="69"/>
        <v>KOM-VM0313</v>
      </c>
      <c r="AB485" s="12">
        <f t="shared" si="72"/>
        <v>35.503949213343425</v>
      </c>
      <c r="AC485" s="11">
        <f t="shared" si="73"/>
        <v>1.13069901953323</v>
      </c>
    </row>
    <row r="486" spans="2:29" x14ac:dyDescent="0.3">
      <c r="B486" t="s">
        <v>605</v>
      </c>
      <c r="D486" s="1" t="s">
        <v>603</v>
      </c>
      <c r="E486" s="1">
        <v>7</v>
      </c>
      <c r="F486" s="1" t="s">
        <v>218</v>
      </c>
      <c r="G486" s="1" t="s">
        <v>559</v>
      </c>
      <c r="H486" s="1">
        <v>148.4</v>
      </c>
      <c r="I486" s="5"/>
      <c r="J486" s="5"/>
      <c r="K486" s="5"/>
      <c r="L486" s="5"/>
      <c r="M486" s="5"/>
      <c r="N486" s="5"/>
      <c r="O486" s="10"/>
      <c r="P486" s="10"/>
      <c r="Q486" s="10"/>
      <c r="R486" s="10"/>
      <c r="S486" s="10"/>
      <c r="T486" s="10"/>
      <c r="U486" s="10"/>
      <c r="V486" s="10"/>
      <c r="W486" s="34"/>
      <c r="X486" s="35"/>
      <c r="Z486" s="1" t="str">
        <f t="shared" si="69"/>
        <v>REPLACEMENT SNAP RING</v>
      </c>
      <c r="AA486" t="str">
        <f t="shared" si="69"/>
        <v xml:space="preserve">KOM-VN9350 </v>
      </c>
      <c r="AB486" s="12">
        <f t="shared" si="72"/>
        <v>167.79573449873138</v>
      </c>
      <c r="AC486" s="11">
        <f t="shared" si="73"/>
        <v>1.1306990195332303</v>
      </c>
    </row>
    <row r="487" spans="2:29" x14ac:dyDescent="0.3">
      <c r="B487" t="s">
        <v>605</v>
      </c>
      <c r="D487" s="1" t="s">
        <v>603</v>
      </c>
      <c r="E487" s="1">
        <v>10</v>
      </c>
      <c r="F487" s="1" t="s">
        <v>218</v>
      </c>
      <c r="G487" s="1" t="s">
        <v>94</v>
      </c>
      <c r="H487" s="1">
        <v>300</v>
      </c>
      <c r="I487" s="5"/>
      <c r="J487" s="5"/>
      <c r="K487" s="5"/>
      <c r="L487" s="5"/>
      <c r="M487" s="5"/>
      <c r="N487" s="5"/>
      <c r="O487" s="10"/>
      <c r="P487" s="10"/>
      <c r="Q487" s="10"/>
      <c r="R487" s="10"/>
      <c r="S487" s="10"/>
      <c r="T487" s="10"/>
      <c r="U487" s="10"/>
      <c r="V487" s="10"/>
      <c r="W487" s="34"/>
      <c r="X487" s="35"/>
      <c r="Z487" s="1" t="str">
        <f t="shared" si="69"/>
        <v>REPLACEMENT SNAP RING</v>
      </c>
      <c r="AA487" t="str">
        <f t="shared" si="69"/>
        <v>KOM-VN9353</v>
      </c>
      <c r="AB487" s="12">
        <f t="shared" si="72"/>
        <v>339.20970585996906</v>
      </c>
      <c r="AC487" s="11">
        <f t="shared" si="73"/>
        <v>1.1306990195332303</v>
      </c>
    </row>
    <row r="488" spans="2:29" x14ac:dyDescent="0.3">
      <c r="B488" t="s">
        <v>605</v>
      </c>
      <c r="D488" s="1" t="s">
        <v>603</v>
      </c>
      <c r="E488" s="1">
        <v>10</v>
      </c>
      <c r="F488" s="1" t="s">
        <v>218</v>
      </c>
      <c r="G488" s="1" t="s">
        <v>302</v>
      </c>
      <c r="H488" s="1">
        <v>250</v>
      </c>
      <c r="I488" s="5"/>
      <c r="J488" s="5"/>
      <c r="K488" s="5"/>
      <c r="L488" s="5"/>
      <c r="M488" s="5"/>
      <c r="N488" s="5"/>
      <c r="O488" s="10"/>
      <c r="P488" s="10"/>
      <c r="Q488" s="10"/>
      <c r="R488" s="10"/>
      <c r="S488" s="10"/>
      <c r="T488" s="10"/>
      <c r="U488" s="10"/>
      <c r="V488" s="10"/>
      <c r="W488" s="34"/>
      <c r="X488" s="35"/>
      <c r="Z488" s="1" t="str">
        <f t="shared" si="69"/>
        <v>REPLACEMENT SNAP RING</v>
      </c>
      <c r="AA488" t="str">
        <f t="shared" si="69"/>
        <v xml:space="preserve">KOM-SV5921 </v>
      </c>
      <c r="AB488" s="12">
        <f t="shared" si="72"/>
        <v>282.67475488330757</v>
      </c>
      <c r="AC488" s="11">
        <f t="shared" si="73"/>
        <v>1.1306990195332303</v>
      </c>
    </row>
    <row r="489" spans="2:29" x14ac:dyDescent="0.3">
      <c r="B489" t="s">
        <v>605</v>
      </c>
      <c r="D489" s="1" t="s">
        <v>603</v>
      </c>
      <c r="E489" s="1">
        <v>10</v>
      </c>
      <c r="F489" s="1" t="s">
        <v>238</v>
      </c>
      <c r="G489" s="1" t="s">
        <v>141</v>
      </c>
      <c r="H489" s="1">
        <v>45</v>
      </c>
      <c r="I489" s="5"/>
      <c r="J489" s="5"/>
      <c r="K489" s="5"/>
      <c r="L489" s="5"/>
      <c r="M489" s="5"/>
      <c r="N489" s="5"/>
      <c r="O489" s="10"/>
      <c r="P489" s="10"/>
      <c r="Q489" s="10"/>
      <c r="R489" s="10"/>
      <c r="S489" s="10"/>
      <c r="T489" s="10"/>
      <c r="U489" s="10"/>
      <c r="V489" s="10"/>
      <c r="W489" s="34"/>
      <c r="X489" s="35"/>
      <c r="Z489" s="1" t="str">
        <f t="shared" si="69"/>
        <v>REPLACEMENT PIN WIPER</v>
      </c>
      <c r="AA489" t="str">
        <f t="shared" si="69"/>
        <v>CAT-7K9211</v>
      </c>
      <c r="AB489" s="12">
        <f t="shared" si="72"/>
        <v>50.881455878995361</v>
      </c>
      <c r="AC489" s="11">
        <f t="shared" si="73"/>
        <v>1.1306990195332303</v>
      </c>
    </row>
    <row r="490" spans="2:29" x14ac:dyDescent="0.3">
      <c r="B490" t="s">
        <v>605</v>
      </c>
      <c r="D490" s="1" t="s">
        <v>603</v>
      </c>
      <c r="E490" s="1">
        <v>20</v>
      </c>
      <c r="F490" s="1" t="s">
        <v>238</v>
      </c>
      <c r="G490" s="1" t="s">
        <v>310</v>
      </c>
      <c r="H490" s="1">
        <v>142.6</v>
      </c>
      <c r="I490" s="5"/>
      <c r="J490" s="5"/>
      <c r="K490" s="5"/>
      <c r="L490" s="5"/>
      <c r="M490" s="5"/>
      <c r="N490" s="5"/>
      <c r="O490" s="10"/>
      <c r="P490" s="10"/>
      <c r="Q490" s="10"/>
      <c r="R490" s="10"/>
      <c r="S490" s="10"/>
      <c r="T490" s="10"/>
      <c r="U490" s="10"/>
      <c r="V490" s="10"/>
      <c r="W490" s="34"/>
      <c r="X490" s="35"/>
      <c r="Z490" s="1" t="str">
        <f t="shared" si="69"/>
        <v>REPLACEMENT PIN WIPER</v>
      </c>
      <c r="AA490" t="str">
        <f t="shared" si="69"/>
        <v>CAT-7K9205</v>
      </c>
      <c r="AB490" s="12">
        <f t="shared" si="72"/>
        <v>161.23768018543862</v>
      </c>
      <c r="AC490" s="11">
        <f t="shared" si="73"/>
        <v>1.1306990195332303</v>
      </c>
    </row>
    <row r="491" spans="2:29" x14ac:dyDescent="0.3">
      <c r="B491" t="s">
        <v>605</v>
      </c>
      <c r="D491" s="1" t="s">
        <v>603</v>
      </c>
      <c r="E491" s="1">
        <v>20</v>
      </c>
      <c r="F491" s="1" t="s">
        <v>238</v>
      </c>
      <c r="G491" s="1" t="s">
        <v>607</v>
      </c>
      <c r="H491" s="1">
        <v>60</v>
      </c>
      <c r="I491" s="5"/>
      <c r="J491" s="5"/>
      <c r="K491" s="5"/>
      <c r="L491" s="5"/>
      <c r="M491" s="5"/>
      <c r="N491" s="5"/>
      <c r="O491" s="10"/>
      <c r="P491" s="10"/>
      <c r="Q491" s="10"/>
      <c r="R491" s="10"/>
      <c r="S491" s="10"/>
      <c r="T491" s="10"/>
      <c r="U491" s="10"/>
      <c r="V491" s="10"/>
      <c r="W491" s="34"/>
      <c r="X491" s="35"/>
      <c r="Z491" s="1" t="str">
        <f t="shared" si="69"/>
        <v>REPLACEMENT PIN WIPER</v>
      </c>
      <c r="AA491" t="str">
        <f t="shared" si="69"/>
        <v xml:space="preserve">CAT-7K9204 </v>
      </c>
      <c r="AB491" s="12">
        <f t="shared" si="72"/>
        <v>67.84194117199381</v>
      </c>
      <c r="AC491" s="11">
        <f t="shared" si="73"/>
        <v>1.1306990195332303</v>
      </c>
    </row>
    <row r="492" spans="2:29" x14ac:dyDescent="0.3">
      <c r="B492" t="s">
        <v>605</v>
      </c>
      <c r="D492" s="1" t="s">
        <v>603</v>
      </c>
      <c r="E492" s="1">
        <v>4</v>
      </c>
      <c r="F492" s="1" t="s">
        <v>424</v>
      </c>
      <c r="G492" s="1" t="s">
        <v>608</v>
      </c>
      <c r="H492" s="1">
        <v>127.2</v>
      </c>
      <c r="I492" s="5"/>
      <c r="J492" s="5"/>
      <c r="K492" s="5"/>
      <c r="L492" s="5"/>
      <c r="M492" s="5"/>
      <c r="N492" s="5"/>
      <c r="O492" s="10"/>
      <c r="P492" s="10"/>
      <c r="Q492" s="10"/>
      <c r="R492" s="10"/>
      <c r="S492" s="10"/>
      <c r="T492" s="10"/>
      <c r="U492" s="10"/>
      <c r="V492" s="10"/>
      <c r="W492" s="34"/>
      <c r="X492" s="35"/>
      <c r="Z492" s="1" t="str">
        <f t="shared" si="69"/>
        <v>03.000" - ROD WEAR RING</v>
      </c>
      <c r="AA492" t="str">
        <f t="shared" si="69"/>
        <v xml:space="preserve">CAT-9T0094 </v>
      </c>
      <c r="AB492" s="12">
        <f t="shared" si="72"/>
        <v>143.82491528462688</v>
      </c>
      <c r="AC492" s="11">
        <f t="shared" si="73"/>
        <v>1.1306990195332303</v>
      </c>
    </row>
    <row r="493" spans="2:29" x14ac:dyDescent="0.3">
      <c r="B493" t="s">
        <v>605</v>
      </c>
      <c r="D493" s="1" t="s">
        <v>603</v>
      </c>
      <c r="E493" s="1">
        <v>10</v>
      </c>
      <c r="F493" s="1" t="s">
        <v>337</v>
      </c>
      <c r="G493" s="1" t="s">
        <v>103</v>
      </c>
      <c r="H493" s="1">
        <v>11.7</v>
      </c>
      <c r="I493" s="5"/>
      <c r="J493" s="5"/>
      <c r="K493" s="5"/>
      <c r="L493" s="5"/>
      <c r="M493" s="5"/>
      <c r="N493" s="5"/>
      <c r="O493" s="10"/>
      <c r="P493" s="10"/>
      <c r="Q493" s="10"/>
      <c r="R493" s="10"/>
      <c r="S493" s="10"/>
      <c r="T493" s="10"/>
      <c r="U493" s="10"/>
      <c r="V493" s="10"/>
      <c r="W493" s="34"/>
      <c r="X493" s="35"/>
      <c r="Z493" s="1" t="str">
        <f t="shared" ref="Z493:AA498" si="74">F493</f>
        <v>KOMATSU REPLACEMENT O'RING</v>
      </c>
      <c r="AA493" t="str">
        <f t="shared" si="74"/>
        <v>KOM-WA0443</v>
      </c>
      <c r="AB493" s="12">
        <f t="shared" si="72"/>
        <v>13.229178528538792</v>
      </c>
      <c r="AC493" s="11">
        <f t="shared" si="73"/>
        <v>1.1306990195332303</v>
      </c>
    </row>
    <row r="494" spans="2:29" x14ac:dyDescent="0.3">
      <c r="B494" t="s">
        <v>605</v>
      </c>
      <c r="D494" s="1" t="s">
        <v>603</v>
      </c>
      <c r="E494" s="1">
        <v>10</v>
      </c>
      <c r="F494" s="1" t="s">
        <v>363</v>
      </c>
      <c r="G494" s="1" t="s">
        <v>102</v>
      </c>
      <c r="H494" s="1">
        <v>9.5</v>
      </c>
      <c r="I494" s="5"/>
      <c r="J494" s="5"/>
      <c r="K494" s="5"/>
      <c r="L494" s="5"/>
      <c r="M494" s="5"/>
      <c r="N494" s="5"/>
      <c r="O494" s="10"/>
      <c r="P494" s="10"/>
      <c r="Q494" s="10"/>
      <c r="R494" s="10"/>
      <c r="S494" s="10"/>
      <c r="T494" s="10"/>
      <c r="U494" s="10"/>
      <c r="V494" s="10"/>
      <c r="W494" s="34"/>
      <c r="X494" s="35"/>
      <c r="Z494" s="1" t="str">
        <f t="shared" si="74"/>
        <v>KOMATSU REPLACEMENT B/UP</v>
      </c>
      <c r="AA494" t="str">
        <f t="shared" si="74"/>
        <v>KOM-WA1443</v>
      </c>
      <c r="AB494" s="12">
        <f t="shared" si="72"/>
        <v>10.741640685565688</v>
      </c>
      <c r="AC494" s="11">
        <f t="shared" si="73"/>
        <v>1.1306990195332303</v>
      </c>
    </row>
    <row r="495" spans="2:29" x14ac:dyDescent="0.3">
      <c r="B495" t="s">
        <v>605</v>
      </c>
      <c r="D495" s="1" t="s">
        <v>603</v>
      </c>
      <c r="E495" s="1">
        <v>4</v>
      </c>
      <c r="F495" s="1" t="s">
        <v>329</v>
      </c>
      <c r="G495" s="1" t="s">
        <v>360</v>
      </c>
      <c r="H495" s="1">
        <v>264.24</v>
      </c>
      <c r="I495" s="5"/>
      <c r="J495" s="5"/>
      <c r="K495" s="5"/>
      <c r="L495" s="5"/>
      <c r="M495" s="5"/>
      <c r="N495" s="5"/>
      <c r="O495" s="10"/>
      <c r="P495" s="10"/>
      <c r="Q495" s="10"/>
      <c r="R495" s="10"/>
      <c r="S495" s="10"/>
      <c r="T495" s="10"/>
      <c r="U495" s="10"/>
      <c r="V495" s="10"/>
      <c r="W495" s="34"/>
      <c r="X495" s="35"/>
      <c r="Z495" s="1" t="str">
        <f t="shared" si="74"/>
        <v>REPLACEMENT CAT NUTS</v>
      </c>
      <c r="AA495" t="str">
        <f t="shared" si="74"/>
        <v>CAT-3J6899</v>
      </c>
      <c r="AB495" s="12">
        <f t="shared" si="72"/>
        <v>298.77590892146077</v>
      </c>
      <c r="AC495" s="11">
        <f t="shared" si="73"/>
        <v>1.1306990195332303</v>
      </c>
    </row>
    <row r="496" spans="2:29" x14ac:dyDescent="0.3">
      <c r="B496" t="s">
        <v>605</v>
      </c>
      <c r="D496" s="1" t="s">
        <v>603</v>
      </c>
      <c r="E496" s="1">
        <v>6</v>
      </c>
      <c r="F496" s="1" t="s">
        <v>306</v>
      </c>
      <c r="G496" s="1" t="s">
        <v>85</v>
      </c>
      <c r="H496" s="1">
        <v>283.5</v>
      </c>
      <c r="I496" s="5"/>
      <c r="J496" s="5"/>
      <c r="K496" s="5"/>
      <c r="L496" s="5"/>
      <c r="M496" s="5"/>
      <c r="N496" s="5"/>
      <c r="O496" s="10"/>
      <c r="P496" s="10"/>
      <c r="Q496" s="10"/>
      <c r="R496" s="10"/>
      <c r="S496" s="10"/>
      <c r="T496" s="10"/>
      <c r="U496" s="10"/>
      <c r="V496" s="10"/>
      <c r="W496" s="34"/>
      <c r="X496" s="35"/>
      <c r="Z496" s="1" t="str">
        <f t="shared" si="74"/>
        <v>KOMATSU REPLACEMENT PART</v>
      </c>
      <c r="AA496" t="str">
        <f t="shared" si="74"/>
        <v>KOM-TZ8637</v>
      </c>
      <c r="AB496" s="12">
        <f t="shared" si="72"/>
        <v>320.55317203767078</v>
      </c>
      <c r="AC496" s="11">
        <f t="shared" si="73"/>
        <v>1.1306990195332303</v>
      </c>
    </row>
    <row r="497" spans="2:29" x14ac:dyDescent="0.3">
      <c r="B497" t="s">
        <v>605</v>
      </c>
      <c r="D497" s="1" t="s">
        <v>603</v>
      </c>
      <c r="E497" s="1">
        <v>2</v>
      </c>
      <c r="F497" s="1" t="s">
        <v>236</v>
      </c>
      <c r="G497" s="1" t="s">
        <v>75</v>
      </c>
      <c r="H497" s="1">
        <v>265.26</v>
      </c>
      <c r="I497" s="5"/>
      <c r="J497" s="5"/>
      <c r="K497" s="5"/>
      <c r="L497" s="5"/>
      <c r="M497" s="5"/>
      <c r="N497" s="5"/>
      <c r="O497" s="10"/>
      <c r="P497" s="10"/>
      <c r="Q497" s="10"/>
      <c r="R497" s="10"/>
      <c r="S497" s="10"/>
      <c r="T497" s="10"/>
      <c r="U497" s="10"/>
      <c r="V497" s="10"/>
      <c r="W497" s="34"/>
      <c r="X497" s="35"/>
      <c r="Z497" s="1" t="str">
        <f t="shared" si="74"/>
        <v>SEAL KIT 10.500 X 4.000"</v>
      </c>
      <c r="AA497" t="str">
        <f t="shared" si="74"/>
        <v>CAT-2460649</v>
      </c>
      <c r="AB497" s="12">
        <f t="shared" si="72"/>
        <v>299.92922192138462</v>
      </c>
      <c r="AC497" s="11">
        <f t="shared" si="73"/>
        <v>1.1306990195332303</v>
      </c>
    </row>
    <row r="498" spans="2:29" x14ac:dyDescent="0.3">
      <c r="B498" t="s">
        <v>609</v>
      </c>
      <c r="D498" s="1" t="s">
        <v>610</v>
      </c>
      <c r="E498" s="1">
        <v>2</v>
      </c>
      <c r="F498" s="1" t="s">
        <v>298</v>
      </c>
      <c r="G498" s="1" t="s">
        <v>508</v>
      </c>
      <c r="H498" s="1">
        <v>60</v>
      </c>
      <c r="I498" s="5"/>
      <c r="J498" s="5"/>
      <c r="K498" s="5"/>
      <c r="L498" s="5"/>
      <c r="M498" s="5"/>
      <c r="N498" s="5"/>
      <c r="O498" s="10"/>
      <c r="P498" s="10"/>
      <c r="Q498" s="10"/>
      <c r="R498" s="10"/>
      <c r="S498" s="10"/>
      <c r="T498" s="10"/>
      <c r="U498" s="10"/>
      <c r="V498" s="10"/>
      <c r="W498" s="34"/>
      <c r="X498" s="35"/>
      <c r="Z498" s="1" t="str">
        <f t="shared" si="74"/>
        <v>REPLACEMENT ROD BEARING</v>
      </c>
      <c r="AA498" t="str">
        <f t="shared" si="74"/>
        <v>CAT-1289262</v>
      </c>
      <c r="AB498" s="12">
        <f t="shared" si="72"/>
        <v>67.84194117199381</v>
      </c>
      <c r="AC498" s="11">
        <f t="shared" si="73"/>
        <v>1.1306990195332303</v>
      </c>
    </row>
    <row r="500" spans="2:29" x14ac:dyDescent="0.3">
      <c r="H500" s="19">
        <f>SUM(H444:H498)</f>
        <v>7752.4299999999994</v>
      </c>
    </row>
    <row r="502" spans="2:29" x14ac:dyDescent="0.3">
      <c r="H502" s="1">
        <v>7752.4299999999994</v>
      </c>
    </row>
  </sheetData>
  <autoFilter ref="C1:AC309" xr:uid="{309237F3-D515-41DC-8BD3-10F8FA59A514}"/>
  <mergeCells count="725">
    <mergeCell ref="T444:T498"/>
    <mergeCell ref="U444:U498"/>
    <mergeCell ref="V444:V498"/>
    <mergeCell ref="W444:W498"/>
    <mergeCell ref="X444:X498"/>
    <mergeCell ref="N444:N498"/>
    <mergeCell ref="O444:O498"/>
    <mergeCell ref="P444:P498"/>
    <mergeCell ref="Q444:Q498"/>
    <mergeCell ref="R444:R498"/>
    <mergeCell ref="S444:S498"/>
    <mergeCell ref="T430:T442"/>
    <mergeCell ref="U430:U442"/>
    <mergeCell ref="V430:V442"/>
    <mergeCell ref="W430:W442"/>
    <mergeCell ref="X430:X442"/>
    <mergeCell ref="I444:I498"/>
    <mergeCell ref="J444:J498"/>
    <mergeCell ref="K444:K498"/>
    <mergeCell ref="L444:L498"/>
    <mergeCell ref="M444:M498"/>
    <mergeCell ref="N430:N442"/>
    <mergeCell ref="O430:O442"/>
    <mergeCell ref="P430:P442"/>
    <mergeCell ref="Q430:Q442"/>
    <mergeCell ref="R430:R442"/>
    <mergeCell ref="S430:S442"/>
    <mergeCell ref="T414:T428"/>
    <mergeCell ref="U414:U428"/>
    <mergeCell ref="V414:V428"/>
    <mergeCell ref="W414:W428"/>
    <mergeCell ref="X414:X428"/>
    <mergeCell ref="I430:I442"/>
    <mergeCell ref="J430:J442"/>
    <mergeCell ref="K430:K442"/>
    <mergeCell ref="L430:L442"/>
    <mergeCell ref="M430:M442"/>
    <mergeCell ref="N414:N428"/>
    <mergeCell ref="O414:O428"/>
    <mergeCell ref="P414:P428"/>
    <mergeCell ref="Q414:Q428"/>
    <mergeCell ref="R414:R428"/>
    <mergeCell ref="S414:S428"/>
    <mergeCell ref="T410:T412"/>
    <mergeCell ref="U410:U412"/>
    <mergeCell ref="V410:V412"/>
    <mergeCell ref="W410:W412"/>
    <mergeCell ref="X410:X412"/>
    <mergeCell ref="I414:I428"/>
    <mergeCell ref="J414:J428"/>
    <mergeCell ref="K414:K428"/>
    <mergeCell ref="L414:L428"/>
    <mergeCell ref="M414:M428"/>
    <mergeCell ref="N410:N412"/>
    <mergeCell ref="O410:O412"/>
    <mergeCell ref="P410:P412"/>
    <mergeCell ref="Q410:Q412"/>
    <mergeCell ref="R410:R412"/>
    <mergeCell ref="S410:S412"/>
    <mergeCell ref="T406:T408"/>
    <mergeCell ref="U406:U408"/>
    <mergeCell ref="V406:V408"/>
    <mergeCell ref="W406:W408"/>
    <mergeCell ref="X406:X408"/>
    <mergeCell ref="I410:I412"/>
    <mergeCell ref="J410:J412"/>
    <mergeCell ref="K410:K412"/>
    <mergeCell ref="L410:L412"/>
    <mergeCell ref="M410:M412"/>
    <mergeCell ref="N406:N408"/>
    <mergeCell ref="O406:O408"/>
    <mergeCell ref="P406:P408"/>
    <mergeCell ref="Q406:Q408"/>
    <mergeCell ref="R406:R408"/>
    <mergeCell ref="S406:S408"/>
    <mergeCell ref="T403:T404"/>
    <mergeCell ref="U403:U404"/>
    <mergeCell ref="V403:V404"/>
    <mergeCell ref="W403:W404"/>
    <mergeCell ref="X403:X404"/>
    <mergeCell ref="I406:I408"/>
    <mergeCell ref="J406:J408"/>
    <mergeCell ref="K406:K408"/>
    <mergeCell ref="L406:L408"/>
    <mergeCell ref="M406:M408"/>
    <mergeCell ref="N403:N404"/>
    <mergeCell ref="O403:O404"/>
    <mergeCell ref="P403:P404"/>
    <mergeCell ref="Q403:Q404"/>
    <mergeCell ref="R403:R404"/>
    <mergeCell ref="S403:S404"/>
    <mergeCell ref="T393:T401"/>
    <mergeCell ref="U393:U401"/>
    <mergeCell ref="V393:V401"/>
    <mergeCell ref="W393:W401"/>
    <mergeCell ref="X393:X401"/>
    <mergeCell ref="I403:I404"/>
    <mergeCell ref="J403:J404"/>
    <mergeCell ref="K403:K404"/>
    <mergeCell ref="L403:L404"/>
    <mergeCell ref="M403:M404"/>
    <mergeCell ref="N393:N401"/>
    <mergeCell ref="O393:O401"/>
    <mergeCell ref="P393:P401"/>
    <mergeCell ref="Q393:Q401"/>
    <mergeCell ref="R393:R401"/>
    <mergeCell ref="S393:S401"/>
    <mergeCell ref="T390:T391"/>
    <mergeCell ref="U390:U391"/>
    <mergeCell ref="V390:V391"/>
    <mergeCell ref="W390:W391"/>
    <mergeCell ref="X390:X391"/>
    <mergeCell ref="I393:I401"/>
    <mergeCell ref="J393:J401"/>
    <mergeCell ref="K393:K401"/>
    <mergeCell ref="L393:L401"/>
    <mergeCell ref="M393:M401"/>
    <mergeCell ref="N390:N391"/>
    <mergeCell ref="O390:O391"/>
    <mergeCell ref="P390:P391"/>
    <mergeCell ref="Q390:Q391"/>
    <mergeCell ref="R390:R391"/>
    <mergeCell ref="S390:S391"/>
    <mergeCell ref="T364:T388"/>
    <mergeCell ref="U364:U388"/>
    <mergeCell ref="V364:V388"/>
    <mergeCell ref="W364:W388"/>
    <mergeCell ref="X364:X388"/>
    <mergeCell ref="I390:I391"/>
    <mergeCell ref="J390:J391"/>
    <mergeCell ref="K390:K391"/>
    <mergeCell ref="L390:L391"/>
    <mergeCell ref="M390:M391"/>
    <mergeCell ref="N364:N388"/>
    <mergeCell ref="O364:O388"/>
    <mergeCell ref="P364:P388"/>
    <mergeCell ref="Q364:Q388"/>
    <mergeCell ref="R364:R388"/>
    <mergeCell ref="S364:S388"/>
    <mergeCell ref="T359:T362"/>
    <mergeCell ref="U359:U362"/>
    <mergeCell ref="V359:V362"/>
    <mergeCell ref="W359:W362"/>
    <mergeCell ref="X359:X362"/>
    <mergeCell ref="I364:I388"/>
    <mergeCell ref="J364:J388"/>
    <mergeCell ref="K364:K388"/>
    <mergeCell ref="L364:L388"/>
    <mergeCell ref="M364:M388"/>
    <mergeCell ref="N359:N362"/>
    <mergeCell ref="O359:O362"/>
    <mergeCell ref="P359:P362"/>
    <mergeCell ref="Q359:Q362"/>
    <mergeCell ref="R359:R362"/>
    <mergeCell ref="S359:S362"/>
    <mergeCell ref="T349:T357"/>
    <mergeCell ref="U349:U357"/>
    <mergeCell ref="V349:V357"/>
    <mergeCell ref="W349:W357"/>
    <mergeCell ref="X349:X357"/>
    <mergeCell ref="I359:I362"/>
    <mergeCell ref="J359:J362"/>
    <mergeCell ref="K359:K362"/>
    <mergeCell ref="L359:L362"/>
    <mergeCell ref="M359:M362"/>
    <mergeCell ref="N349:N357"/>
    <mergeCell ref="O349:O357"/>
    <mergeCell ref="P349:P357"/>
    <mergeCell ref="Q349:Q357"/>
    <mergeCell ref="R349:R357"/>
    <mergeCell ref="S349:S357"/>
    <mergeCell ref="T333:T347"/>
    <mergeCell ref="U333:U347"/>
    <mergeCell ref="V333:V347"/>
    <mergeCell ref="W333:W347"/>
    <mergeCell ref="X333:X347"/>
    <mergeCell ref="I349:I357"/>
    <mergeCell ref="J349:J357"/>
    <mergeCell ref="K349:K357"/>
    <mergeCell ref="L349:L357"/>
    <mergeCell ref="M349:M357"/>
    <mergeCell ref="N333:N347"/>
    <mergeCell ref="O333:O347"/>
    <mergeCell ref="P333:P347"/>
    <mergeCell ref="Q333:Q347"/>
    <mergeCell ref="R333:R347"/>
    <mergeCell ref="S333:S347"/>
    <mergeCell ref="T317:T331"/>
    <mergeCell ref="U317:U331"/>
    <mergeCell ref="V317:V331"/>
    <mergeCell ref="W317:W331"/>
    <mergeCell ref="X317:X331"/>
    <mergeCell ref="I333:I347"/>
    <mergeCell ref="J333:J347"/>
    <mergeCell ref="K333:K347"/>
    <mergeCell ref="L333:L347"/>
    <mergeCell ref="M333:M347"/>
    <mergeCell ref="N317:N331"/>
    <mergeCell ref="O317:O331"/>
    <mergeCell ref="P317:P331"/>
    <mergeCell ref="Q317:Q331"/>
    <mergeCell ref="R317:R331"/>
    <mergeCell ref="S317:S331"/>
    <mergeCell ref="T311:T315"/>
    <mergeCell ref="U311:U315"/>
    <mergeCell ref="V311:V315"/>
    <mergeCell ref="W311:W315"/>
    <mergeCell ref="X311:X315"/>
    <mergeCell ref="I317:I331"/>
    <mergeCell ref="J317:J331"/>
    <mergeCell ref="K317:K331"/>
    <mergeCell ref="L317:L331"/>
    <mergeCell ref="M317:M331"/>
    <mergeCell ref="N311:N315"/>
    <mergeCell ref="O311:O315"/>
    <mergeCell ref="P311:P315"/>
    <mergeCell ref="Q311:Q315"/>
    <mergeCell ref="R311:R315"/>
    <mergeCell ref="S311:S315"/>
    <mergeCell ref="T302:T309"/>
    <mergeCell ref="U302:U309"/>
    <mergeCell ref="V302:V309"/>
    <mergeCell ref="W302:W309"/>
    <mergeCell ref="X302:X309"/>
    <mergeCell ref="I311:I315"/>
    <mergeCell ref="J311:J315"/>
    <mergeCell ref="K311:K315"/>
    <mergeCell ref="L311:L315"/>
    <mergeCell ref="M311:M315"/>
    <mergeCell ref="N302:N309"/>
    <mergeCell ref="O302:O309"/>
    <mergeCell ref="P302:P309"/>
    <mergeCell ref="Q302:Q309"/>
    <mergeCell ref="R302:R309"/>
    <mergeCell ref="S302:S309"/>
    <mergeCell ref="T298:T300"/>
    <mergeCell ref="U298:U300"/>
    <mergeCell ref="V298:V300"/>
    <mergeCell ref="W298:W300"/>
    <mergeCell ref="X298:X300"/>
    <mergeCell ref="I302:I309"/>
    <mergeCell ref="J302:J309"/>
    <mergeCell ref="K302:K309"/>
    <mergeCell ref="L302:L309"/>
    <mergeCell ref="M302:M309"/>
    <mergeCell ref="N298:N300"/>
    <mergeCell ref="O298:O300"/>
    <mergeCell ref="P298:P300"/>
    <mergeCell ref="Q298:Q300"/>
    <mergeCell ref="R298:R300"/>
    <mergeCell ref="S298:S300"/>
    <mergeCell ref="T288:T296"/>
    <mergeCell ref="U288:U296"/>
    <mergeCell ref="V288:V296"/>
    <mergeCell ref="W288:W296"/>
    <mergeCell ref="X288:X296"/>
    <mergeCell ref="I298:I300"/>
    <mergeCell ref="J298:J300"/>
    <mergeCell ref="K298:K300"/>
    <mergeCell ref="L298:L300"/>
    <mergeCell ref="M298:M300"/>
    <mergeCell ref="N288:N296"/>
    <mergeCell ref="O288:O296"/>
    <mergeCell ref="P288:P296"/>
    <mergeCell ref="Q288:Q296"/>
    <mergeCell ref="R288:R296"/>
    <mergeCell ref="S288:S296"/>
    <mergeCell ref="T272:T286"/>
    <mergeCell ref="U272:U286"/>
    <mergeCell ref="V272:V286"/>
    <mergeCell ref="W272:W286"/>
    <mergeCell ref="X272:X286"/>
    <mergeCell ref="I288:I296"/>
    <mergeCell ref="J288:J296"/>
    <mergeCell ref="K288:K296"/>
    <mergeCell ref="L288:L296"/>
    <mergeCell ref="M288:M296"/>
    <mergeCell ref="N272:N286"/>
    <mergeCell ref="O272:O286"/>
    <mergeCell ref="P272:P286"/>
    <mergeCell ref="Q272:Q286"/>
    <mergeCell ref="R272:R286"/>
    <mergeCell ref="S272:S286"/>
    <mergeCell ref="T264:T270"/>
    <mergeCell ref="U264:U270"/>
    <mergeCell ref="V264:V270"/>
    <mergeCell ref="W264:W270"/>
    <mergeCell ref="X264:X270"/>
    <mergeCell ref="I272:I286"/>
    <mergeCell ref="J272:J286"/>
    <mergeCell ref="K272:K286"/>
    <mergeCell ref="L272:L286"/>
    <mergeCell ref="M272:M286"/>
    <mergeCell ref="N264:N270"/>
    <mergeCell ref="O264:O270"/>
    <mergeCell ref="P264:P270"/>
    <mergeCell ref="Q264:Q270"/>
    <mergeCell ref="R264:R270"/>
    <mergeCell ref="S264:S270"/>
    <mergeCell ref="T253:T262"/>
    <mergeCell ref="U253:U262"/>
    <mergeCell ref="V253:V262"/>
    <mergeCell ref="W253:W262"/>
    <mergeCell ref="X253:X262"/>
    <mergeCell ref="I264:I270"/>
    <mergeCell ref="J264:J270"/>
    <mergeCell ref="K264:K270"/>
    <mergeCell ref="L264:L270"/>
    <mergeCell ref="M264:M270"/>
    <mergeCell ref="N253:N262"/>
    <mergeCell ref="O253:O262"/>
    <mergeCell ref="P253:P262"/>
    <mergeCell ref="Q253:Q262"/>
    <mergeCell ref="R253:R262"/>
    <mergeCell ref="S253:S262"/>
    <mergeCell ref="T233:T251"/>
    <mergeCell ref="U233:U251"/>
    <mergeCell ref="V233:V251"/>
    <mergeCell ref="W233:W251"/>
    <mergeCell ref="X233:X251"/>
    <mergeCell ref="I253:I262"/>
    <mergeCell ref="J253:J262"/>
    <mergeCell ref="K253:K262"/>
    <mergeCell ref="L253:L262"/>
    <mergeCell ref="M253:M262"/>
    <mergeCell ref="N233:N251"/>
    <mergeCell ref="O233:O251"/>
    <mergeCell ref="P233:P251"/>
    <mergeCell ref="Q233:Q251"/>
    <mergeCell ref="R233:R251"/>
    <mergeCell ref="S233:S251"/>
    <mergeCell ref="T215:T231"/>
    <mergeCell ref="U215:U231"/>
    <mergeCell ref="V215:V231"/>
    <mergeCell ref="W215:W231"/>
    <mergeCell ref="X215:X231"/>
    <mergeCell ref="I233:I251"/>
    <mergeCell ref="J233:J251"/>
    <mergeCell ref="K233:K251"/>
    <mergeCell ref="L233:L251"/>
    <mergeCell ref="M233:M251"/>
    <mergeCell ref="N215:N231"/>
    <mergeCell ref="O215:O231"/>
    <mergeCell ref="P215:P231"/>
    <mergeCell ref="Q215:Q231"/>
    <mergeCell ref="R215:R231"/>
    <mergeCell ref="S215:S231"/>
    <mergeCell ref="T198:T213"/>
    <mergeCell ref="U198:U213"/>
    <mergeCell ref="V198:V213"/>
    <mergeCell ref="W198:W213"/>
    <mergeCell ref="X198:X213"/>
    <mergeCell ref="I215:I231"/>
    <mergeCell ref="J215:J231"/>
    <mergeCell ref="K215:K231"/>
    <mergeCell ref="L215:L231"/>
    <mergeCell ref="M215:M231"/>
    <mergeCell ref="N198:N213"/>
    <mergeCell ref="O198:O213"/>
    <mergeCell ref="P198:P213"/>
    <mergeCell ref="Q198:Q213"/>
    <mergeCell ref="R198:R213"/>
    <mergeCell ref="S198:S213"/>
    <mergeCell ref="T192:T196"/>
    <mergeCell ref="U192:U196"/>
    <mergeCell ref="V192:V196"/>
    <mergeCell ref="W192:W196"/>
    <mergeCell ref="X192:X196"/>
    <mergeCell ref="I198:I213"/>
    <mergeCell ref="J198:J213"/>
    <mergeCell ref="K198:K213"/>
    <mergeCell ref="L198:L213"/>
    <mergeCell ref="M198:M213"/>
    <mergeCell ref="N192:N196"/>
    <mergeCell ref="O192:O196"/>
    <mergeCell ref="P192:P196"/>
    <mergeCell ref="Q192:Q196"/>
    <mergeCell ref="R192:R196"/>
    <mergeCell ref="S192:S196"/>
    <mergeCell ref="T181:T190"/>
    <mergeCell ref="U181:U190"/>
    <mergeCell ref="V181:V190"/>
    <mergeCell ref="W181:W190"/>
    <mergeCell ref="X181:X190"/>
    <mergeCell ref="I192:I196"/>
    <mergeCell ref="J192:J196"/>
    <mergeCell ref="K192:K196"/>
    <mergeCell ref="L192:L196"/>
    <mergeCell ref="M192:M196"/>
    <mergeCell ref="N181:N190"/>
    <mergeCell ref="O181:O190"/>
    <mergeCell ref="P181:P190"/>
    <mergeCell ref="Q181:Q190"/>
    <mergeCell ref="R181:R190"/>
    <mergeCell ref="S181:S190"/>
    <mergeCell ref="T175:T179"/>
    <mergeCell ref="U175:U179"/>
    <mergeCell ref="V175:V179"/>
    <mergeCell ref="W175:W179"/>
    <mergeCell ref="X175:X179"/>
    <mergeCell ref="I181:I190"/>
    <mergeCell ref="J181:J190"/>
    <mergeCell ref="K181:K190"/>
    <mergeCell ref="L181:L190"/>
    <mergeCell ref="M181:M190"/>
    <mergeCell ref="N175:N179"/>
    <mergeCell ref="O175:O179"/>
    <mergeCell ref="P175:P179"/>
    <mergeCell ref="Q175:Q179"/>
    <mergeCell ref="R175:R179"/>
    <mergeCell ref="S175:S179"/>
    <mergeCell ref="T162:T173"/>
    <mergeCell ref="U162:U173"/>
    <mergeCell ref="V162:V173"/>
    <mergeCell ref="W162:W173"/>
    <mergeCell ref="X162:X173"/>
    <mergeCell ref="I175:I179"/>
    <mergeCell ref="J175:J179"/>
    <mergeCell ref="K175:K179"/>
    <mergeCell ref="L175:L179"/>
    <mergeCell ref="M175:M179"/>
    <mergeCell ref="N162:N173"/>
    <mergeCell ref="O162:O173"/>
    <mergeCell ref="P162:P173"/>
    <mergeCell ref="Q162:Q173"/>
    <mergeCell ref="R162:R173"/>
    <mergeCell ref="S162:S173"/>
    <mergeCell ref="T148:T160"/>
    <mergeCell ref="U148:U160"/>
    <mergeCell ref="V148:V160"/>
    <mergeCell ref="W148:W160"/>
    <mergeCell ref="X148:X160"/>
    <mergeCell ref="I162:I173"/>
    <mergeCell ref="J162:J173"/>
    <mergeCell ref="K162:K173"/>
    <mergeCell ref="L162:L173"/>
    <mergeCell ref="M162:M173"/>
    <mergeCell ref="N148:N160"/>
    <mergeCell ref="O148:O160"/>
    <mergeCell ref="P148:P160"/>
    <mergeCell ref="Q148:Q160"/>
    <mergeCell ref="R148:R160"/>
    <mergeCell ref="S148:S160"/>
    <mergeCell ref="T139:T144"/>
    <mergeCell ref="U139:U144"/>
    <mergeCell ref="V139:V144"/>
    <mergeCell ref="W139:W144"/>
    <mergeCell ref="X139:X144"/>
    <mergeCell ref="I148:I160"/>
    <mergeCell ref="J148:J160"/>
    <mergeCell ref="K148:K160"/>
    <mergeCell ref="L148:L160"/>
    <mergeCell ref="M148:M160"/>
    <mergeCell ref="N139:N144"/>
    <mergeCell ref="O139:O144"/>
    <mergeCell ref="P139:P144"/>
    <mergeCell ref="Q139:Q144"/>
    <mergeCell ref="R139:R144"/>
    <mergeCell ref="S139:S144"/>
    <mergeCell ref="T136:T137"/>
    <mergeCell ref="U136:U137"/>
    <mergeCell ref="V136:V137"/>
    <mergeCell ref="W136:W137"/>
    <mergeCell ref="X136:X137"/>
    <mergeCell ref="I139:I144"/>
    <mergeCell ref="J139:J144"/>
    <mergeCell ref="K139:K144"/>
    <mergeCell ref="L139:L144"/>
    <mergeCell ref="M139:M144"/>
    <mergeCell ref="N136:N137"/>
    <mergeCell ref="O136:O137"/>
    <mergeCell ref="P136:P137"/>
    <mergeCell ref="Q136:Q137"/>
    <mergeCell ref="R136:R137"/>
    <mergeCell ref="S136:S137"/>
    <mergeCell ref="T127:T134"/>
    <mergeCell ref="U127:U134"/>
    <mergeCell ref="V127:V134"/>
    <mergeCell ref="W127:W134"/>
    <mergeCell ref="X127:X134"/>
    <mergeCell ref="I136:I137"/>
    <mergeCell ref="J136:J137"/>
    <mergeCell ref="K136:K137"/>
    <mergeCell ref="L136:L137"/>
    <mergeCell ref="M136:M137"/>
    <mergeCell ref="N127:N134"/>
    <mergeCell ref="O127:O134"/>
    <mergeCell ref="P127:P134"/>
    <mergeCell ref="Q127:Q134"/>
    <mergeCell ref="R127:R134"/>
    <mergeCell ref="S127:S134"/>
    <mergeCell ref="T113:T125"/>
    <mergeCell ref="U113:U125"/>
    <mergeCell ref="V113:V125"/>
    <mergeCell ref="W113:W125"/>
    <mergeCell ref="X113:X125"/>
    <mergeCell ref="I127:I134"/>
    <mergeCell ref="J127:J134"/>
    <mergeCell ref="K127:K134"/>
    <mergeCell ref="L127:L134"/>
    <mergeCell ref="M127:M134"/>
    <mergeCell ref="N113:N125"/>
    <mergeCell ref="O113:O125"/>
    <mergeCell ref="P113:P125"/>
    <mergeCell ref="Q113:Q125"/>
    <mergeCell ref="R113:R125"/>
    <mergeCell ref="S113:S125"/>
    <mergeCell ref="T101:T109"/>
    <mergeCell ref="U101:U109"/>
    <mergeCell ref="V101:V109"/>
    <mergeCell ref="W101:W109"/>
    <mergeCell ref="X101:X109"/>
    <mergeCell ref="I113:I125"/>
    <mergeCell ref="J113:J125"/>
    <mergeCell ref="K113:K125"/>
    <mergeCell ref="L113:L125"/>
    <mergeCell ref="M113:M125"/>
    <mergeCell ref="N101:N109"/>
    <mergeCell ref="O101:O109"/>
    <mergeCell ref="P101:P109"/>
    <mergeCell ref="Q101:Q109"/>
    <mergeCell ref="R101:R109"/>
    <mergeCell ref="S101:S109"/>
    <mergeCell ref="T95:T99"/>
    <mergeCell ref="U95:U99"/>
    <mergeCell ref="V95:V99"/>
    <mergeCell ref="W95:W99"/>
    <mergeCell ref="X95:X99"/>
    <mergeCell ref="I101:I109"/>
    <mergeCell ref="J101:J109"/>
    <mergeCell ref="K101:K109"/>
    <mergeCell ref="L101:L109"/>
    <mergeCell ref="M101:M109"/>
    <mergeCell ref="N95:N99"/>
    <mergeCell ref="O95:O99"/>
    <mergeCell ref="P95:P99"/>
    <mergeCell ref="Q95:Q99"/>
    <mergeCell ref="R95:R99"/>
    <mergeCell ref="S95:S99"/>
    <mergeCell ref="T82:T93"/>
    <mergeCell ref="U82:U93"/>
    <mergeCell ref="V82:V93"/>
    <mergeCell ref="W82:W93"/>
    <mergeCell ref="X82:X93"/>
    <mergeCell ref="I95:I99"/>
    <mergeCell ref="J95:J99"/>
    <mergeCell ref="K95:K99"/>
    <mergeCell ref="L95:L99"/>
    <mergeCell ref="M95:M99"/>
    <mergeCell ref="N82:N93"/>
    <mergeCell ref="O82:O93"/>
    <mergeCell ref="P82:P93"/>
    <mergeCell ref="Q82:Q93"/>
    <mergeCell ref="R82:R93"/>
    <mergeCell ref="S82:S93"/>
    <mergeCell ref="T65:T80"/>
    <mergeCell ref="U65:U80"/>
    <mergeCell ref="V65:V80"/>
    <mergeCell ref="W65:W80"/>
    <mergeCell ref="X65:X80"/>
    <mergeCell ref="I82:I93"/>
    <mergeCell ref="J82:J93"/>
    <mergeCell ref="K82:K93"/>
    <mergeCell ref="L82:L93"/>
    <mergeCell ref="M82:M93"/>
    <mergeCell ref="N65:N80"/>
    <mergeCell ref="O65:O80"/>
    <mergeCell ref="P65:P80"/>
    <mergeCell ref="Q65:Q80"/>
    <mergeCell ref="R65:R80"/>
    <mergeCell ref="S65:S80"/>
    <mergeCell ref="T60:T63"/>
    <mergeCell ref="U60:U63"/>
    <mergeCell ref="V60:V63"/>
    <mergeCell ref="W60:W63"/>
    <mergeCell ref="X60:X63"/>
    <mergeCell ref="I65:I80"/>
    <mergeCell ref="J65:J80"/>
    <mergeCell ref="K65:K80"/>
    <mergeCell ref="L65:L80"/>
    <mergeCell ref="M65:M80"/>
    <mergeCell ref="N60:N63"/>
    <mergeCell ref="O60:O63"/>
    <mergeCell ref="P60:P63"/>
    <mergeCell ref="Q60:Q63"/>
    <mergeCell ref="R60:R63"/>
    <mergeCell ref="S60:S63"/>
    <mergeCell ref="T57:T58"/>
    <mergeCell ref="U57:U58"/>
    <mergeCell ref="V57:V58"/>
    <mergeCell ref="W57:W58"/>
    <mergeCell ref="X57:X58"/>
    <mergeCell ref="I60:I63"/>
    <mergeCell ref="J60:J63"/>
    <mergeCell ref="K60:K63"/>
    <mergeCell ref="L60:L63"/>
    <mergeCell ref="M60:M63"/>
    <mergeCell ref="N57:N58"/>
    <mergeCell ref="O57:O58"/>
    <mergeCell ref="P57:P58"/>
    <mergeCell ref="Q57:Q58"/>
    <mergeCell ref="R57:R58"/>
    <mergeCell ref="S57:S58"/>
    <mergeCell ref="T51:T55"/>
    <mergeCell ref="U51:U55"/>
    <mergeCell ref="V51:V55"/>
    <mergeCell ref="W51:W55"/>
    <mergeCell ref="X51:X55"/>
    <mergeCell ref="I57:I58"/>
    <mergeCell ref="J57:J58"/>
    <mergeCell ref="K57:K58"/>
    <mergeCell ref="L57:L58"/>
    <mergeCell ref="M57:M58"/>
    <mergeCell ref="N51:N55"/>
    <mergeCell ref="O51:O55"/>
    <mergeCell ref="P51:P55"/>
    <mergeCell ref="Q51:Q55"/>
    <mergeCell ref="R51:R55"/>
    <mergeCell ref="S51:S55"/>
    <mergeCell ref="T43:T49"/>
    <mergeCell ref="U43:U49"/>
    <mergeCell ref="V43:V49"/>
    <mergeCell ref="W43:W49"/>
    <mergeCell ref="X43:X49"/>
    <mergeCell ref="I51:I55"/>
    <mergeCell ref="J51:J55"/>
    <mergeCell ref="K51:K55"/>
    <mergeCell ref="L51:L55"/>
    <mergeCell ref="M51:M55"/>
    <mergeCell ref="N43:N49"/>
    <mergeCell ref="O43:O49"/>
    <mergeCell ref="P43:P49"/>
    <mergeCell ref="Q43:Q49"/>
    <mergeCell ref="R43:R49"/>
    <mergeCell ref="S43:S49"/>
    <mergeCell ref="U30:U41"/>
    <mergeCell ref="V30:V41"/>
    <mergeCell ref="W30:W41"/>
    <mergeCell ref="X30:X41"/>
    <mergeCell ref="Y30:Y41"/>
    <mergeCell ref="I43:I49"/>
    <mergeCell ref="J43:J49"/>
    <mergeCell ref="K43:K49"/>
    <mergeCell ref="L43:L49"/>
    <mergeCell ref="M43:M49"/>
    <mergeCell ref="O30:O41"/>
    <mergeCell ref="P30:P41"/>
    <mergeCell ref="Q30:Q41"/>
    <mergeCell ref="R30:R41"/>
    <mergeCell ref="S30:S41"/>
    <mergeCell ref="T30:T41"/>
    <mergeCell ref="I30:I41"/>
    <mergeCell ref="J30:J41"/>
    <mergeCell ref="K30:K41"/>
    <mergeCell ref="L30:L41"/>
    <mergeCell ref="M30:M41"/>
    <mergeCell ref="N30:N41"/>
    <mergeCell ref="T20:T28"/>
    <mergeCell ref="U20:U28"/>
    <mergeCell ref="V20:V28"/>
    <mergeCell ref="W20:W28"/>
    <mergeCell ref="X20:X28"/>
    <mergeCell ref="Y20:Y28"/>
    <mergeCell ref="N20:N28"/>
    <mergeCell ref="O20:O28"/>
    <mergeCell ref="P20:P28"/>
    <mergeCell ref="Q20:Q28"/>
    <mergeCell ref="R20:R28"/>
    <mergeCell ref="S20:S28"/>
    <mergeCell ref="U17:U18"/>
    <mergeCell ref="V17:V18"/>
    <mergeCell ref="W17:W18"/>
    <mergeCell ref="X17:X18"/>
    <mergeCell ref="Y17:Y18"/>
    <mergeCell ref="I20:I28"/>
    <mergeCell ref="J20:J28"/>
    <mergeCell ref="K20:K28"/>
    <mergeCell ref="L20:L28"/>
    <mergeCell ref="M20:M2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T11:T15"/>
    <mergeCell ref="U11:U15"/>
    <mergeCell ref="V11:V15"/>
    <mergeCell ref="W11:W15"/>
    <mergeCell ref="X11:X15"/>
    <mergeCell ref="Y11:Y15"/>
    <mergeCell ref="N11:N15"/>
    <mergeCell ref="O11:O15"/>
    <mergeCell ref="P11:P15"/>
    <mergeCell ref="Q11:Q15"/>
    <mergeCell ref="R11:R15"/>
    <mergeCell ref="S11:S15"/>
    <mergeCell ref="U2:U9"/>
    <mergeCell ref="V2:V9"/>
    <mergeCell ref="W2:W9"/>
    <mergeCell ref="X2:X9"/>
    <mergeCell ref="Y2:Y9"/>
    <mergeCell ref="I11:I15"/>
    <mergeCell ref="J11:J15"/>
    <mergeCell ref="K11:K15"/>
    <mergeCell ref="L11:L15"/>
    <mergeCell ref="M11:M15"/>
    <mergeCell ref="O2:O9"/>
    <mergeCell ref="P2:P9"/>
    <mergeCell ref="Q2:Q9"/>
    <mergeCell ref="R2:R9"/>
    <mergeCell ref="S2:S9"/>
    <mergeCell ref="T2:T9"/>
    <mergeCell ref="I2:I9"/>
    <mergeCell ref="J2:J9"/>
    <mergeCell ref="K2:K9"/>
    <mergeCell ref="L2:L9"/>
    <mergeCell ref="M2:M9"/>
    <mergeCell ref="N2:N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 INVERSIONES</dc:creator>
  <cp:lastModifiedBy>HPK INVERSIONES</cp:lastModifiedBy>
  <dcterms:created xsi:type="dcterms:W3CDTF">2026-01-20T18:38:48Z</dcterms:created>
  <dcterms:modified xsi:type="dcterms:W3CDTF">2026-01-20T18:39:05Z</dcterms:modified>
</cp:coreProperties>
</file>